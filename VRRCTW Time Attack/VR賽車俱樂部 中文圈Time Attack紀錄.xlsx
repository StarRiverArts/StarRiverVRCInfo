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依賽道-個人紀錄" sheetId="1" r:id="rId5"/>
    <sheet state="visible" name="依賽道-車輛紀錄" sheetId="2" r:id="rId6"/>
    <sheet state="visible" name="依車輛-賽道紀錄" sheetId="3" r:id="rId7"/>
    <sheet state="visible" name="依玩家-賽道紀錄" sheetId="4" r:id="rId8"/>
    <sheet state="visible" name="歷史紀錄" sheetId="5" r:id="rId9"/>
    <sheet state="visible" name="賽道列表" sheetId="6" r:id="rId10"/>
    <sheet state="visible" name="賽道紀錄" sheetId="7" r:id="rId11"/>
    <sheet state="visible" name="錦標賽第一賽季" sheetId="8" r:id="rId12"/>
    <sheet state="visible" name="Battle紀錄" sheetId="9" r:id="rId13"/>
    <sheet state="visible" name="外部比賽成績" sheetId="10" r:id="rId14"/>
  </sheets>
  <definedNames>
    <definedName hidden="1" localSheetId="4" name="_xlnm._FilterDatabase">'歷史紀錄'!$A$1:$N$3009</definedName>
  </definedNames>
  <calcPr/>
</workbook>
</file>

<file path=xl/sharedStrings.xml><?xml version="1.0" encoding="utf-8"?>
<sst xmlns="http://schemas.openxmlformats.org/spreadsheetml/2006/main" count="9531" uniqueCount="1372">
  <si>
    <t>作者：Jintei Sacc系統</t>
  </si>
  <si>
    <t>作者：FoxBG CVS系統(RIP)</t>
  </si>
  <si>
    <t>作者：StarRiver Arts 跨系統</t>
  </si>
  <si>
    <t>@dropdown</t>
  </si>
  <si>
    <t>Akina Downhill秋名/下行</t>
  </si>
  <si>
    <t>Akina Uphill秋名/上行</t>
  </si>
  <si>
    <t>Nagao Downhill 長尾/下行</t>
  </si>
  <si>
    <t>Shomaru Clockwise 正丸/順行</t>
  </si>
  <si>
    <t>9Turns CVS Downhill 九彎十八拐/下行</t>
  </si>
  <si>
    <t>9Turns CVS Uphill 九彎十八拐/上行</t>
  </si>
  <si>
    <t>Player玩家</t>
  </si>
  <si>
    <t>Time時間</t>
  </si>
  <si>
    <t>Car車種</t>
  </si>
  <si>
    <t>Platform平台</t>
  </si>
  <si>
    <t>Momiji Downhill 紅葉坂/下行</t>
  </si>
  <si>
    <t>Sekia Hills</t>
  </si>
  <si>
    <t>9Turns Sacc Downhill 九彎十八拐/下行</t>
  </si>
  <si>
    <t>9Turns Sacc Uphill 九彎十八拐/上行</t>
  </si>
  <si>
    <t>WuLing CVS Downhill 武嶺/下行</t>
  </si>
  <si>
    <t>WuLing CVS Uphill 武嶺/上行</t>
  </si>
  <si>
    <t>Akina UNLIMITED Downhill秋名 無限/下行</t>
  </si>
  <si>
    <t>Akina UNLIMITED Uphill秋名 無限/上行</t>
  </si>
  <si>
    <t>StarSight Touge Downhill觀星山/下行</t>
  </si>
  <si>
    <t>StarSight Touge Uphill觀星山/上行</t>
  </si>
  <si>
    <t>Bihoku Highland Circuit</t>
  </si>
  <si>
    <t>Myogi Downhill妙義/下行 (Arcade Stage)</t>
  </si>
  <si>
    <t>Myogi Uphill妙義/上行 (Arcade Stage)</t>
  </si>
  <si>
    <t>Aiden1408 CVS系統</t>
  </si>
  <si>
    <t>Silverstone 銀石F1</t>
  </si>
  <si>
    <t>LasVegas 拉斯維加斯F1</t>
  </si>
  <si>
    <t>Irohazaka Downhill伊呂波坂/下行</t>
  </si>
  <si>
    <t>SunMoonLake CVS ClockWise 日月潭/順向</t>
  </si>
  <si>
    <t>SunMoonLake CVS Counter-Clockwise 日月潭/逆向</t>
  </si>
  <si>
    <t>Myogi Circuit Clockwise 妙義環線/順行</t>
  </si>
  <si>
    <t>Myogi Circuit Counter-Clockwise 妙義環線/逆行</t>
  </si>
  <si>
    <t>Monaco 摩納哥F1</t>
  </si>
  <si>
    <t>紐柏林(紐北)</t>
  </si>
  <si>
    <t>作者：K̶a̶u̶b̶e̶r̶u̶ CVS</t>
  </si>
  <si>
    <t>Akagi Downhill赤城/下行</t>
  </si>
  <si>
    <t>Akagi Uphill赤城/上行</t>
  </si>
  <si>
    <t>紐柏林(GP)</t>
  </si>
  <si>
    <t>Usui DAA Counter Clockwise 碓冰/逆向</t>
  </si>
  <si>
    <t>Lake Akina ClockWise秋名湖/順向</t>
  </si>
  <si>
    <t>Lake Akina Counter-Clockwise秋名湖/順向</t>
  </si>
  <si>
    <t>Calme CVS系統</t>
  </si>
  <si>
    <t>kkclint CVS系統</t>
  </si>
  <si>
    <t>Kamidomarizaka神留坂/下行</t>
  </si>
  <si>
    <t>Futatsukane Lake Around Pass 雙葉湖外周道</t>
  </si>
  <si>
    <t>Tatehara Touge TimeAttack立原/下行</t>
  </si>
  <si>
    <t>Usui Clockwise碓冰/順向  (Arcade Stage V1)</t>
  </si>
  <si>
    <t>Usui Counter-Clockwise碓冰/逆向  (Arcade Stage V1)</t>
  </si>
  <si>
    <t>Usui Clockwise碓冰/順向  (Arcade Stage V2)</t>
  </si>
  <si>
    <t>Usui Counter-Clockwise碓冰/逆向  (Arcade Stage V2)</t>
  </si>
  <si>
    <t>Ryuoukouzan龍鉤山/下行</t>
  </si>
  <si>
    <t>ひそう_hi50u  CVS系統</t>
  </si>
  <si>
    <t>筑和山 CVS2</t>
  </si>
  <si>
    <t>Odawara Clockwise小田原/順向</t>
  </si>
  <si>
    <t>Odawara Counter-Clockwise小田原/逆向</t>
  </si>
  <si>
    <t>totuka kaoru CVS系統</t>
  </si>
  <si>
    <t>@Kart 卡丁車賽車場 by totuka kaoru</t>
  </si>
  <si>
    <t>Tsubaki Downhill椿線/下行</t>
  </si>
  <si>
    <t>Tsubaki Uphill椿線/上行</t>
  </si>
  <si>
    <t>Tsuchisaka Downhill 土坂/下行</t>
  </si>
  <si>
    <t>Tsuchisaka Uphill 土坂/上行</t>
  </si>
  <si>
    <t>Tsuchisaka Inbound 土坂界內</t>
  </si>
  <si>
    <t>Tsuchisaka Outbound 土坂界外</t>
  </si>
  <si>
    <t>Sadamine Full Course Downhill定峰全程/下行</t>
  </si>
  <si>
    <t>Sadamine Full Course Uphill定峰全程/上行</t>
  </si>
  <si>
    <t>Sadamine Original Course Downhill定峰半程/下行</t>
  </si>
  <si>
    <t>Sadamine Original Course Uphill定峰半程/上行</t>
  </si>
  <si>
    <t>Mt.Talkan Downhill大觀山/下行</t>
  </si>
  <si>
    <t>Mt.Talkan Uphill大觀山/上行</t>
  </si>
  <si>
    <t>Mt.Hakone Outbound箱根/界外</t>
  </si>
  <si>
    <t>Mt.Hakone Inbound箱根/界內</t>
  </si>
  <si>
    <t>Nagoya Speed Ring 名古屋</t>
  </si>
  <si>
    <t>Fukuoka 福岡</t>
  </si>
  <si>
    <t>Nanamagari Downhill 七曲/下行</t>
  </si>
  <si>
    <t>Nanamagari Uphill 七曲/上行</t>
  </si>
  <si>
    <t>Hakone Nanamagari Downhill 箱根七曲/下行</t>
  </si>
  <si>
    <t>Hakone Nanamagari Uphill 箱根七曲/上行</t>
  </si>
  <si>
    <t>Momiji Uphill 紅葉坂/上行</t>
  </si>
  <si>
    <t>Nagao Uphill 長尾/上行</t>
  </si>
  <si>
    <t>Maze Downhill 間瀨峠/下行</t>
  </si>
  <si>
    <t>Maze Uphill 間瀨峠/上行</t>
  </si>
  <si>
    <t>Happogahara Outbound 八方原/界外</t>
  </si>
  <si>
    <t>Happogahara Inbound 八方原/界內</t>
  </si>
  <si>
    <t>Happogahara Double 八方原/折返</t>
  </si>
  <si>
    <t>Gunsai Touge (Cross Platform) Full Course 群サイ 全程</t>
  </si>
  <si>
    <t>Gunsai Touge (Cross Platform) Course A 群サイ A路線</t>
  </si>
  <si>
    <t>Gunsai Touge Full Course 群サイ 全程</t>
  </si>
  <si>
    <t>Gunsai Touge Course A 群サイ A路線</t>
  </si>
  <si>
    <t>Gunsai Touge Course B 群サイ B路線</t>
  </si>
  <si>
    <t>Tsukuba Fruits Line Outbound 筑波 界外</t>
  </si>
  <si>
    <t>Tsukuba Fruits Line Inbound 筑波 界內</t>
  </si>
  <si>
    <t>Tsukuba Fruits Line Downhill 筑波 下行</t>
  </si>
  <si>
    <t>Tsukuba Fruits Line Uphill 筑波 上行</t>
  </si>
  <si>
    <t>Tsukuba Fruits Line DOUBLE 筑波 折返跑</t>
  </si>
  <si>
    <t>Shomaru Outbound 正丸/界外</t>
  </si>
  <si>
    <t>Shomaru Inbound 正丸/界內</t>
  </si>
  <si>
    <t>Shomaru Double 正丸/折返</t>
  </si>
  <si>
    <t>Hakone Downhill 箱根/下行</t>
  </si>
  <si>
    <t>Hakone Uphill 箱根/上行</t>
  </si>
  <si>
    <t>Tsukuba Fruits Line Snow Outbound 筑波 雪/界外</t>
  </si>
  <si>
    <t>Tsukuba Fruits Line Snow Inbound 筑波 雪/界內</t>
  </si>
  <si>
    <t>Akina Snow Downhill秋名 雪/下行</t>
  </si>
  <si>
    <t>Akina Snow Uphill秋名 雪/上行</t>
  </si>
  <si>
    <t>Tsuchisaka Snow Inbound 土坂界內</t>
  </si>
  <si>
    <t>Tsuchisaka Snow Outbound 土坂界外</t>
  </si>
  <si>
    <t>Shin Usui Downhill 真碓冰 下行</t>
  </si>
  <si>
    <t>Shin Usui Uphill 真碓冰 上行</t>
  </si>
  <si>
    <t>Shin Myogi Downhill 真妙義 下行</t>
  </si>
  <si>
    <t>Shin Myogi Uphill真妙義 上行</t>
  </si>
  <si>
    <t xml:space="preserve">Summit Loop </t>
  </si>
  <si>
    <t>作者：FoxBG CVS系統</t>
  </si>
  <si>
    <t>未歸類 CVS系統</t>
  </si>
  <si>
    <t>Tsukuba Fruits Line Downhill 筑波 折返</t>
  </si>
  <si>
    <t>TOYOTA 86 HachiRoku (自家用)</t>
  </si>
  <si>
    <t>Mazda RX &amp; others</t>
  </si>
  <si>
    <t>Mistubishi Lancer EVOLUTION</t>
  </si>
  <si>
    <r>
      <rPr>
        <rFont val="Arial"/>
        <b/>
        <color rgb="FFFFFFFF"/>
        <sz val="13.0"/>
      </rPr>
      <t>Nissan</t>
    </r>
    <r>
      <rPr>
        <rFont val="Ultra"/>
        <b val="0"/>
        <color rgb="FFFFFFFF"/>
        <sz val="13.0"/>
      </rPr>
      <t xml:space="preserve"> GT-</t>
    </r>
    <r>
      <rPr>
        <rFont val="Ultra"/>
        <b val="0"/>
        <color rgb="FFFF0000"/>
        <sz val="13.0"/>
      </rPr>
      <t>R</t>
    </r>
  </si>
  <si>
    <t>F1</t>
  </si>
  <si>
    <t>European Cars</t>
  </si>
  <si>
    <t>CVS Custom</t>
  </si>
  <si>
    <t>AE86T</t>
  </si>
  <si>
    <t>FD3S (RX7)</t>
  </si>
  <si>
    <t>EVOIII/CE9A</t>
  </si>
  <si>
    <t>BNR32</t>
  </si>
  <si>
    <t>rb21(RedBull)</t>
  </si>
  <si>
    <t>BMW M1</t>
  </si>
  <si>
    <t>Highline XL</t>
  </si>
  <si>
    <t>w16(Mercedes)</t>
  </si>
  <si>
    <t>Benz S203</t>
  </si>
  <si>
    <t>Highline TT</t>
  </si>
  <si>
    <t>EVOIV/CN9A</t>
  </si>
  <si>
    <t>sf25(Ferrari)</t>
  </si>
  <si>
    <t>Hurricant(LB724)</t>
  </si>
  <si>
    <t>Highline T2</t>
  </si>
  <si>
    <t>HCR32</t>
  </si>
  <si>
    <t>c45(KickSauber)</t>
  </si>
  <si>
    <t>991(911 GT3)</t>
  </si>
  <si>
    <t>Highline T4</t>
  </si>
  <si>
    <t>EVOV/CP9A</t>
  </si>
  <si>
    <t>e45</t>
  </si>
  <si>
    <t>982(718Cayman)</t>
  </si>
  <si>
    <t>Comet Custom</t>
  </si>
  <si>
    <t>BNR34</t>
  </si>
  <si>
    <t>FD3S (RX7) V2</t>
  </si>
  <si>
    <t>AE86T-V2</t>
  </si>
  <si>
    <t>FD3S (RX7)(TT)</t>
  </si>
  <si>
    <t>EVOVI/CP9A</t>
  </si>
  <si>
    <t>amr25(AstonMartin)</t>
  </si>
  <si>
    <t>EVO3</t>
  </si>
  <si>
    <t>mcl39(McLaren)</t>
  </si>
  <si>
    <t>EVOVII/CT9A</t>
  </si>
  <si>
    <t>MCR R34</t>
  </si>
  <si>
    <t>LapinTuned</t>
  </si>
  <si>
    <t>FD3S (RX7)(ST)</t>
  </si>
  <si>
    <t>AE86L-V2</t>
  </si>
  <si>
    <t>ER34 (R34 23GT Turbo)</t>
  </si>
  <si>
    <t>EVOX/CZ4A</t>
  </si>
  <si>
    <t>Macchiato</t>
  </si>
  <si>
    <t>NA6CE (Mx5 Roadster)</t>
  </si>
  <si>
    <t>R35</t>
  </si>
  <si>
    <t>Stinger</t>
  </si>
  <si>
    <t>AE85</t>
  </si>
  <si>
    <t>PinoBus</t>
  </si>
  <si>
    <t>R35N2</t>
  </si>
  <si>
    <t>Suzuki</t>
  </si>
  <si>
    <t>EA11R (Cappuccino)</t>
  </si>
  <si>
    <t>R35N3</t>
  </si>
  <si>
    <t>Nissan Silvia&amp;others</t>
  </si>
  <si>
    <t>SilEighty</t>
  </si>
  <si>
    <t>Others</t>
  </si>
  <si>
    <t>Karin 96</t>
  </si>
  <si>
    <t>SampleCar</t>
  </si>
  <si>
    <t>S13</t>
  </si>
  <si>
    <t>GT86/ZN6</t>
  </si>
  <si>
    <t>GC8-F (Impreza)</t>
  </si>
  <si>
    <t>R35T</t>
  </si>
  <si>
    <t>GC8 (Impreza)</t>
  </si>
  <si>
    <t>S14</t>
  </si>
  <si>
    <t>GT86/ZN6 V2</t>
  </si>
  <si>
    <t>GC8-G (Impreza)</t>
  </si>
  <si>
    <t>GR86/ZN8</t>
  </si>
  <si>
    <t>GDB-F (Impreza WRX STi)</t>
  </si>
  <si>
    <t>S14Q</t>
  </si>
  <si>
    <t>AE86L</t>
  </si>
  <si>
    <t>RPS13 (180SX)</t>
  </si>
  <si>
    <t>Emrydes</t>
  </si>
  <si>
    <t>TOYOTA others</t>
  </si>
  <si>
    <t>380SX</t>
  </si>
  <si>
    <t>DB42 (GR Supra)</t>
  </si>
  <si>
    <t>S30Z(Nissan Fairlady Z/Devil Z)</t>
  </si>
  <si>
    <t>Honda</t>
  </si>
  <si>
    <t>EG6 (civic)</t>
  </si>
  <si>
    <t>SW20 (MR2)</t>
  </si>
  <si>
    <t>SXE10 (Altezza)</t>
  </si>
  <si>
    <t>EK9 (Civic Type-R)</t>
  </si>
  <si>
    <t>M.X GRMN-ATTACK-2</t>
  </si>
  <si>
    <t>EK9C (Civic Type-R)</t>
  </si>
  <si>
    <t>FL5 (Civic Type-R)</t>
  </si>
  <si>
    <t>FD2 (Civic Type-R Seeker)</t>
  </si>
  <si>
    <t>DC5-ATTACK-1 (Integra)</t>
  </si>
  <si>
    <t>NSX</t>
  </si>
  <si>
    <t>AP1 (S2000)</t>
  </si>
  <si>
    <t>StarRiver Arts</t>
  </si>
  <si>
    <t>LinWu_05</t>
  </si>
  <si>
    <t>ikuhopen</t>
  </si>
  <si>
    <t>Kinokono_Tenka</t>
  </si>
  <si>
    <t>Lolidia</t>
  </si>
  <si>
    <t>日期</t>
  </si>
  <si>
    <t>賽道</t>
  </si>
  <si>
    <t>路線</t>
  </si>
  <si>
    <t>賽道作者</t>
  </si>
  <si>
    <t>玩家名稱</t>
  </si>
  <si>
    <t>時間</t>
  </si>
  <si>
    <t>使用車輛</t>
  </si>
  <si>
    <t>平台</t>
  </si>
  <si>
    <t>系統</t>
  </si>
  <si>
    <t>與賽道紀錄相比</t>
  </si>
  <si>
    <t>原始時間</t>
  </si>
  <si>
    <t>時間轉換</t>
  </si>
  <si>
    <t>Akagi</t>
  </si>
  <si>
    <t>DH</t>
  </si>
  <si>
    <t>Jintei</t>
  </si>
  <si>
    <t>PCVR</t>
  </si>
  <si>
    <t>Sacc</t>
  </si>
  <si>
    <t>2'57"285</t>
  </si>
  <si>
    <t>3'15"133</t>
  </si>
  <si>
    <t>アビドサスヒカリ</t>
  </si>
  <si>
    <t>3'23"111</t>
  </si>
  <si>
    <t>PC</t>
  </si>
  <si>
    <t>3'35"317</t>
  </si>
  <si>
    <t>Yuanji Deca</t>
  </si>
  <si>
    <t>3'46"208</t>
  </si>
  <si>
    <t>Sakanakokokoko</t>
  </si>
  <si>
    <t>4'02"883</t>
  </si>
  <si>
    <t>Akina</t>
  </si>
  <si>
    <t>3'59"750</t>
  </si>
  <si>
    <t>4'10"083</t>
  </si>
  <si>
    <t>5'01"467</t>
  </si>
  <si>
    <t>3'46"850</t>
  </si>
  <si>
    <t>UH</t>
  </si>
  <si>
    <t>4'41"617</t>
  </si>
  <si>
    <t>3'54"569</t>
  </si>
  <si>
    <t>Yune</t>
  </si>
  <si>
    <t>3'42"233</t>
  </si>
  <si>
    <t>4'00"267</t>
  </si>
  <si>
    <t>4'16"900</t>
  </si>
  <si>
    <t>3'28"911</t>
  </si>
  <si>
    <t>3'39"387</t>
  </si>
  <si>
    <t>3'47"767</t>
  </si>
  <si>
    <t>3'58"850</t>
  </si>
  <si>
    <t>4'06"567</t>
  </si>
  <si>
    <t>4'38"667</t>
  </si>
  <si>
    <t>4'48"183</t>
  </si>
  <si>
    <t>3'45"042</t>
  </si>
  <si>
    <t>3'51"100</t>
  </si>
  <si>
    <t>4'01"300</t>
  </si>
  <si>
    <t>5'05"145</t>
  </si>
  <si>
    <t>3'44"367</t>
  </si>
  <si>
    <t>Akina Snow</t>
  </si>
  <si>
    <t>3'51"022</t>
  </si>
  <si>
    <t>4'07"100</t>
  </si>
  <si>
    <t>ST205 (Celica)</t>
  </si>
  <si>
    <t>4'10"053</t>
  </si>
  <si>
    <t>AkinaUN</t>
  </si>
  <si>
    <t>3'39"734</t>
  </si>
  <si>
    <t>3'41"460</t>
  </si>
  <si>
    <t>Comfort</t>
  </si>
  <si>
    <t>4'11"017</t>
  </si>
  <si>
    <t>3'39"778</t>
  </si>
  <si>
    <t>3'42"905</t>
  </si>
  <si>
    <t>4'14"733</t>
  </si>
  <si>
    <t>4'31"850</t>
  </si>
  <si>
    <t>ZihChin</t>
  </si>
  <si>
    <t>4'33"450</t>
  </si>
  <si>
    <t>3'39"900</t>
  </si>
  <si>
    <t>3'45"939</t>
  </si>
  <si>
    <t>Fukuoka</t>
  </si>
  <si>
    <t>3'55"750</t>
  </si>
  <si>
    <t>Gunsai</t>
  </si>
  <si>
    <t>C-A</t>
  </si>
  <si>
    <t>2'00"465</t>
  </si>
  <si>
    <t>FC</t>
  </si>
  <si>
    <t>3'16"956</t>
  </si>
  <si>
    <t>GunsaiCP</t>
  </si>
  <si>
    <t>0'50"776</t>
  </si>
  <si>
    <t>2'52"605</t>
  </si>
  <si>
    <t>H-Nanamagari</t>
  </si>
  <si>
    <t>1'11"285</t>
  </si>
  <si>
    <t>1'12"875</t>
  </si>
  <si>
    <t>1'21"059</t>
  </si>
  <si>
    <t>1'24"206</t>
  </si>
  <si>
    <t>1'32"801</t>
  </si>
  <si>
    <t>1'13"538</t>
  </si>
  <si>
    <t>1'16"890</t>
  </si>
  <si>
    <t>Irohazaka</t>
  </si>
  <si>
    <t>3'55"759</t>
  </si>
  <si>
    <t>4'04"367</t>
  </si>
  <si>
    <t>3'48"617</t>
  </si>
  <si>
    <t>3'54"680</t>
  </si>
  <si>
    <t>3'59"850</t>
  </si>
  <si>
    <t xml:space="preserve"> </t>
  </si>
  <si>
    <t>Rushia Angel</t>
  </si>
  <si>
    <t>4'08"964</t>
  </si>
  <si>
    <t>4'59"930</t>
  </si>
  <si>
    <t>4'23"141</t>
  </si>
  <si>
    <t>Momiji</t>
  </si>
  <si>
    <t>3'29"617</t>
  </si>
  <si>
    <t>3'32"600</t>
  </si>
  <si>
    <t>FoxBG</t>
  </si>
  <si>
    <t>MrValentine</t>
  </si>
  <si>
    <t>CVS</t>
  </si>
  <si>
    <t>11'14"917</t>
  </si>
  <si>
    <t>VRCGPaul</t>
  </si>
  <si>
    <t>3'38"466</t>
  </si>
  <si>
    <t>NA1 (NSX)</t>
  </si>
  <si>
    <t>4'16"701</t>
  </si>
  <si>
    <t>4'35"983</t>
  </si>
  <si>
    <t>4'44"667</t>
  </si>
  <si>
    <t>4'47"624</t>
  </si>
  <si>
    <t>Mt.Talkan</t>
  </si>
  <si>
    <t>3'21"434</t>
  </si>
  <si>
    <t>3'43"800</t>
  </si>
  <si>
    <t>Myogi (ASV)</t>
  </si>
  <si>
    <t>3'23"184</t>
  </si>
  <si>
    <t>3'34"768</t>
  </si>
  <si>
    <t>3'07"689</t>
  </si>
  <si>
    <t>3'15"467</t>
  </si>
  <si>
    <t>~Antidote~</t>
  </si>
  <si>
    <t>3'12"959</t>
  </si>
  <si>
    <t>3'14"570</t>
  </si>
  <si>
    <t>3'18"017</t>
  </si>
  <si>
    <t>Ritcher_Yen</t>
  </si>
  <si>
    <t>3'19"116</t>
  </si>
  <si>
    <t>3'22"383</t>
  </si>
  <si>
    <t>鬼-瓦輪</t>
  </si>
  <si>
    <t>3'22"820</t>
  </si>
  <si>
    <t>3'24"158</t>
  </si>
  <si>
    <t>3'28"367</t>
  </si>
  <si>
    <t>3'29"900</t>
  </si>
  <si>
    <t>3'30"493</t>
  </si>
  <si>
    <t>千夜火鍋</t>
  </si>
  <si>
    <t>3'32"058</t>
  </si>
  <si>
    <t>拾貳 c101</t>
  </si>
  <si>
    <t>3'33"833</t>
  </si>
  <si>
    <t>咪咪處刑人大木</t>
  </si>
  <si>
    <t>3'39"391</t>
  </si>
  <si>
    <t>3'15"430</t>
  </si>
  <si>
    <t>3'15"916</t>
  </si>
  <si>
    <t>3'17"217</t>
  </si>
  <si>
    <t>3'17"934</t>
  </si>
  <si>
    <t>3'19"440</t>
  </si>
  <si>
    <t>3'21"750</t>
  </si>
  <si>
    <t>3'26"883</t>
  </si>
  <si>
    <t>3'30"313</t>
  </si>
  <si>
    <t>3'32"935</t>
  </si>
  <si>
    <t>3'39"217</t>
  </si>
  <si>
    <t>3'49"601</t>
  </si>
  <si>
    <t>NEKO QWQ</t>
  </si>
  <si>
    <t>4'30"333</t>
  </si>
  <si>
    <t>周-ZHOU</t>
  </si>
  <si>
    <t>4'48"805</t>
  </si>
  <si>
    <t>3'08"430</t>
  </si>
  <si>
    <t>3'18"107</t>
  </si>
  <si>
    <t>3'18"778</t>
  </si>
  <si>
    <t>3'24"429</t>
  </si>
  <si>
    <t>3'25"033</t>
  </si>
  <si>
    <t>3'28"967</t>
  </si>
  <si>
    <t>3'19"133</t>
  </si>
  <si>
    <t>3'16"125</t>
  </si>
  <si>
    <t>3'17"736</t>
  </si>
  <si>
    <t>3'19"199</t>
  </si>
  <si>
    <t>3'30"050</t>
  </si>
  <si>
    <t>4'20"090</t>
  </si>
  <si>
    <t>3'21"827</t>
  </si>
  <si>
    <t>3'28"396</t>
  </si>
  <si>
    <t>3'31"817</t>
  </si>
  <si>
    <t>3'50"750</t>
  </si>
  <si>
    <t>Myogi(CC)</t>
  </si>
  <si>
    <t>CW</t>
  </si>
  <si>
    <t>3'16"217</t>
  </si>
  <si>
    <t>CC</t>
  </si>
  <si>
    <t>3'27"017</t>
  </si>
  <si>
    <t>3'41"483</t>
  </si>
  <si>
    <t>3'46"483</t>
  </si>
  <si>
    <t>3'29"950</t>
  </si>
  <si>
    <t>3'32"750</t>
  </si>
  <si>
    <t>Nagao</t>
  </si>
  <si>
    <t>4'54"700</t>
  </si>
  <si>
    <t>Nagoya</t>
  </si>
  <si>
    <t>3'30"467</t>
  </si>
  <si>
    <t>Nanamagari</t>
  </si>
  <si>
    <t>3'30"300</t>
  </si>
  <si>
    <t>3'36"483</t>
  </si>
  <si>
    <t>3'39"250</t>
  </si>
  <si>
    <t>3'39"817</t>
  </si>
  <si>
    <t>Odawara</t>
  </si>
  <si>
    <t>4'31"833</t>
  </si>
  <si>
    <t>4'13"250</t>
  </si>
  <si>
    <t>4'16"550</t>
  </si>
  <si>
    <t>4'16"600</t>
  </si>
  <si>
    <t>4'17"950</t>
  </si>
  <si>
    <t>4'29"817</t>
  </si>
  <si>
    <t>5'44"195</t>
  </si>
  <si>
    <t>4'29"017</t>
  </si>
  <si>
    <t>4'35"783</t>
  </si>
  <si>
    <t>4'45"550</t>
  </si>
  <si>
    <t>4'58"300</t>
  </si>
  <si>
    <t>PT:9T</t>
  </si>
  <si>
    <t>6'54"888</t>
  </si>
  <si>
    <t>Doyakyon</t>
  </si>
  <si>
    <t>7'05"333</t>
  </si>
  <si>
    <t>7'25"150</t>
  </si>
  <si>
    <t>7'57"167</t>
  </si>
  <si>
    <t>7'46"283</t>
  </si>
  <si>
    <t>6'32"145</t>
  </si>
  <si>
    <t>Sadamine</t>
  </si>
  <si>
    <t>FCDH</t>
  </si>
  <si>
    <t>4'17"583</t>
  </si>
  <si>
    <t>OCDH</t>
  </si>
  <si>
    <t>2'34"967</t>
  </si>
  <si>
    <t>3'14"333</t>
  </si>
  <si>
    <t>3'25"900</t>
  </si>
  <si>
    <t>3'39"866</t>
  </si>
  <si>
    <t>ZVW30(Prius)</t>
  </si>
  <si>
    <t>3'58"900</t>
  </si>
  <si>
    <t>2'57"600</t>
  </si>
  <si>
    <t>OCUH</t>
  </si>
  <si>
    <t>3'04"711</t>
  </si>
  <si>
    <t>3'07"767</t>
  </si>
  <si>
    <t>FCUH</t>
  </si>
  <si>
    <t>4'11"517</t>
  </si>
  <si>
    <t>3'48"400</t>
  </si>
  <si>
    <t>Tsubaki</t>
  </si>
  <si>
    <t>4'20"000</t>
  </si>
  <si>
    <t>4'55"150</t>
  </si>
  <si>
    <t>Tsuchisaka</t>
  </si>
  <si>
    <t>2'10"100</t>
  </si>
  <si>
    <t>2'31"567</t>
  </si>
  <si>
    <t>OB</t>
  </si>
  <si>
    <t>3'41"783</t>
  </si>
  <si>
    <t>IB</t>
  </si>
  <si>
    <t>3'54"916</t>
  </si>
  <si>
    <t>Tsukuba</t>
  </si>
  <si>
    <t>Double</t>
  </si>
  <si>
    <t>3'27"745</t>
  </si>
  <si>
    <t>3'43"778</t>
  </si>
  <si>
    <t>3'50"917</t>
  </si>
  <si>
    <t>4'02"700</t>
  </si>
  <si>
    <t>3'28"322</t>
  </si>
  <si>
    <t>3'38"347</t>
  </si>
  <si>
    <t>江柚凝</t>
  </si>
  <si>
    <t>3'42"071</t>
  </si>
  <si>
    <t>BNR32 Gr.A</t>
  </si>
  <si>
    <t>3'45"027</t>
  </si>
  <si>
    <t>3'48"650</t>
  </si>
  <si>
    <t>3'52"517</t>
  </si>
  <si>
    <t>1'55"733</t>
  </si>
  <si>
    <t>2'01"817</t>
  </si>
  <si>
    <t>3'52"617</t>
  </si>
  <si>
    <t>4'08"217</t>
  </si>
  <si>
    <t>Tsukuba Snow</t>
  </si>
  <si>
    <t>4'01"783</t>
  </si>
  <si>
    <t>4'05"203</t>
  </si>
  <si>
    <t>Usui V1</t>
  </si>
  <si>
    <t>3'20"489</t>
  </si>
  <si>
    <t>3'29"773</t>
  </si>
  <si>
    <t>3'37"205</t>
  </si>
  <si>
    <t>3'44"867</t>
  </si>
  <si>
    <t>3'48"729</t>
  </si>
  <si>
    <t>4'15"333</t>
  </si>
  <si>
    <t>Usui V2</t>
  </si>
  <si>
    <t>3'39"300</t>
  </si>
  <si>
    <t>3'42"283</t>
  </si>
  <si>
    <t>3'45"367</t>
  </si>
  <si>
    <t>3'47"800</t>
  </si>
  <si>
    <t>3'54"893</t>
  </si>
  <si>
    <t>4'31"167</t>
  </si>
  <si>
    <t>3'46"950</t>
  </si>
  <si>
    <t>4'25"017</t>
  </si>
  <si>
    <t>3'48"784</t>
  </si>
  <si>
    <t>3'43"500</t>
  </si>
  <si>
    <t>4'11"988</t>
  </si>
  <si>
    <t>3'20"315</t>
  </si>
  <si>
    <t>3'42"792</t>
  </si>
  <si>
    <t>3'39"117</t>
  </si>
  <si>
    <t>3'41"430</t>
  </si>
  <si>
    <t>『Sigma』</t>
  </si>
  <si>
    <t>3'36"400</t>
  </si>
  <si>
    <t>3'41"361</t>
  </si>
  <si>
    <t>3'44"616</t>
  </si>
  <si>
    <t>4'08"634</t>
  </si>
  <si>
    <t>DC2 (Integra)</t>
  </si>
  <si>
    <t>4'27"184</t>
  </si>
  <si>
    <t>3'54"073</t>
  </si>
  <si>
    <t>3'45"208</t>
  </si>
  <si>
    <t>3'51"983</t>
  </si>
  <si>
    <t>4'38"017</t>
  </si>
  <si>
    <t>3'58"083</t>
  </si>
  <si>
    <t>4'15"100</t>
  </si>
  <si>
    <t>4'38"100</t>
  </si>
  <si>
    <t>3'44"817</t>
  </si>
  <si>
    <t>3'55"550</t>
  </si>
  <si>
    <t>3'55"600</t>
  </si>
  <si>
    <t>3'26"533</t>
  </si>
  <si>
    <t>3'48"417</t>
  </si>
  <si>
    <t>3'45"917</t>
  </si>
  <si>
    <t>3'48"183</t>
  </si>
  <si>
    <t>3'48"935</t>
  </si>
  <si>
    <t>3'28"050</t>
  </si>
  <si>
    <t>3'46"717</t>
  </si>
  <si>
    <t>Kamidomarizaka</t>
  </si>
  <si>
    <t>Calme</t>
  </si>
  <si>
    <t>BannRaven</t>
  </si>
  <si>
    <t>2'15"121</t>
  </si>
  <si>
    <t>3'49"217</t>
  </si>
  <si>
    <t>3'44"283</t>
  </si>
  <si>
    <t>1'38"009</t>
  </si>
  <si>
    <t>1'46"400</t>
  </si>
  <si>
    <t>1'57"783</t>
  </si>
  <si>
    <t>1'45"067</t>
  </si>
  <si>
    <t>1'50"302</t>
  </si>
  <si>
    <t>3'45"417</t>
  </si>
  <si>
    <t>3'48"502</t>
  </si>
  <si>
    <t>3'56"471</t>
  </si>
  <si>
    <t>Futatsukane</t>
  </si>
  <si>
    <t>4'49"250</t>
  </si>
  <si>
    <t>3'53"667</t>
  </si>
  <si>
    <t>4'33"817</t>
  </si>
  <si>
    <t>3'42"250</t>
  </si>
  <si>
    <t>3'56"967</t>
  </si>
  <si>
    <t>4'04"033</t>
  </si>
  <si>
    <t>3'38"847</t>
  </si>
  <si>
    <t>3'40"883</t>
  </si>
  <si>
    <t>3'47"471</t>
  </si>
  <si>
    <t>3'50"383</t>
  </si>
  <si>
    <t>4'20"833</t>
  </si>
  <si>
    <t>3'39"200</t>
  </si>
  <si>
    <t>3'25"666</t>
  </si>
  <si>
    <t>3'43"717</t>
  </si>
  <si>
    <t>3'42"569</t>
  </si>
  <si>
    <t>3'45"364</t>
  </si>
  <si>
    <t>3'47"867</t>
  </si>
  <si>
    <t>3'48"583</t>
  </si>
  <si>
    <t>3'53"550</t>
  </si>
  <si>
    <t>4'05"400</t>
  </si>
  <si>
    <t>4'08"150</t>
  </si>
  <si>
    <t>3'51"933</t>
  </si>
  <si>
    <t>Shomaru</t>
  </si>
  <si>
    <t>4'11"283</t>
  </si>
  <si>
    <t>3'58"951</t>
  </si>
  <si>
    <t>3'50"067</t>
  </si>
  <si>
    <t>9'01"155</t>
  </si>
  <si>
    <t>4'19"486</t>
  </si>
  <si>
    <t>3'47"783</t>
  </si>
  <si>
    <t>3'51"988</t>
  </si>
  <si>
    <t>3'48"159</t>
  </si>
  <si>
    <t>4'07"934</t>
  </si>
  <si>
    <t>3'47"284</t>
  </si>
  <si>
    <t>FC3S (RX7)</t>
  </si>
  <si>
    <t>10'0"0</t>
  </si>
  <si>
    <t>3'21"783</t>
  </si>
  <si>
    <t>4'36"617</t>
  </si>
  <si>
    <t>96018(4C)</t>
  </si>
  <si>
    <t>4'55"067</t>
  </si>
  <si>
    <t>4'31"958</t>
  </si>
  <si>
    <t>4'53"394</t>
  </si>
  <si>
    <t>4'44"017</t>
  </si>
  <si>
    <t>4'37"184</t>
  </si>
  <si>
    <t xml:space="preserve">GT86/ZN6 </t>
  </si>
  <si>
    <t>4'38"889</t>
  </si>
  <si>
    <t>4'41"429</t>
  </si>
  <si>
    <t>4'28"450</t>
  </si>
  <si>
    <t>-Zaten-</t>
  </si>
  <si>
    <t>4'59"430</t>
  </si>
  <si>
    <t>4'17"528</t>
  </si>
  <si>
    <t>4'33"229</t>
  </si>
  <si>
    <t>Lake Akina</t>
  </si>
  <si>
    <t>3'37"666</t>
  </si>
  <si>
    <t>4'06"017</t>
  </si>
  <si>
    <t>3'30"783</t>
  </si>
  <si>
    <t>S15</t>
  </si>
  <si>
    <t>3'34"250</t>
  </si>
  <si>
    <t>RedFrogss</t>
  </si>
  <si>
    <t>3'29"917</t>
  </si>
  <si>
    <t>3'32"317</t>
  </si>
  <si>
    <t>3'28"201</t>
  </si>
  <si>
    <t>4'21"017</t>
  </si>
  <si>
    <t>3'20"861</t>
  </si>
  <si>
    <t>3'26"617</t>
  </si>
  <si>
    <t>3'35"412</t>
  </si>
  <si>
    <t>Silverstone</t>
  </si>
  <si>
    <t>Aiden1408</t>
  </si>
  <si>
    <t>1'34"167</t>
  </si>
  <si>
    <t>2'25"367</t>
  </si>
  <si>
    <t>2'28"133</t>
  </si>
  <si>
    <t>1'21"278</t>
  </si>
  <si>
    <t>3'45"534</t>
  </si>
  <si>
    <t>羽沫嫇夏</t>
  </si>
  <si>
    <t>1'14"722</t>
  </si>
  <si>
    <t>windnight5</t>
  </si>
  <si>
    <t>1'16"708</t>
  </si>
  <si>
    <t>1'17"264</t>
  </si>
  <si>
    <t>2'14"233</t>
  </si>
  <si>
    <t>3'29"684</t>
  </si>
  <si>
    <t>2'14"958</t>
  </si>
  <si>
    <t>Vestoril</t>
  </si>
  <si>
    <t>Yukira雪夜</t>
  </si>
  <si>
    <t>MCL civic</t>
  </si>
  <si>
    <t>1'26"844</t>
  </si>
  <si>
    <t>WIL94</t>
  </si>
  <si>
    <t>1'51"867</t>
  </si>
  <si>
    <t>1'16"500</t>
  </si>
  <si>
    <t>1'18"542</t>
  </si>
  <si>
    <t>憶雨蕭歌</t>
  </si>
  <si>
    <t>1'34"775</t>
  </si>
  <si>
    <t>1'45"208</t>
  </si>
  <si>
    <t>1'47"075</t>
  </si>
  <si>
    <t>不會玩遊戲的屑</t>
  </si>
  <si>
    <t>1'49"451</t>
  </si>
  <si>
    <t>1'47"854</t>
  </si>
  <si>
    <t>1'23"917</t>
  </si>
  <si>
    <t>2'18"433</t>
  </si>
  <si>
    <t>2'22"983</t>
  </si>
  <si>
    <t>8'00"160</t>
  </si>
  <si>
    <t>redfrogss</t>
  </si>
  <si>
    <t>1'18"033</t>
  </si>
  <si>
    <t>1'22"317</t>
  </si>
  <si>
    <t>LasVegas</t>
  </si>
  <si>
    <t>2'08"517</t>
  </si>
  <si>
    <t>Monaco</t>
  </si>
  <si>
    <t>2'24"017</t>
  </si>
  <si>
    <t>1'30"278</t>
  </si>
  <si>
    <t>1'18"800</t>
  </si>
  <si>
    <t>2'47"067</t>
  </si>
  <si>
    <t>Azucia</t>
  </si>
  <si>
    <t>2'18"523</t>
  </si>
  <si>
    <t>3'27"978</t>
  </si>
  <si>
    <t>3'45"283</t>
  </si>
  <si>
    <t>3'50"440</t>
  </si>
  <si>
    <t>3'28"042</t>
  </si>
  <si>
    <t>3'27"684</t>
  </si>
  <si>
    <t>30'29"804</t>
  </si>
  <si>
    <t>3'44"567</t>
  </si>
  <si>
    <t>3'53"592</t>
  </si>
  <si>
    <t>菲娜 希琉絲</t>
  </si>
  <si>
    <t>3'37"142</t>
  </si>
  <si>
    <t>3'35"653</t>
  </si>
  <si>
    <t>3'38"108</t>
  </si>
  <si>
    <t>3'45"900</t>
  </si>
  <si>
    <t>3'36"159</t>
  </si>
  <si>
    <t>3'54"671</t>
  </si>
  <si>
    <t>1'17"583</t>
  </si>
  <si>
    <t>4'12"597</t>
  </si>
  <si>
    <t>Wonder-ATTACK-1</t>
  </si>
  <si>
    <t>4'37"267</t>
  </si>
  <si>
    <t>Wonder-ATTACK-2</t>
  </si>
  <si>
    <t>4'42"767</t>
  </si>
  <si>
    <t>4'44"467</t>
  </si>
  <si>
    <t>5'20"334</t>
  </si>
  <si>
    <t>3'15"048</t>
  </si>
  <si>
    <t>3'29"792</t>
  </si>
  <si>
    <t>3'35"534</t>
  </si>
  <si>
    <t>3'14"160</t>
  </si>
  <si>
    <t>3'15"721</t>
  </si>
  <si>
    <t>3'20"254</t>
  </si>
  <si>
    <t>3'40"305</t>
  </si>
  <si>
    <t>4'22"750</t>
  </si>
  <si>
    <t>2'41"777</t>
  </si>
  <si>
    <t>4'22"875</t>
  </si>
  <si>
    <t>4'28"083</t>
  </si>
  <si>
    <t>4'24"650</t>
  </si>
  <si>
    <t>Redfrogss</t>
  </si>
  <si>
    <t>4'11"466</t>
  </si>
  <si>
    <t>4'15"941</t>
  </si>
  <si>
    <t>5'01"783</t>
  </si>
  <si>
    <t>4'13"883</t>
  </si>
  <si>
    <t>4'46"133</t>
  </si>
  <si>
    <t>3'27"000</t>
  </si>
  <si>
    <t>3'36"175</t>
  </si>
  <si>
    <t>3'35"467</t>
  </si>
  <si>
    <t>3'45"200</t>
  </si>
  <si>
    <t>4'15"066</t>
  </si>
  <si>
    <t>4'15"983</t>
  </si>
  <si>
    <t>4'13"083</t>
  </si>
  <si>
    <t>4'12"968</t>
  </si>
  <si>
    <t>Tsuchisaka Snow</t>
  </si>
  <si>
    <t>NA8C (Mx5 Roadster)</t>
  </si>
  <si>
    <t>3'32"755</t>
  </si>
  <si>
    <t>3'33"858</t>
  </si>
  <si>
    <t>SLS</t>
  </si>
  <si>
    <t>5'32"507</t>
  </si>
  <si>
    <t>3'45"583</t>
  </si>
  <si>
    <t>Z4</t>
  </si>
  <si>
    <t>3'33"443</t>
  </si>
  <si>
    <t>3'51"624</t>
  </si>
  <si>
    <t>3'20"925</t>
  </si>
  <si>
    <t>3'16"824</t>
  </si>
  <si>
    <t xml:space="preserve">FD3S (RX7) V2                                                 </t>
  </si>
  <si>
    <t>3'10"484</t>
  </si>
  <si>
    <t>3'26"441</t>
  </si>
  <si>
    <t>4'00"808</t>
  </si>
  <si>
    <t>4'18"849</t>
  </si>
  <si>
    <t>4'19"550</t>
  </si>
  <si>
    <t>4'50"550</t>
  </si>
  <si>
    <t>Happogahara</t>
  </si>
  <si>
    <t>GXPA16 (GR Yaris)</t>
  </si>
  <si>
    <t>4'02"967</t>
  </si>
  <si>
    <t>Mt.Hakone</t>
  </si>
  <si>
    <t>5'43"900</t>
  </si>
  <si>
    <t>3'44"879</t>
  </si>
  <si>
    <t>3'39"673</t>
  </si>
  <si>
    <t>3'41"900</t>
  </si>
  <si>
    <t>3'50"271</t>
  </si>
  <si>
    <t>3'36"073</t>
  </si>
  <si>
    <t>4'16"717</t>
  </si>
  <si>
    <t>4'05"633</t>
  </si>
  <si>
    <t>4'13"365</t>
  </si>
  <si>
    <t xml:space="preserve">Jintei </t>
  </si>
  <si>
    <t>3'54"233</t>
  </si>
  <si>
    <t>7'07"817</t>
  </si>
  <si>
    <t>Nurburgring</t>
  </si>
  <si>
    <t>Nord</t>
  </si>
  <si>
    <t>8'58"750</t>
  </si>
  <si>
    <t>GP</t>
  </si>
  <si>
    <t>2'22"783</t>
  </si>
  <si>
    <t>Too突突兔To</t>
  </si>
  <si>
    <t>992(911 GT3)</t>
  </si>
  <si>
    <t>2'37"570</t>
  </si>
  <si>
    <t>X7 RR</t>
  </si>
  <si>
    <t>4'56"667</t>
  </si>
  <si>
    <t>4'12"675</t>
  </si>
  <si>
    <t>4'05"267</t>
  </si>
  <si>
    <t>4'01"071</t>
  </si>
  <si>
    <t>4'17"900</t>
  </si>
  <si>
    <t>3'26"812</t>
  </si>
  <si>
    <t>3'38"658</t>
  </si>
  <si>
    <t>4'49"450</t>
  </si>
  <si>
    <t>3'32"833</t>
  </si>
  <si>
    <t>3'34"994</t>
  </si>
  <si>
    <t>3'54"633</t>
  </si>
  <si>
    <t>4'10"983</t>
  </si>
  <si>
    <t>Summit</t>
  </si>
  <si>
    <t>Pulsar</t>
  </si>
  <si>
    <t>1'54"184</t>
  </si>
  <si>
    <t>CX-3</t>
  </si>
  <si>
    <t>1'48"350</t>
  </si>
  <si>
    <t>Chisey</t>
  </si>
  <si>
    <t>Pajero</t>
  </si>
  <si>
    <t>2'24"715</t>
  </si>
  <si>
    <t>22B</t>
  </si>
  <si>
    <t>2'12"233</t>
  </si>
  <si>
    <t>3'48"300</t>
  </si>
  <si>
    <t>3'44"942</t>
  </si>
  <si>
    <t>4'02"900</t>
  </si>
  <si>
    <t>4'04"383</t>
  </si>
  <si>
    <t>1'44"480</t>
  </si>
  <si>
    <t>4'05"042</t>
  </si>
  <si>
    <t>4'02"208</t>
  </si>
  <si>
    <t>4'01"640</t>
  </si>
  <si>
    <t>Hayasaka_Ishimi</t>
  </si>
  <si>
    <t>1'16"800</t>
  </si>
  <si>
    <t>1'19"667</t>
  </si>
  <si>
    <t>3'59"942</t>
  </si>
  <si>
    <t>3'58"742</t>
  </si>
  <si>
    <t>3'58"825</t>
  </si>
  <si>
    <t>4'20"933</t>
  </si>
  <si>
    <t>4'22"472</t>
  </si>
  <si>
    <t>3'56"758</t>
  </si>
  <si>
    <t>3'50"883</t>
  </si>
  <si>
    <t>3'55"767</t>
  </si>
  <si>
    <t>3'52"183</t>
  </si>
  <si>
    <t>4'05"303</t>
  </si>
  <si>
    <t>4'14"931</t>
  </si>
  <si>
    <t>4'26"667</t>
  </si>
  <si>
    <t>4'04"424</t>
  </si>
  <si>
    <t>4'03"213</t>
  </si>
  <si>
    <t>ねぎたま</t>
  </si>
  <si>
    <t>1'02"344</t>
  </si>
  <si>
    <t>1'02"521</t>
  </si>
  <si>
    <t>1'03"066</t>
  </si>
  <si>
    <t>1'03"455</t>
  </si>
  <si>
    <t>4'01"170</t>
  </si>
  <si>
    <t>4'02"417</t>
  </si>
  <si>
    <t>4'07"284</t>
  </si>
  <si>
    <t>3'58"758</t>
  </si>
  <si>
    <t>1'16"400</t>
  </si>
  <si>
    <t>3'53"867</t>
  </si>
  <si>
    <t>4'10"533</t>
  </si>
  <si>
    <t>4'26"153</t>
  </si>
  <si>
    <t>3'54"333</t>
  </si>
  <si>
    <t>3'19"736</t>
  </si>
  <si>
    <t>1'37"708</t>
  </si>
  <si>
    <t>ER34</t>
  </si>
  <si>
    <t>3'11"521</t>
  </si>
  <si>
    <t>4'19"467</t>
  </si>
  <si>
    <t>1'16"000</t>
  </si>
  <si>
    <t>3'54"733</t>
  </si>
  <si>
    <t>AE86T2</t>
  </si>
  <si>
    <t>3'56"067</t>
  </si>
  <si>
    <t>wasdwa</t>
  </si>
  <si>
    <t>4'07"517</t>
  </si>
  <si>
    <t>4'24"067</t>
  </si>
  <si>
    <t>4'13"517</t>
  </si>
  <si>
    <t>3'53"319</t>
  </si>
  <si>
    <t>3'59"050</t>
  </si>
  <si>
    <t>3'59"200</t>
  </si>
  <si>
    <t>3'49"467</t>
  </si>
  <si>
    <t>3'46"934</t>
  </si>
  <si>
    <t>3'47"784</t>
  </si>
  <si>
    <t>3'47"372</t>
  </si>
  <si>
    <t>3'32"450</t>
  </si>
  <si>
    <t>3'40"750</t>
  </si>
  <si>
    <t>4'12"467</t>
  </si>
  <si>
    <t>1'47"236</t>
  </si>
  <si>
    <t>3'31"127</t>
  </si>
  <si>
    <t>1'39"980</t>
  </si>
  <si>
    <t>Revolution VIII</t>
  </si>
  <si>
    <t>3'31"915</t>
  </si>
  <si>
    <t>3'43"067</t>
  </si>
  <si>
    <t>3'29"491</t>
  </si>
  <si>
    <t>1'15"861</t>
  </si>
  <si>
    <t>3'58"983</t>
  </si>
  <si>
    <t>3'53"253</t>
  </si>
  <si>
    <t>3'32"300</t>
  </si>
  <si>
    <t>3'10"575</t>
  </si>
  <si>
    <t>3'37"616</t>
  </si>
  <si>
    <t>3'56"183</t>
  </si>
  <si>
    <t>3'51"850</t>
  </si>
  <si>
    <t>Bus</t>
  </si>
  <si>
    <t>11'49"699</t>
  </si>
  <si>
    <t>4'18"750</t>
  </si>
  <si>
    <t>3'53"106</t>
  </si>
  <si>
    <t>3'41"699</t>
  </si>
  <si>
    <t>3'56"156</t>
  </si>
  <si>
    <t>3'42"061</t>
  </si>
  <si>
    <t>ZVW30</t>
  </si>
  <si>
    <t>3'52"567</t>
  </si>
  <si>
    <t>3'38"533</t>
  </si>
  <si>
    <t>3'27"667</t>
  </si>
  <si>
    <t>NA2</t>
  </si>
  <si>
    <t>3'43"034</t>
  </si>
  <si>
    <t>4'24"073</t>
  </si>
  <si>
    <t>4'11"733</t>
  </si>
  <si>
    <t>3'11"998</t>
  </si>
  <si>
    <t>3'50"017</t>
  </si>
  <si>
    <t>3'43"533</t>
  </si>
  <si>
    <t>3'38"883</t>
  </si>
  <si>
    <t>3'39"631</t>
  </si>
  <si>
    <t>3'45"083</t>
  </si>
  <si>
    <t>1'46"533</t>
  </si>
  <si>
    <t>1'56"100</t>
  </si>
  <si>
    <t>EK9</t>
  </si>
  <si>
    <t>3'53"610</t>
  </si>
  <si>
    <t>Hakone</t>
  </si>
  <si>
    <t>3'37"333</t>
  </si>
  <si>
    <t>FC3S</t>
  </si>
  <si>
    <t>3'48"567</t>
  </si>
  <si>
    <t>3'59"434</t>
  </si>
  <si>
    <t>7'23"292</t>
  </si>
  <si>
    <t>StarSight</t>
  </si>
  <si>
    <t>1'59"433</t>
  </si>
  <si>
    <t>1'47"917</t>
  </si>
  <si>
    <t>1'55"400</t>
  </si>
  <si>
    <t>7'13"681</t>
  </si>
  <si>
    <t>1'29"033</t>
  </si>
  <si>
    <t>1'35"576</t>
  </si>
  <si>
    <t>2'03"583</t>
  </si>
  <si>
    <t>CoachKart</t>
  </si>
  <si>
    <t>2'05"167</t>
  </si>
  <si>
    <t>Bu1227</t>
  </si>
  <si>
    <t>3'37"533</t>
  </si>
  <si>
    <t>1'42"050</t>
  </si>
  <si>
    <t>1'48"199</t>
  </si>
  <si>
    <t>Linjeyooo</t>
  </si>
  <si>
    <t>1'49"183</t>
  </si>
  <si>
    <t>你算是惹到棉花了</t>
  </si>
  <si>
    <t>2'05"133</t>
  </si>
  <si>
    <t>2'25"067</t>
  </si>
  <si>
    <t>3'35"000</t>
  </si>
  <si>
    <t>1'41"450</t>
  </si>
  <si>
    <t>1'56"861</t>
  </si>
  <si>
    <t>2'34"206</t>
  </si>
  <si>
    <t>2'37"533</t>
  </si>
  <si>
    <t>Yangtao</t>
  </si>
  <si>
    <t>1'40"400</t>
  </si>
  <si>
    <t>Chrno_C</t>
  </si>
  <si>
    <t>1'51"722</t>
  </si>
  <si>
    <t>しんかさん</t>
  </si>
  <si>
    <t>1'59"958</t>
  </si>
  <si>
    <t>CH-流光-黃</t>
  </si>
  <si>
    <t>2'08"102</t>
  </si>
  <si>
    <t>3'19"433</t>
  </si>
  <si>
    <t>yuanji deca</t>
  </si>
  <si>
    <t>4'28"549</t>
  </si>
  <si>
    <t>2'20"594</t>
  </si>
  <si>
    <t>1'33"889</t>
  </si>
  <si>
    <t>1'27"978</t>
  </si>
  <si>
    <t>起名字好煩人</t>
  </si>
  <si>
    <t>1'51"900</t>
  </si>
  <si>
    <t>1'53"458</t>
  </si>
  <si>
    <t>4'08"243</t>
  </si>
  <si>
    <t>1'38"733</t>
  </si>
  <si>
    <t>1'33"283</t>
  </si>
  <si>
    <t>1'27"980</t>
  </si>
  <si>
    <t>1'59"035</t>
  </si>
  <si>
    <t>2'04"935</t>
  </si>
  <si>
    <t>2'05"850</t>
  </si>
  <si>
    <t>1'07"264</t>
  </si>
  <si>
    <t>Suzuka</t>
  </si>
  <si>
    <t>1'33"681</t>
  </si>
  <si>
    <t>1'14"570</t>
  </si>
  <si>
    <t>Ryuoukouzan</t>
  </si>
  <si>
    <t>FD3S-Aspec</t>
  </si>
  <si>
    <t>2'10"894</t>
  </si>
  <si>
    <t>PachirokuGT-Attack</t>
  </si>
  <si>
    <t>2'00"444</t>
  </si>
  <si>
    <t>LE6-Attack</t>
  </si>
  <si>
    <t>2'21"833</t>
  </si>
  <si>
    <t>3'23"700</t>
  </si>
  <si>
    <t>3'22"562</t>
  </si>
  <si>
    <t>3'21"083</t>
  </si>
  <si>
    <t>3'39"550</t>
  </si>
  <si>
    <t>1'33"453</t>
  </si>
  <si>
    <t>1'46"184</t>
  </si>
  <si>
    <t>2'00"264</t>
  </si>
  <si>
    <t>2'54"818</t>
  </si>
  <si>
    <t>夜者</t>
  </si>
  <si>
    <t>5'00"900</t>
  </si>
  <si>
    <t>3'58"636</t>
  </si>
  <si>
    <t>5'08"134</t>
  </si>
  <si>
    <t>3'14"716</t>
  </si>
  <si>
    <t>3'34"824</t>
  </si>
  <si>
    <t>3'37"458</t>
  </si>
  <si>
    <t>3'31"733</t>
  </si>
  <si>
    <t>3'42"175</t>
  </si>
  <si>
    <t>3'44"055</t>
  </si>
  <si>
    <t>3'46"387</t>
  </si>
  <si>
    <t>3'48"100</t>
  </si>
  <si>
    <t>MotherEVO</t>
  </si>
  <si>
    <t>5'34"457</t>
  </si>
  <si>
    <t>3'39"899</t>
  </si>
  <si>
    <t>UsuiDAA</t>
  </si>
  <si>
    <t>K̶a̶u̶b̶e̶r̶u̶</t>
  </si>
  <si>
    <t>BMW CS</t>
  </si>
  <si>
    <t>1'50"083</t>
  </si>
  <si>
    <t>GT86</t>
  </si>
  <si>
    <t>2'22"850</t>
  </si>
  <si>
    <t>1'57"388</t>
  </si>
  <si>
    <t>R34</t>
  </si>
  <si>
    <t>1'46"925</t>
  </si>
  <si>
    <t>3'34"484</t>
  </si>
  <si>
    <t>SuptokaV80B-Attack</t>
  </si>
  <si>
    <t>1'55"066</t>
  </si>
  <si>
    <t>Yang路人</t>
  </si>
  <si>
    <t>1'58"844</t>
  </si>
  <si>
    <t>2'01"325</t>
  </si>
  <si>
    <t>2'18"500</t>
  </si>
  <si>
    <t>HarunaG</t>
  </si>
  <si>
    <t>Revuelto</t>
  </si>
  <si>
    <t>4'25"375</t>
  </si>
  <si>
    <t>FD3S LightTuned type2</t>
  </si>
  <si>
    <t>4'50"350</t>
  </si>
  <si>
    <t>FD3S SuperG</t>
  </si>
  <si>
    <t>4'21"508</t>
  </si>
  <si>
    <t>4'21"708</t>
  </si>
  <si>
    <t>4'26"223</t>
  </si>
  <si>
    <t>AE86 MechaTuned</t>
  </si>
  <si>
    <t>4'36"855</t>
  </si>
  <si>
    <t>AE86 TurboTuned</t>
  </si>
  <si>
    <t>4'30"589</t>
  </si>
  <si>
    <t>4'43"300</t>
  </si>
  <si>
    <t>突擊的狗熊A</t>
  </si>
  <si>
    <t>4'46"933</t>
  </si>
  <si>
    <t>4'50"967</t>
  </si>
  <si>
    <t>熾花</t>
  </si>
  <si>
    <t>AE86 LightTuned</t>
  </si>
  <si>
    <t>5'39"859</t>
  </si>
  <si>
    <t>JA4 Tuned</t>
  </si>
  <si>
    <t>5'59"267</t>
  </si>
  <si>
    <t>6'04"617</t>
  </si>
  <si>
    <t>1'57"133</t>
  </si>
  <si>
    <t>unreal</t>
  </si>
  <si>
    <t>2'06"256</t>
  </si>
  <si>
    <t>9ewi</t>
  </si>
  <si>
    <t>2'38"035</t>
  </si>
  <si>
    <t>mita</t>
  </si>
  <si>
    <t>2'39"625</t>
  </si>
  <si>
    <t>1'52"500</t>
  </si>
  <si>
    <t>3'35"090</t>
  </si>
  <si>
    <t>3'33"909</t>
  </si>
  <si>
    <t>FD3S-Drift</t>
  </si>
  <si>
    <t>2'54"558</t>
  </si>
  <si>
    <t>2'12"525</t>
  </si>
  <si>
    <t>2'08"729</t>
  </si>
  <si>
    <t>2'07"217</t>
  </si>
  <si>
    <t>GC8-Attack</t>
  </si>
  <si>
    <t>2'06"900</t>
  </si>
  <si>
    <t>LE8-Attack</t>
  </si>
  <si>
    <t>2'00"233</t>
  </si>
  <si>
    <t>FT3O-Attack</t>
  </si>
  <si>
    <t>1'57"423</t>
  </si>
  <si>
    <t>GtR34-Attack</t>
  </si>
  <si>
    <t>1'54"900</t>
  </si>
  <si>
    <t>1'52"717</t>
  </si>
  <si>
    <t>1'52"442</t>
  </si>
  <si>
    <t>1'52"267</t>
  </si>
  <si>
    <t>1'43"689</t>
  </si>
  <si>
    <t>@Kart</t>
  </si>
  <si>
    <t>AdvancedKart</t>
  </si>
  <si>
    <t>0'16"967</t>
  </si>
  <si>
    <t>0'20"263</t>
  </si>
  <si>
    <t>0'20"322</t>
  </si>
  <si>
    <t>0'20"361</t>
  </si>
  <si>
    <t>0'20"411</t>
  </si>
  <si>
    <t>0'20"550</t>
  </si>
  <si>
    <t>0'24"300</t>
  </si>
  <si>
    <t>猹猹猹猹</t>
  </si>
  <si>
    <t>0'24"345</t>
  </si>
  <si>
    <t>Lai00</t>
  </si>
  <si>
    <t>0'26"806</t>
  </si>
  <si>
    <t>0'26"833</t>
  </si>
  <si>
    <t>panjingye333</t>
  </si>
  <si>
    <t>0'33"433</t>
  </si>
  <si>
    <t>Jerry205</t>
  </si>
  <si>
    <t>0'20"021</t>
  </si>
  <si>
    <t>松前緒花</t>
  </si>
  <si>
    <t>0'29"258</t>
  </si>
  <si>
    <t>Undead desu</t>
  </si>
  <si>
    <t>0'33"583</t>
  </si>
  <si>
    <t>Miku-ATRI</t>
  </si>
  <si>
    <t>0'34"813</t>
  </si>
  <si>
    <t>Momo_Yun</t>
  </si>
  <si>
    <t>0'40"633</t>
  </si>
  <si>
    <t>Light_Spirit</t>
  </si>
  <si>
    <t>1'33"193</t>
  </si>
  <si>
    <t>_Aqua</t>
  </si>
  <si>
    <t>Quest</t>
  </si>
  <si>
    <t>1'47"305</t>
  </si>
  <si>
    <t>richardyukiko</t>
  </si>
  <si>
    <t>4'06"183</t>
  </si>
  <si>
    <t>x0000x</t>
  </si>
  <si>
    <t>2'42"891</t>
  </si>
  <si>
    <t>Kurotsuki.</t>
  </si>
  <si>
    <t>CZ9A</t>
  </si>
  <si>
    <t>3'36"859</t>
  </si>
  <si>
    <t>Chikuyasan</t>
  </si>
  <si>
    <t>ひそう_hi50u</t>
  </si>
  <si>
    <t>VRR250R</t>
  </si>
  <si>
    <t>2'32"028</t>
  </si>
  <si>
    <t>3'00"236</t>
  </si>
  <si>
    <t>3'48"799</t>
  </si>
  <si>
    <t>3'49"308</t>
  </si>
  <si>
    <t>VR-1_KOUKI</t>
  </si>
  <si>
    <t>7'19"792</t>
  </si>
  <si>
    <t>Lireth</t>
  </si>
  <si>
    <t>6'46"305</t>
  </si>
  <si>
    <t>Test Driver</t>
  </si>
  <si>
    <t>Karin Saikou</t>
  </si>
  <si>
    <t>N2X (NSX)</t>
  </si>
  <si>
    <t>Karin Saikou KRD</t>
  </si>
  <si>
    <t>Kanjo9</t>
  </si>
  <si>
    <t>280xs(380SX)</t>
  </si>
  <si>
    <t>180SX</t>
  </si>
  <si>
    <t>Blackbird</t>
  </si>
  <si>
    <t>Fake Trueno</t>
  </si>
  <si>
    <t>2000GT</t>
  </si>
  <si>
    <t>Copen</t>
  </si>
  <si>
    <t>R35 Nismo</t>
  </si>
  <si>
    <t>Mini Cooper</t>
  </si>
  <si>
    <t>R32N2</t>
  </si>
  <si>
    <t>FT86</t>
  </si>
  <si>
    <t>AE86T-Street</t>
  </si>
  <si>
    <t>DB42 (Ridox-GR Supra)</t>
  </si>
  <si>
    <t>S15 (Nob Taniguchi's)</t>
  </si>
  <si>
    <t>AP1 (J's Racing S2000)</t>
  </si>
  <si>
    <t>FD3S (RX7 FEED)</t>
  </si>
  <si>
    <t>C-B</t>
  </si>
  <si>
    <t>Nissan Z Proto</t>
  </si>
  <si>
    <t>RZ34(Fairlady Z)</t>
  </si>
  <si>
    <t>Z33(350Z)</t>
  </si>
  <si>
    <t>AP2 (S2000)</t>
  </si>
  <si>
    <t>VAB (S207 WRX STi)</t>
  </si>
  <si>
    <t>NA2 (NSX)</t>
  </si>
  <si>
    <t>JZX100(Chaser)</t>
  </si>
  <si>
    <t>GVB (Impreza STi)</t>
  </si>
  <si>
    <t>A110(Alpine)</t>
  </si>
  <si>
    <t>KPGC10(Skyline 2000GT-R)</t>
  </si>
  <si>
    <t>BRZ/ZC6</t>
  </si>
  <si>
    <t>RK Coupe</t>
  </si>
  <si>
    <t>GRB (WRX Gr.B)</t>
  </si>
  <si>
    <t>Z34(370Z)</t>
  </si>
  <si>
    <t>964(911)</t>
  </si>
  <si>
    <t xml:space="preserve">R8 </t>
  </si>
  <si>
    <t>Viper</t>
  </si>
  <si>
    <t>Hiace</t>
  </si>
  <si>
    <t>Fake FD3S</t>
  </si>
  <si>
    <t>FD3S(TT)</t>
  </si>
  <si>
    <t>FD3SC (RX7)</t>
  </si>
  <si>
    <t>SE3P (RX8)</t>
  </si>
  <si>
    <t>FD3S(ST)</t>
  </si>
  <si>
    <t>JZA80C (Supra)</t>
  </si>
  <si>
    <t>JZA80C  (Supra)</t>
  </si>
  <si>
    <t>Shin Usui</t>
  </si>
  <si>
    <t>Shin Myogi</t>
  </si>
  <si>
    <t>EG6</t>
  </si>
  <si>
    <t>ZZW30 (MR2)</t>
  </si>
  <si>
    <t>FD3S6 (RX7)</t>
  </si>
  <si>
    <t>JZA80 (Supra)</t>
  </si>
  <si>
    <t>Swift</t>
  </si>
  <si>
    <t>Maze</t>
  </si>
  <si>
    <t xml:space="preserve">EVOIII/CE9A                                                 </t>
  </si>
  <si>
    <t>Alcyone/SVX</t>
  </si>
  <si>
    <t>JZA70  (Supra)</t>
  </si>
  <si>
    <t>Levorg</t>
  </si>
  <si>
    <t>Stagea</t>
  </si>
  <si>
    <t>Corolla</t>
  </si>
  <si>
    <t>Cosmo</t>
  </si>
  <si>
    <t>N2X</t>
  </si>
  <si>
    <t>285xs</t>
  </si>
  <si>
    <t>GT106</t>
  </si>
  <si>
    <t>Highline T2 XL</t>
  </si>
  <si>
    <t>280xs</t>
  </si>
  <si>
    <t xml:space="preserve">Highline T2 </t>
  </si>
  <si>
    <t>Karin Intruder</t>
  </si>
  <si>
    <t>284xs</t>
  </si>
  <si>
    <t xml:space="preserve">NSX                                                 </t>
  </si>
  <si>
    <t>M4 akrapovic</t>
  </si>
  <si>
    <t>Nvision74</t>
  </si>
  <si>
    <t xml:space="preserve">GR86/ZN8                                                 </t>
  </si>
  <si>
    <t>名稱</t>
  </si>
  <si>
    <t>別名</t>
  </si>
  <si>
    <t>識別名</t>
  </si>
  <si>
    <t>作者</t>
  </si>
  <si>
    <t>記錄數量</t>
  </si>
  <si>
    <t>連結</t>
  </si>
  <si>
    <t>平台支援</t>
  </si>
  <si>
    <t>屬性</t>
  </si>
  <si>
    <t>備註</t>
  </si>
  <si>
    <t>Project T 9 Turns Taiwan Touge CVS2 九彎十八拐</t>
  </si>
  <si>
    <t>九彎十八拐CVS</t>
  </si>
  <si>
    <t>https://vrchat.com/home/world/wrld_c4d985d3-11de-4a89-9e8b-60b0342a1676</t>
  </si>
  <si>
    <t>PC/Quest</t>
  </si>
  <si>
    <t>公路 髮夾彎 長直線 技術 下行</t>
  </si>
  <si>
    <t>無護欄</t>
  </si>
  <si>
    <t>Project T 9 Turns Taiwan Touge Sacc 九彎十八拐</t>
  </si>
  <si>
    <t>九彎十八拐Sacc</t>
  </si>
  <si>
    <t>https://vrchat.com/home/world/wrld_a6f9cdae-d393-4572-b019-015e4ec6eb35</t>
  </si>
  <si>
    <t>無計時系統，車輛未調教</t>
  </si>
  <si>
    <t>SpeedStar Paradise (StarSight Mt.觀星山 CVS2)</t>
  </si>
  <si>
    <t>觀星山</t>
  </si>
  <si>
    <t>https://vrchat.com/home/world/wrld_c0f03f3e-ca4c-48cb-8aea-14ed13c1ee03</t>
  </si>
  <si>
    <t>公路 髮夾彎 長直線 明隧道</t>
  </si>
  <si>
    <t>賽車俱樂部的主據點</t>
  </si>
  <si>
    <t>UNFINISHED Project T WuLing 武嶺(佐久間峠) 合歡山山道</t>
  </si>
  <si>
    <t>武嶺</t>
  </si>
  <si>
    <t>WuLing</t>
  </si>
  <si>
    <t>(未完工) 公路 高海拔 陡坡</t>
  </si>
  <si>
    <t>[Initial D] Irohazaka</t>
  </si>
  <si>
    <t>伊呂波坂</t>
  </si>
  <si>
    <t>https://vrchat.com/home/world/wrld_b52d7669-cf0d-4392-8900-c3e79d16ccbc</t>
  </si>
  <si>
    <t>公路 多彎 技術 下行</t>
  </si>
  <si>
    <t>需要手剎車或減速才能順利過彎</t>
  </si>
  <si>
    <t>[Initial D] Myogi(Circuit)</t>
  </si>
  <si>
    <t>妙義環線</t>
  </si>
  <si>
    <t>公路 平直 高速 順行 逆行</t>
  </si>
  <si>
    <t>公開房歐美小朋友較多</t>
  </si>
  <si>
    <t>[Initial D] Myogi(Arcade Stage Ver.)</t>
  </si>
  <si>
    <t>妙義(妙義ASV)</t>
  </si>
  <si>
    <t>[Initial D] Shin Myogi</t>
  </si>
  <si>
    <t>真妙義</t>
  </si>
  <si>
    <t>[Initial D] Lake Akina</t>
  </si>
  <si>
    <t>秋名湖</t>
  </si>
  <si>
    <t>[Initial D] Akina</t>
  </si>
  <si>
    <t>秋名</t>
  </si>
  <si>
    <t>公路 高速 下行 夜</t>
  </si>
  <si>
    <t>[Initial D] Akina (Snow)</t>
  </si>
  <si>
    <t>秋名雪</t>
  </si>
  <si>
    <t>公路 高速 下行 夜 雪</t>
  </si>
  <si>
    <t>Akina Unlimited</t>
  </si>
  <si>
    <t>秋名無限</t>
  </si>
  <si>
    <t>公路 高速 下行 夜 高難度</t>
  </si>
  <si>
    <t>榛名-CVS2-</t>
  </si>
  <si>
    <t>臻名山(Doyakyon)</t>
  </si>
  <si>
    <t>HarunaD</t>
  </si>
  <si>
    <t>doyakyon</t>
  </si>
  <si>
    <t>https://vrchat.com/home/world/wrld_f3313f6c-5230-426f-bf7c-434aae5852c0</t>
  </si>
  <si>
    <t>無計時系統，路線與秋名相同</t>
  </si>
  <si>
    <t>榛名-CVS2- NoGuardrail</t>
  </si>
  <si>
    <t>HarunaD-NG</t>
  </si>
  <si>
    <t>https://vrchat.com/home/world/wrld_f0ec2982-a3e8-4d54-93b5-b486e8694b03</t>
  </si>
  <si>
    <t>PC/Quest/IOS</t>
  </si>
  <si>
    <t>公路 高速 下行 夜 無護欄</t>
  </si>
  <si>
    <t>榛名-Haruna-</t>
  </si>
  <si>
    <t>臻名山</t>
  </si>
  <si>
    <t>G線上のハッチ</t>
  </si>
  <si>
    <t>https://vrchat.com/home/world/wrld_daf7fdf0-228a-471e-8f6c-be51ad153891</t>
  </si>
  <si>
    <t xml:space="preserve">公路 高速 下行 夜 </t>
  </si>
  <si>
    <t>路線與秋名相同，車輛種類多</t>
  </si>
  <si>
    <t>筑波サーキット-TsukubaCircuit-</t>
  </si>
  <si>
    <t>筑波賽道</t>
  </si>
  <si>
    <t>TsukubaCircuit</t>
  </si>
  <si>
    <t>https://vrchat.com/home/world/wrld_04ff549e-6b5a-4a9a-a60e-a3df4c038778</t>
  </si>
  <si>
    <t xml:space="preserve">環狀賽道 低速複合灣 </t>
  </si>
  <si>
    <t>ChikuwaSnowTrial-極月-</t>
  </si>
  <si>
    <t>極月</t>
  </si>
  <si>
    <t>SnowTrial</t>
  </si>
  <si>
    <t>https://vrchat.com/home/world/wrld_12078402-aa36-47ef-8caa-34cd3ef3611d</t>
  </si>
  <si>
    <t>裏六甲-UraRokkou-</t>
  </si>
  <si>
    <t>裏六甲</t>
  </si>
  <si>
    <t>URokkou</t>
  </si>
  <si>
    <t>https://vrchat.com/home/world/wrld_2a3df68a-86a8-4949-86a3-f4cac379ac0a</t>
  </si>
  <si>
    <t>Cougar Circuit Drift CVS2</t>
  </si>
  <si>
    <t>ChikuwaGP/NakedClass</t>
  </si>
  <si>
    <t>Usui Time Trial by K̶a̶u̶b̶e̶r̶u̶</t>
  </si>
  <si>
    <t>碓冰DAA</t>
  </si>
  <si>
    <t>https://vrchat.com/home/world/wrld_0c982147-aa72-485a-8e56-139dfdfc30c6/info</t>
  </si>
  <si>
    <t>PC Quest</t>
  </si>
  <si>
    <t>環狀山道</t>
  </si>
  <si>
    <t>#</t>
  </si>
  <si>
    <t>車種</t>
  </si>
  <si>
    <t>賽道總成績(依玩家)</t>
  </si>
  <si>
    <t>賽道總成績(依車輛)</t>
  </si>
  <si>
    <t>名人堂</t>
  </si>
  <si>
    <t>比賽場次/回數</t>
  </si>
  <si>
    <t>比賽場地</t>
  </si>
  <si>
    <t>賽制</t>
  </si>
  <si>
    <t>玩家</t>
  </si>
  <si>
    <t>車輛</t>
  </si>
  <si>
    <t>結果</t>
  </si>
  <si>
    <t>8月筑波 冠軍</t>
  </si>
  <si>
    <t>10月椿線 冠軍</t>
  </si>
  <si>
    <t>7月秋名 亞軍</t>
  </si>
  <si>
    <t>9月小田原 季軍</t>
  </si>
  <si>
    <t>第一輪-第一戰第一回</t>
  </si>
  <si>
    <t>椿線DOWNHILL</t>
  </si>
  <si>
    <t>雙淘汰</t>
  </si>
  <si>
    <t>FD3S</t>
  </si>
  <si>
    <t>6月妙義 冠軍</t>
  </si>
  <si>
    <t>7月秋名 季軍</t>
  </si>
  <si>
    <t>10月椿線 季軍</t>
  </si>
  <si>
    <t>第一輪-第一戰第二回</t>
  </si>
  <si>
    <t>9月小田原 冠軍</t>
  </si>
  <si>
    <t>10月椿線 亞軍</t>
  </si>
  <si>
    <t>第一輪-第二戰第一回</t>
  </si>
  <si>
    <t>AE86</t>
  </si>
  <si>
    <t>7月秋名 冠軍</t>
  </si>
  <si>
    <t>第一輪-第二戰第二回</t>
  </si>
  <si>
    <t>積分</t>
  </si>
  <si>
    <t>賽季累計</t>
  </si>
  <si>
    <t>場數</t>
  </si>
  <si>
    <t>9月小田原 亞軍</t>
  </si>
  <si>
    <t>6月妙義 殿軍</t>
  </si>
  <si>
    <t>淘汰賽-第一戰第一回</t>
  </si>
  <si>
    <t>8月筑波 亞軍</t>
  </si>
  <si>
    <t>7月秋名 殿軍</t>
  </si>
  <si>
    <t>淘汰賽-第一戰第二回</t>
  </si>
  <si>
    <t>6月妙義 亞軍</t>
  </si>
  <si>
    <t>淘汰賽-第一戰第三回</t>
  </si>
  <si>
    <t>8月筑波 季軍</t>
  </si>
  <si>
    <t>6月妙義 季軍</t>
  </si>
  <si>
    <t>淘汰賽-第一戰第四回</t>
  </si>
  <si>
    <t>8月筑波 殿軍</t>
  </si>
  <si>
    <t>10月椿線 殿軍</t>
  </si>
  <si>
    <t>第二輪-第一戰第一回</t>
  </si>
  <si>
    <t>9月小田原 殿軍</t>
  </si>
  <si>
    <t>第二輪-第一戰第二回</t>
  </si>
  <si>
    <t>淘汰賽-第二戰第一回</t>
  </si>
  <si>
    <t>秋名GR 八強</t>
  </si>
  <si>
    <t>淘汰賽-第二戰第二回</t>
  </si>
  <si>
    <t>淘汰賽-第二戰第三回</t>
  </si>
  <si>
    <t>第一賽季積分</t>
  </si>
  <si>
    <t>冠軍戰第一回</t>
  </si>
  <si>
    <t>積分/場</t>
  </si>
  <si>
    <t>冠軍戰第二回</t>
  </si>
  <si>
    <t>RushiaAngel</t>
  </si>
  <si>
    <t>冠軍</t>
  </si>
  <si>
    <t>亞軍</t>
  </si>
  <si>
    <t>Hh(再tm敢动我号你完犊子811f)</t>
  </si>
  <si>
    <t>季軍</t>
  </si>
  <si>
    <t>殿軍</t>
  </si>
  <si>
    <t>VRC賽車俱樂部 九月錦標賽 小田原 0913</t>
  </si>
  <si>
    <t xml:space="preserve">MrValentine                                                 </t>
  </si>
  <si>
    <t>第一輪第一戰</t>
  </si>
  <si>
    <t>第一輪第二戰</t>
  </si>
  <si>
    <t>第一輪第三戰</t>
  </si>
  <si>
    <t>Rafi_88_Fan</t>
  </si>
  <si>
    <t>第一輪第四戰</t>
  </si>
  <si>
    <t>第一輪第五戰</t>
  </si>
  <si>
    <t>第一輪第六戰</t>
  </si>
  <si>
    <t>敗部復活1-1</t>
  </si>
  <si>
    <t>敗部復活1-2</t>
  </si>
  <si>
    <t>第二輪第一戰</t>
  </si>
  <si>
    <t>第二輪第二戰</t>
  </si>
  <si>
    <t>敗部復活2</t>
  </si>
  <si>
    <t>第三輪</t>
  </si>
  <si>
    <t>敗部復活3</t>
  </si>
  <si>
    <t>冠亞賽 01</t>
  </si>
  <si>
    <t>冠亞賽 02</t>
  </si>
  <si>
    <t>VRC賽車俱樂部 八月錦標賽 筑波 2025/8/2</t>
  </si>
  <si>
    <t>上山型HC</t>
  </si>
  <si>
    <t>GDB-F</t>
  </si>
  <si>
    <t>筑波Tsukuba Fruit DOUBLE</t>
  </si>
  <si>
    <t>單淘汰</t>
  </si>
  <si>
    <t>下山型DH</t>
  </si>
  <si>
    <t>DC2</t>
  </si>
  <si>
    <t>平衡型AR</t>
  </si>
  <si>
    <t>第三輪季軍戰</t>
  </si>
  <si>
    <t>第三輪終戰</t>
  </si>
  <si>
    <t>VRC賽車俱樂部 七月錦標賽 秋名 2025/7/6</t>
  </si>
  <si>
    <t>秋名Akina</t>
  </si>
  <si>
    <t>AE86TV2</t>
  </si>
  <si>
    <t>『Sigma』勝</t>
  </si>
  <si>
    <t>報名用</t>
  </si>
  <si>
    <t>Kinokono_Tenka 勝</t>
  </si>
  <si>
    <t>ikuhopen 勝</t>
  </si>
  <si>
    <t>EG6(civic)</t>
  </si>
  <si>
    <t>對手未出戰</t>
  </si>
  <si>
    <t>3'35"528</t>
  </si>
  <si>
    <t>GC8-F</t>
  </si>
  <si>
    <t>???</t>
  </si>
  <si>
    <t>VRC賽車俱樂部 試辦小型錦標賽 2025/6/8</t>
  </si>
  <si>
    <t>https://docs.google.com/forms/d/e/1FAIpQLSeYYHnUBb1k2oVMGo9z-HQobcBoik6MyfTBy0EMACONnw6p6A/viewform?usp=dialog</t>
  </si>
  <si>
    <t>妙義 Myogi</t>
  </si>
  <si>
    <t>Rimo 勝</t>
  </si>
  <si>
    <t>LinWu_05 勝</t>
  </si>
  <si>
    <t>Rushia Angel 勝</t>
  </si>
  <si>
    <t>Yune(Rimo)</t>
  </si>
  <si>
    <t>3'36"600</t>
  </si>
  <si>
    <t>CT9A</t>
  </si>
  <si>
    <t>2025/05/31  休閒對戰</t>
  </si>
  <si>
    <t>比賽項目</t>
  </si>
  <si>
    <t>對戰車手A</t>
  </si>
  <si>
    <t>使用車種</t>
  </si>
  <si>
    <t>對戰車手B</t>
  </si>
  <si>
    <t>Battle</t>
  </si>
  <si>
    <t>Tsubaki 下行</t>
  </si>
  <si>
    <t>LinWu</t>
  </si>
  <si>
    <t>1:0</t>
  </si>
  <si>
    <t>AE86_2door</t>
  </si>
  <si>
    <t>StarRiver</t>
  </si>
  <si>
    <t>Tsubaki 上行</t>
  </si>
  <si>
    <t>2:0</t>
  </si>
  <si>
    <t>Irohazaka 下行</t>
  </si>
  <si>
    <t>2:1</t>
  </si>
  <si>
    <t>Irohazaka 上行</t>
  </si>
  <si>
    <t>3:0</t>
  </si>
  <si>
    <t>小田原錦標賽Odawara Tournament by Racers of the Round Table 2025/6/1</t>
  </si>
  <si>
    <t>位置</t>
  </si>
  <si>
    <t>對手</t>
  </si>
  <si>
    <t>小田原Odawara</t>
  </si>
  <si>
    <t>追逐戰Cat and Mouse</t>
  </si>
  <si>
    <t>前(逃車)</t>
  </si>
  <si>
    <t>EzumeVT</t>
  </si>
  <si>
    <t>系統碰撞 不計入</t>
  </si>
  <si>
    <t>重賽 敗</t>
  </si>
  <si>
    <t>秋名錦標賽Akina GR86 Tournament by Jintei 2024/11/08</t>
  </si>
  <si>
    <t>並排碰撞TOUGE BATTLE</t>
  </si>
  <si>
    <t>Mighty_SNYX</t>
  </si>
  <si>
    <t>ZihChin勝</t>
  </si>
  <si>
    <t>晉級第二輪</t>
  </si>
  <si>
    <t>ikuhopen勝</t>
  </si>
  <si>
    <t>Shiyo9</t>
  </si>
  <si>
    <t>Shiyo9勝</t>
  </si>
  <si>
    <t>對面是鬼</t>
  </si>
  <si>
    <t>Godzillajr</t>
  </si>
  <si>
    <t>晉級第三輪</t>
  </si>
  <si>
    <t>GeneralVEEMO</t>
  </si>
  <si>
    <t>GeneralVEEMO勝</t>
  </si>
  <si>
    <t>惜敗 PC玩家裡只有他撐到第三輪</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</si>
</sst>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 &quot;m&quot;'&quot;ss&quot;&quot;\&quot;&quot;&quot;000"/>
    <numFmt numFmtId="165" formatCode="yyyy/M/d"/>
    <numFmt numFmtId="166" formatCode="[mm]&quot;'&quot;ss&quot;&quot;\&quot;&quot;&quot;000"/>
    <numFmt numFmtId="167" formatCode="0.000"/>
    <numFmt numFmtId="168" formatCode="yyyy/m/d"/>
  </numFmts>
  <fonts count="29">
    <font>
      <sz val="10.0"/>
      <color rgb="FF000000"/>
      <name val="Arial"/>
      <scheme val="minor"/>
    </font>
    <font>
      <b/>
      <sz val="13.0"/>
      <color rgb="FFFFFFFF"/>
      <name val="Arial"/>
      <scheme val="minor"/>
    </font>
    <font>
      <color theme="1"/>
      <name val="Arial"/>
      <scheme val="minor"/>
    </font>
    <font>
      <b/>
      <color theme="1"/>
      <name val="Arial"/>
      <scheme val="minor"/>
    </font>
    <font>
      <strike/>
      <color rgb="FF999999"/>
      <name val="Arial"/>
      <scheme val="minor"/>
    </font>
    <font>
      <color theme="1"/>
      <name val="Arial"/>
    </font>
    <font>
      <b/>
      <strike/>
      <color rgb="FFFFFFFF"/>
      <name val="Arial"/>
      <scheme val="minor"/>
    </font>
    <font>
      <color rgb="FF000000"/>
      <name val="Arial"/>
      <scheme val="minor"/>
    </font>
    <font>
      <b/>
      <color rgb="FF000000"/>
      <name val="Arial"/>
      <scheme val="minor"/>
    </font>
    <font>
      <b/>
      <color rgb="FFFFFFFF"/>
      <name val="Arial"/>
      <scheme val="minor"/>
    </font>
    <font>
      <b/>
      <color theme="1"/>
      <name val="Arial"/>
    </font>
    <font>
      <b/>
      <color rgb="FF212529"/>
      <name val="-apple-system"/>
    </font>
    <font>
      <strike/>
      <color rgb="FFB7B7B7"/>
      <name val="Arial"/>
      <scheme val="minor"/>
    </font>
    <font>
      <b/>
      <sz val="13.0"/>
      <color rgb="FFFF0000"/>
      <name val="Arial"/>
      <scheme val="minor"/>
    </font>
    <font>
      <sz val="13.0"/>
      <color rgb="FFFFFFFF"/>
      <name val="Impact"/>
    </font>
    <font>
      <b/>
      <sz val="13.0"/>
      <color rgb="FFFFFFFF"/>
      <name val="Arial"/>
    </font>
    <font>
      <b/>
      <sz val="13.0"/>
      <color rgb="FF666666"/>
      <name val="Arial"/>
    </font>
    <font>
      <color rgb="FF666666"/>
      <name val="Arial"/>
    </font>
    <font>
      <color theme="1"/>
      <name val="Ellipsis-font"/>
    </font>
    <font>
      <sz val="11.0"/>
      <color rgb="FF474747"/>
      <name val="Arial"/>
    </font>
    <font>
      <color rgb="FFFFFFFF"/>
      <name val="Arial"/>
    </font>
    <font>
      <u/>
      <color rgb="FF0000FF"/>
    </font>
    <font>
      <color rgb="FF000000"/>
    </font>
    <font>
      <b/>
      <color rgb="FFFF0000"/>
      <name val="Arial"/>
    </font>
    <font>
      <b/>
      <color rgb="FFE69138"/>
      <name val="Arial"/>
    </font>
    <font>
      <sz val="11.0"/>
      <color rgb="FF202124"/>
      <name val="Roboto"/>
    </font>
    <font>
      <b/>
      <color rgb="FF000000"/>
      <name val="Arial"/>
    </font>
    <font/>
    <font>
      <u/>
      <color rgb="FF1155CC"/>
      <name val="Arial"/>
    </font>
  </fonts>
  <fills count="46">
    <fill>
      <patternFill patternType="none"/>
    </fill>
    <fill>
      <patternFill patternType="lightGray"/>
    </fill>
    <fill>
      <patternFill patternType="solid">
        <fgColor rgb="FF134F5C"/>
        <bgColor rgb="FF134F5C"/>
      </patternFill>
    </fill>
    <fill>
      <patternFill patternType="solid">
        <fgColor rgb="FF85200C"/>
        <bgColor rgb="FF85200C"/>
      </patternFill>
    </fill>
    <fill>
      <patternFill patternType="solid">
        <fgColor rgb="FF0B5394"/>
        <bgColor rgb="FF0B5394"/>
      </patternFill>
    </fill>
    <fill>
      <patternFill patternType="solid">
        <fgColor rgb="FFFFF2CC"/>
        <bgColor rgb="FFFFF2CC"/>
      </patternFill>
    </fill>
    <fill>
      <patternFill patternType="solid">
        <fgColor rgb="FFF9CB9C"/>
        <bgColor rgb="FFF9CB9C"/>
      </patternFill>
    </fill>
    <fill>
      <patternFill patternType="solid">
        <fgColor rgb="FF9FC5E8"/>
        <bgColor rgb="FF9FC5E8"/>
      </patternFill>
    </fill>
    <fill>
      <patternFill patternType="solid">
        <fgColor rgb="FFFCE5CD"/>
        <bgColor rgb="FFFCE5CD"/>
      </patternFill>
    </fill>
    <fill>
      <patternFill patternType="solid">
        <fgColor rgb="FFEFEFEF"/>
        <bgColor rgb="FFEFEFEF"/>
      </patternFill>
    </fill>
    <fill>
      <patternFill patternType="solid">
        <fgColor rgb="FFFFE599"/>
        <bgColor rgb="FFFFE599"/>
      </patternFill>
    </fill>
    <fill>
      <patternFill patternType="solid">
        <fgColor rgb="FFD9EAD3"/>
        <bgColor rgb="FFD9EAD3"/>
      </patternFill>
    </fill>
    <fill>
      <patternFill patternType="solid">
        <fgColor rgb="FFEAD1DC"/>
        <bgColor rgb="FFEAD1DC"/>
      </patternFill>
    </fill>
    <fill>
      <patternFill patternType="solid">
        <fgColor rgb="FFA2C4C9"/>
        <bgColor rgb="FFA2C4C9"/>
      </patternFill>
    </fill>
    <fill>
      <patternFill patternType="solid">
        <fgColor rgb="FFE69138"/>
        <bgColor rgb="FFE69138"/>
      </patternFill>
    </fill>
    <fill>
      <patternFill patternType="solid">
        <fgColor rgb="FFCFE2F3"/>
        <bgColor rgb="FFCFE2F3"/>
      </patternFill>
    </fill>
    <fill>
      <patternFill patternType="solid">
        <fgColor rgb="FFE06666"/>
        <bgColor rgb="FFE06666"/>
      </patternFill>
    </fill>
    <fill>
      <patternFill patternType="solid">
        <fgColor rgb="FFD9D2E9"/>
        <bgColor rgb="FFD9D2E9"/>
      </patternFill>
    </fill>
    <fill>
      <patternFill patternType="solid">
        <fgColor rgb="FF38761D"/>
        <bgColor rgb="FF38761D"/>
      </patternFill>
    </fill>
    <fill>
      <patternFill patternType="solid">
        <fgColor rgb="FFF4CCCC"/>
        <bgColor rgb="FFF4CCCC"/>
      </patternFill>
    </fill>
    <fill>
      <patternFill patternType="solid">
        <fgColor rgb="FF3C78D8"/>
        <bgColor rgb="FF3C78D8"/>
      </patternFill>
    </fill>
    <fill>
      <patternFill patternType="solid">
        <fgColor rgb="FF6FA8DC"/>
        <bgColor rgb="FF6FA8DC"/>
      </patternFill>
    </fill>
    <fill>
      <patternFill patternType="solid">
        <fgColor rgb="FF990000"/>
        <bgColor rgb="FF990000"/>
      </patternFill>
    </fill>
    <fill>
      <patternFill patternType="solid">
        <fgColor rgb="FFD0E0E3"/>
        <bgColor rgb="FFD0E0E3"/>
      </patternFill>
    </fill>
    <fill>
      <patternFill patternType="solid">
        <fgColor rgb="FF666666"/>
        <bgColor rgb="FF666666"/>
      </patternFill>
    </fill>
    <fill>
      <patternFill patternType="solid">
        <fgColor rgb="FFE6B8AF"/>
        <bgColor rgb="FFE6B8AF"/>
      </patternFill>
    </fill>
    <fill>
      <patternFill patternType="solid">
        <fgColor rgb="FF93C47D"/>
        <bgColor rgb="FF93C47D"/>
      </patternFill>
    </fill>
    <fill>
      <patternFill patternType="solid">
        <fgColor rgb="FFEA9999"/>
        <bgColor rgb="FFEA9999"/>
      </patternFill>
    </fill>
    <fill>
      <patternFill patternType="solid">
        <fgColor rgb="FFDD7E6B"/>
        <bgColor rgb="FFDD7E6B"/>
      </patternFill>
    </fill>
    <fill>
      <patternFill patternType="solid">
        <fgColor rgb="FFA4C2F4"/>
        <bgColor rgb="FFA4C2F4"/>
      </patternFill>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
      <patternFill patternType="solid">
        <fgColor rgb="FFCC0000"/>
        <bgColor rgb="FFCC0000"/>
      </patternFill>
    </fill>
    <fill>
      <patternFill patternType="solid">
        <fgColor rgb="FF351C75"/>
        <bgColor rgb="FF351C75"/>
      </patternFill>
    </fill>
    <fill>
      <patternFill patternType="solid">
        <fgColor rgb="FF999999"/>
        <bgColor rgb="FF999999"/>
      </patternFill>
    </fill>
    <fill>
      <patternFill patternType="solid">
        <fgColor rgb="FFD65D5D"/>
        <bgColor rgb="FFD65D5D"/>
      </patternFill>
    </fill>
    <fill>
      <patternFill patternType="solid">
        <fgColor rgb="FF4A86E8"/>
        <bgColor rgb="FF4A86E8"/>
      </patternFill>
    </fill>
    <fill>
      <patternFill patternType="solid">
        <fgColor rgb="FF434343"/>
        <bgColor rgb="FF434343"/>
      </patternFill>
    </fill>
    <fill>
      <patternFill patternType="solid">
        <fgColor rgb="FFF1C232"/>
        <bgColor rgb="FFF1C232"/>
      </patternFill>
    </fill>
    <fill>
      <patternFill patternType="solid">
        <fgColor rgb="FFF3F3F3"/>
        <bgColor rgb="FFF3F3F3"/>
      </patternFill>
    </fill>
    <fill>
      <patternFill patternType="solid">
        <fgColor rgb="FFC9DAF8"/>
        <bgColor rgb="FFC9DAF8"/>
      </patternFill>
    </fill>
    <fill>
      <patternFill patternType="solid">
        <fgColor rgb="FFF8F9FA"/>
        <bgColor rgb="FFF8F9FA"/>
      </patternFill>
    </fill>
    <fill>
      <patternFill patternType="solid">
        <fgColor rgb="FFB6D7A8"/>
        <bgColor rgb="FFB6D7A8"/>
      </patternFill>
    </fill>
    <fill>
      <patternFill patternType="solid">
        <fgColor rgb="FFFFD966"/>
        <bgColor rgb="FFFFD966"/>
      </patternFill>
    </fill>
    <fill>
      <patternFill patternType="solid">
        <fgColor rgb="FFECE8F5"/>
        <bgColor rgb="FFECE8F5"/>
      </patternFill>
    </fill>
  </fills>
  <borders count="7">
    <border/>
    <border>
      <bottom style="thin">
        <color rgb="FF000000"/>
      </bottom>
    </border>
    <border>
      <top style="thin">
        <color rgb="FF000000"/>
      </top>
    </border>
    <border>
      <left style="thin">
        <color rgb="FF000000"/>
      </left>
      <top style="thin">
        <color rgb="FF000000"/>
      </top>
    </border>
    <border>
      <left style="thin">
        <color rgb="FF000000"/>
      </left>
      <bottom style="thin">
        <color rgb="FF000000"/>
      </bottom>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xf>
    <xf borderId="0" fillId="3" fontId="1" numFmtId="0" xfId="0" applyAlignment="1" applyFill="1" applyFont="1">
      <alignment horizontal="center" readingOrder="0"/>
    </xf>
    <xf borderId="0" fillId="4" fontId="1" numFmtId="164" xfId="0" applyAlignment="1" applyFill="1" applyFont="1" applyNumberFormat="1">
      <alignment horizontal="center" readingOrder="0"/>
    </xf>
    <xf borderId="0" fillId="0" fontId="2" numFmtId="0" xfId="0" applyAlignment="1" applyFont="1">
      <alignment readingOrder="0"/>
    </xf>
    <xf borderId="0" fillId="0" fontId="2" numFmtId="164" xfId="0" applyFont="1" applyNumberFormat="1"/>
    <xf borderId="0" fillId="5" fontId="3" numFmtId="164" xfId="0" applyAlignment="1" applyFill="1" applyFont="1" applyNumberFormat="1">
      <alignment horizontal="center" readingOrder="0"/>
    </xf>
    <xf borderId="0" fillId="6" fontId="3" numFmtId="164" xfId="0" applyAlignment="1" applyFill="1" applyFont="1" applyNumberFormat="1">
      <alignment horizontal="center" readingOrder="0"/>
    </xf>
    <xf borderId="0" fillId="7" fontId="3" numFmtId="164" xfId="0" applyAlignment="1" applyFill="1" applyFont="1" applyNumberFormat="1">
      <alignment horizontal="center" readingOrder="0"/>
    </xf>
    <xf borderId="0" fillId="8" fontId="3" numFmtId="164" xfId="0" applyAlignment="1" applyFill="1" applyFont="1" applyNumberFormat="1">
      <alignment horizontal="center" readingOrder="0"/>
    </xf>
    <xf borderId="0" fillId="8" fontId="4" numFmtId="164" xfId="0" applyAlignment="1" applyFont="1" applyNumberFormat="1">
      <alignment horizontal="center" readingOrder="0"/>
    </xf>
    <xf borderId="0" fillId="9" fontId="2" numFmtId="164" xfId="0" applyAlignment="1" applyFill="1" applyFont="1" applyNumberFormat="1">
      <alignment readingOrder="0"/>
    </xf>
    <xf borderId="0" fillId="0" fontId="2" numFmtId="164" xfId="0" applyAlignment="1" applyFont="1" applyNumberFormat="1">
      <alignment readingOrder="0"/>
    </xf>
    <xf borderId="0" fillId="0" fontId="5" numFmtId="164" xfId="0" applyAlignment="1" applyFont="1" applyNumberFormat="1">
      <alignment readingOrder="0" vertical="bottom"/>
    </xf>
    <xf borderId="0" fillId="0" fontId="5" numFmtId="164" xfId="0" applyAlignment="1" applyFont="1" applyNumberFormat="1">
      <alignment vertical="bottom"/>
    </xf>
    <xf borderId="0" fillId="10" fontId="3" numFmtId="0" xfId="0" applyAlignment="1" applyFill="1" applyFont="1">
      <alignment horizontal="center" readingOrder="0"/>
    </xf>
    <xf borderId="0" fillId="11" fontId="2" numFmtId="0" xfId="0" applyAlignment="1" applyFill="1" applyFont="1">
      <alignment horizontal="center" readingOrder="0"/>
    </xf>
    <xf borderId="0" fillId="12" fontId="6" numFmtId="164" xfId="0" applyAlignment="1" applyFill="1" applyFont="1" applyNumberFormat="1">
      <alignment horizontal="center" readingOrder="0"/>
    </xf>
    <xf borderId="0" fillId="0" fontId="7" numFmtId="164" xfId="0" applyFont="1" applyNumberFormat="1"/>
    <xf borderId="0" fillId="13" fontId="6" numFmtId="0" xfId="0" applyAlignment="1" applyFill="1" applyFont="1">
      <alignment horizontal="center" readingOrder="0"/>
    </xf>
    <xf borderId="0" fillId="13" fontId="8" numFmtId="0" xfId="0" applyAlignment="1" applyFont="1">
      <alignment horizontal="center" readingOrder="0"/>
    </xf>
    <xf borderId="0" fillId="14" fontId="9" numFmtId="164" xfId="0" applyAlignment="1" applyFill="1" applyFont="1" applyNumberFormat="1">
      <alignment horizontal="center" readingOrder="0"/>
    </xf>
    <xf borderId="0" fillId="8" fontId="3" numFmtId="0" xfId="0" applyAlignment="1" applyFont="1">
      <alignment horizontal="center" readingOrder="0"/>
    </xf>
    <xf borderId="0" fillId="0" fontId="2" numFmtId="164" xfId="0" applyAlignment="1" applyFont="1" applyNumberFormat="1">
      <alignment horizontal="center" readingOrder="0"/>
    </xf>
    <xf borderId="0" fillId="15" fontId="3" numFmtId="164" xfId="0" applyAlignment="1" applyFill="1" applyFont="1" applyNumberFormat="1">
      <alignment horizontal="center" readingOrder="0"/>
    </xf>
    <xf borderId="0" fillId="16" fontId="1" numFmtId="0" xfId="0" applyAlignment="1" applyFill="1" applyFont="1">
      <alignment horizontal="center" readingOrder="0"/>
    </xf>
    <xf borderId="0" fillId="17" fontId="3" numFmtId="164" xfId="0" applyAlignment="1" applyFill="1" applyFont="1" applyNumberFormat="1">
      <alignment horizontal="center" readingOrder="0"/>
    </xf>
    <xf borderId="0" fillId="0" fontId="2" numFmtId="0" xfId="0" applyFont="1"/>
    <xf borderId="0" fillId="8" fontId="10" numFmtId="0" xfId="0" applyAlignment="1" applyFont="1">
      <alignment horizontal="center" readingOrder="0" vertical="bottom"/>
    </xf>
    <xf borderId="0" fillId="18" fontId="9" numFmtId="0" xfId="0" applyAlignment="1" applyFill="1" applyFont="1">
      <alignment horizontal="center" readingOrder="0"/>
    </xf>
    <xf borderId="0" fillId="4" fontId="1" numFmtId="0" xfId="0" applyAlignment="1" applyFont="1">
      <alignment horizontal="center" readingOrder="0"/>
    </xf>
    <xf borderId="0" fillId="19" fontId="3" numFmtId="164" xfId="0" applyAlignment="1" applyFill="1" applyFont="1" applyNumberFormat="1">
      <alignment horizontal="center" readingOrder="0"/>
    </xf>
    <xf borderId="0" fillId="20" fontId="9" numFmtId="0" xfId="0" applyAlignment="1" applyFill="1" applyFont="1">
      <alignment horizontal="center" readingOrder="0"/>
    </xf>
    <xf borderId="0" fillId="21" fontId="3" numFmtId="0" xfId="0" applyAlignment="1" applyFill="1" applyFont="1">
      <alignment horizontal="center" readingOrder="0"/>
    </xf>
    <xf borderId="0" fillId="22" fontId="1" numFmtId="0" xfId="0" applyAlignment="1" applyFill="1" applyFont="1">
      <alignment horizontal="center" readingOrder="0"/>
    </xf>
    <xf borderId="0" fillId="14" fontId="1" numFmtId="0" xfId="0" applyAlignment="1" applyFont="1">
      <alignment horizontal="center" readingOrder="0"/>
    </xf>
    <xf borderId="0" fillId="11" fontId="3" numFmtId="0" xfId="0" applyAlignment="1" applyFont="1">
      <alignment horizontal="center" readingOrder="0"/>
    </xf>
    <xf borderId="0" fillId="0" fontId="11" numFmtId="0" xfId="0" applyAlignment="1" applyFont="1">
      <alignment horizontal="center" readingOrder="0"/>
    </xf>
    <xf borderId="0" fillId="23" fontId="3" numFmtId="164" xfId="0" applyAlignment="1" applyFill="1" applyFont="1" applyNumberFormat="1">
      <alignment horizontal="center" readingOrder="0"/>
    </xf>
    <xf borderId="0" fillId="24" fontId="1" numFmtId="0" xfId="0" applyAlignment="1" applyFill="1" applyFont="1">
      <alignment horizontal="center" readingOrder="0"/>
    </xf>
    <xf borderId="0" fillId="12" fontId="3" numFmtId="164" xfId="0" applyAlignment="1" applyFont="1" applyNumberFormat="1">
      <alignment horizontal="center" readingOrder="0"/>
    </xf>
    <xf borderId="0" fillId="25" fontId="3" numFmtId="164" xfId="0" applyAlignment="1" applyFill="1" applyFont="1" applyNumberFormat="1">
      <alignment horizontal="center" readingOrder="0"/>
    </xf>
    <xf borderId="0" fillId="26" fontId="3" numFmtId="164" xfId="0" applyAlignment="1" applyFill="1" applyFont="1" applyNumberFormat="1">
      <alignment horizontal="center" readingOrder="0"/>
    </xf>
    <xf borderId="0" fillId="15" fontId="3" numFmtId="0" xfId="0" applyAlignment="1" applyFont="1">
      <alignment horizontal="center" readingOrder="0"/>
    </xf>
    <xf borderId="0" fillId="6" fontId="3" numFmtId="0" xfId="0" applyAlignment="1" applyFont="1">
      <alignment horizontal="center" readingOrder="0"/>
    </xf>
    <xf borderId="0" fillId="27" fontId="3" numFmtId="164" xfId="0" applyAlignment="1" applyFill="1" applyFont="1" applyNumberFormat="1">
      <alignment horizontal="center" readingOrder="0"/>
    </xf>
    <xf borderId="0" fillId="15" fontId="10" numFmtId="164" xfId="0" applyAlignment="1" applyFont="1" applyNumberFormat="1">
      <alignment horizontal="center" vertical="bottom"/>
    </xf>
    <xf borderId="0" fillId="9" fontId="5" numFmtId="164" xfId="0" applyAlignment="1" applyFont="1" applyNumberFormat="1">
      <alignment vertical="bottom"/>
    </xf>
    <xf borderId="0" fillId="0" fontId="5" numFmtId="164" xfId="0" applyAlignment="1" applyFont="1" applyNumberFormat="1">
      <alignment horizontal="right" vertical="bottom"/>
    </xf>
    <xf borderId="0" fillId="6" fontId="10" numFmtId="0" xfId="0" applyAlignment="1" applyFont="1">
      <alignment horizontal="center" readingOrder="0" vertical="bottom"/>
    </xf>
    <xf borderId="0" fillId="28" fontId="10" numFmtId="0" xfId="0" applyAlignment="1" applyFill="1" applyFont="1">
      <alignment horizontal="center" readingOrder="0" vertical="bottom"/>
    </xf>
    <xf borderId="0" fillId="13" fontId="3" numFmtId="0" xfId="0" applyAlignment="1" applyFont="1">
      <alignment horizontal="center" readingOrder="0"/>
    </xf>
    <xf borderId="0" fillId="29" fontId="3" numFmtId="0" xfId="0" applyAlignment="1" applyFill="1" applyFont="1">
      <alignment horizontal="center" readingOrder="0"/>
    </xf>
    <xf borderId="0" fillId="7" fontId="3" numFmtId="0" xfId="0" applyAlignment="1" applyFont="1">
      <alignment horizontal="center" readingOrder="0"/>
    </xf>
    <xf borderId="0" fillId="26" fontId="3" numFmtId="0" xfId="0" applyAlignment="1" applyFont="1">
      <alignment horizontal="center" readingOrder="0"/>
    </xf>
    <xf borderId="0" fillId="30" fontId="9" numFmtId="0" xfId="0" applyAlignment="1" applyFill="1" applyFont="1">
      <alignment horizontal="center" readingOrder="0"/>
    </xf>
    <xf borderId="0" fillId="31" fontId="8" numFmtId="0" xfId="0" applyAlignment="1" applyFill="1" applyFont="1">
      <alignment horizontal="center" readingOrder="0"/>
    </xf>
    <xf borderId="0" fillId="3" fontId="1" numFmtId="164" xfId="0" applyAlignment="1" applyFont="1" applyNumberFormat="1">
      <alignment horizontal="center" readingOrder="0"/>
    </xf>
    <xf borderId="0" fillId="12" fontId="12" numFmtId="164" xfId="0" applyAlignment="1" applyFont="1" applyNumberFormat="1">
      <alignment horizontal="center" readingOrder="0"/>
    </xf>
    <xf borderId="0" fillId="11" fontId="2" numFmtId="164" xfId="0" applyAlignment="1" applyFont="1" applyNumberFormat="1">
      <alignment horizontal="center" readingOrder="0"/>
    </xf>
    <xf borderId="0" fillId="22" fontId="1" numFmtId="164" xfId="0" applyAlignment="1" applyFont="1" applyNumberFormat="1">
      <alignment horizontal="center" readingOrder="0"/>
    </xf>
    <xf borderId="0" fillId="30" fontId="1" numFmtId="0" xfId="0" applyAlignment="1" applyFont="1">
      <alignment horizontal="center" readingOrder="0"/>
    </xf>
    <xf borderId="0" fillId="32" fontId="13" numFmtId="0" xfId="0" applyAlignment="1" applyFill="1" applyFont="1">
      <alignment horizontal="center" readingOrder="0"/>
    </xf>
    <xf borderId="0" fillId="30" fontId="14" numFmtId="0" xfId="0" applyAlignment="1" applyFont="1">
      <alignment horizontal="center" readingOrder="0"/>
    </xf>
    <xf borderId="0" fillId="33" fontId="15" numFmtId="0" xfId="0" applyAlignment="1" applyFill="1" applyFont="1">
      <alignment horizontal="center" readingOrder="0" vertical="bottom"/>
    </xf>
    <xf borderId="0" fillId="34" fontId="1" numFmtId="0" xfId="0" applyAlignment="1" applyFill="1" applyFont="1">
      <alignment horizontal="center" readingOrder="0"/>
    </xf>
    <xf borderId="0" fillId="35" fontId="1" numFmtId="0" xfId="0" applyAlignment="1" applyFill="1" applyFont="1">
      <alignment horizontal="center" readingOrder="0"/>
    </xf>
    <xf borderId="0" fillId="0" fontId="2" numFmtId="0" xfId="0" applyAlignment="1" applyFont="1">
      <alignment horizontal="center" readingOrder="0"/>
    </xf>
    <xf borderId="0" fillId="0" fontId="5" numFmtId="0" xfId="0" applyAlignment="1" applyFont="1">
      <alignment horizontal="center" readingOrder="0" vertical="bottom"/>
    </xf>
    <xf borderId="0" fillId="0" fontId="5" numFmtId="164" xfId="0" applyAlignment="1" applyFont="1" applyNumberFormat="1">
      <alignment horizontal="center" vertical="bottom"/>
    </xf>
    <xf borderId="0" fillId="0" fontId="5" numFmtId="0" xfId="0" applyAlignment="1" applyFont="1">
      <alignment readingOrder="0" vertical="bottom"/>
    </xf>
    <xf borderId="0" fillId="0" fontId="5" numFmtId="0" xfId="0" applyAlignment="1" applyFont="1">
      <alignment horizontal="center" vertical="bottom"/>
    </xf>
    <xf borderId="0" fillId="36" fontId="15" numFmtId="0" xfId="0" applyAlignment="1" applyFill="1" applyFont="1">
      <alignment horizontal="center" readingOrder="0"/>
    </xf>
    <xf borderId="0" fillId="37" fontId="15" numFmtId="0" xfId="0" applyAlignment="1" applyFill="1" applyFont="1">
      <alignment horizontal="center" vertical="bottom"/>
    </xf>
    <xf borderId="0" fillId="2" fontId="15" numFmtId="0" xfId="0" applyAlignment="1" applyFont="1">
      <alignment horizontal="center" readingOrder="0"/>
    </xf>
    <xf borderId="0" fillId="33" fontId="1" numFmtId="0" xfId="0" applyAlignment="1" applyFont="1">
      <alignment horizontal="center" readingOrder="0"/>
    </xf>
    <xf borderId="0" fillId="32" fontId="16" numFmtId="0" xfId="0" applyAlignment="1" applyFont="1">
      <alignment horizontal="center" vertical="bottom"/>
    </xf>
    <xf borderId="0" fillId="0" fontId="2" numFmtId="165" xfId="0" applyAlignment="1" applyFont="1" applyNumberFormat="1">
      <alignment readingOrder="0"/>
    </xf>
    <xf borderId="0" fillId="0" fontId="2" numFmtId="46" xfId="0" applyAlignment="1" applyFont="1" applyNumberFormat="1">
      <alignment readingOrder="0"/>
    </xf>
    <xf borderId="0" fillId="0" fontId="2" numFmtId="166" xfId="0" applyAlignment="1" applyFont="1" applyNumberFormat="1">
      <alignment readingOrder="0"/>
    </xf>
    <xf borderId="0" fillId="0" fontId="2" numFmtId="164" xfId="0" applyAlignment="1" applyFont="1" applyNumberFormat="1">
      <alignment readingOrder="0"/>
    </xf>
    <xf borderId="0" fillId="0" fontId="2" numFmtId="166" xfId="0" applyFont="1" applyNumberFormat="1"/>
    <xf borderId="0" fillId="0" fontId="2" numFmtId="167" xfId="0" applyFont="1" applyNumberFormat="1"/>
    <xf borderId="0" fillId="0" fontId="5" numFmtId="0" xfId="0" applyAlignment="1" applyFont="1">
      <alignment vertical="bottom"/>
    </xf>
    <xf borderId="0" fillId="0" fontId="5" numFmtId="165" xfId="0" applyAlignment="1" applyFont="1" applyNumberFormat="1">
      <alignment horizontal="right" readingOrder="0" vertical="bottom"/>
    </xf>
    <xf borderId="0" fillId="0" fontId="5" numFmtId="164" xfId="0" applyAlignment="1" applyFont="1" applyNumberFormat="1">
      <alignment vertical="bottom"/>
    </xf>
    <xf borderId="0" fillId="0" fontId="5" numFmtId="165" xfId="0" applyAlignment="1" applyFont="1" applyNumberFormat="1">
      <alignment horizontal="right" vertical="bottom"/>
    </xf>
    <xf borderId="0" fillId="0" fontId="5" numFmtId="0" xfId="0" applyAlignment="1" applyFont="1">
      <alignment vertical="bottom"/>
    </xf>
    <xf borderId="0" fillId="0" fontId="5" numFmtId="164" xfId="0" applyAlignment="1" applyFont="1" applyNumberFormat="1">
      <alignment horizontal="right" vertical="bottom"/>
    </xf>
    <xf borderId="0" fillId="0" fontId="2" numFmtId="165" xfId="0" applyFont="1" applyNumberFormat="1"/>
    <xf borderId="0" fillId="0" fontId="5" numFmtId="167" xfId="0" applyAlignment="1" applyFont="1" applyNumberFormat="1">
      <alignment horizontal="right" vertical="bottom"/>
    </xf>
    <xf borderId="0" fillId="0" fontId="5" numFmtId="0" xfId="0" applyAlignment="1" applyFont="1">
      <alignment horizontal="right" vertical="bottom"/>
    </xf>
    <xf borderId="0" fillId="0" fontId="2" numFmtId="168" xfId="0" applyAlignment="1" applyFont="1" applyNumberFormat="1">
      <alignment readingOrder="0"/>
    </xf>
    <xf borderId="0" fillId="15" fontId="5" numFmtId="0" xfId="0" applyAlignment="1" applyFont="1">
      <alignment vertical="bottom"/>
    </xf>
    <xf borderId="0" fillId="5" fontId="17" numFmtId="166" xfId="0" applyAlignment="1" applyFont="1" applyNumberFormat="1">
      <alignment horizontal="right" vertical="bottom"/>
    </xf>
    <xf borderId="1" fillId="0" fontId="18" numFmtId="0" xfId="0" applyAlignment="1" applyBorder="1" applyFont="1">
      <alignment readingOrder="0" shrinkToFit="0" wrapText="0"/>
    </xf>
    <xf borderId="0" fillId="0" fontId="2" numFmtId="46" xfId="0" applyFont="1" applyNumberFormat="1"/>
    <xf borderId="0" fillId="17" fontId="5" numFmtId="0" xfId="0" applyAlignment="1" applyFont="1">
      <alignment vertical="bottom"/>
    </xf>
    <xf borderId="0" fillId="17" fontId="5" numFmtId="0" xfId="0" applyAlignment="1" applyFont="1">
      <alignment readingOrder="0" vertical="bottom"/>
    </xf>
    <xf borderId="0" fillId="32" fontId="19" numFmtId="0" xfId="0" applyAlignment="1" applyFont="1">
      <alignment readingOrder="0"/>
    </xf>
    <xf borderId="0" fillId="15" fontId="5" numFmtId="0" xfId="0" applyAlignment="1" applyFont="1">
      <alignment readingOrder="0" vertical="bottom"/>
    </xf>
    <xf borderId="0" fillId="38" fontId="20" numFmtId="0" xfId="0" applyAlignment="1" applyFill="1" applyFont="1">
      <alignment readingOrder="0" vertical="bottom"/>
    </xf>
    <xf borderId="0" fillId="0" fontId="21" numFmtId="0" xfId="0" applyAlignment="1" applyFont="1">
      <alignment readingOrder="0"/>
    </xf>
    <xf borderId="0" fillId="0" fontId="22" numFmtId="0" xfId="0" applyAlignment="1" applyFont="1">
      <alignment readingOrder="0"/>
    </xf>
    <xf borderId="0" fillId="24" fontId="20" numFmtId="0" xfId="0" applyAlignment="1" applyFont="1">
      <alignment horizontal="center" readingOrder="0" vertical="bottom"/>
    </xf>
    <xf borderId="0" fillId="39" fontId="5" numFmtId="0" xfId="0" applyAlignment="1" applyFill="1" applyFont="1">
      <alignment horizontal="center" vertical="bottom"/>
    </xf>
    <xf borderId="0" fillId="8" fontId="5" numFmtId="0" xfId="0" applyAlignment="1" applyFont="1">
      <alignment vertical="bottom"/>
    </xf>
    <xf borderId="0" fillId="12" fontId="5" numFmtId="0" xfId="0" applyAlignment="1" applyFont="1">
      <alignment vertical="bottom"/>
    </xf>
    <xf borderId="0" fillId="10" fontId="5" numFmtId="0" xfId="0" applyAlignment="1" applyFont="1">
      <alignment vertical="bottom"/>
    </xf>
    <xf borderId="0" fillId="10" fontId="5" numFmtId="0" xfId="0" applyAlignment="1" applyFont="1">
      <alignment readingOrder="0" vertical="bottom"/>
    </xf>
    <xf borderId="0" fillId="11" fontId="5" numFmtId="0" xfId="0" applyAlignment="1" applyFont="1">
      <alignment vertical="bottom"/>
    </xf>
    <xf borderId="0" fillId="15" fontId="5" numFmtId="0" xfId="0" applyAlignment="1" applyFont="1">
      <alignment vertical="bottom"/>
    </xf>
    <xf borderId="0" fillId="5" fontId="23" numFmtId="164" xfId="0" applyAlignment="1" applyFont="1" applyNumberFormat="1">
      <alignment vertical="bottom"/>
    </xf>
    <xf borderId="2" fillId="5" fontId="5" numFmtId="164" xfId="0" applyAlignment="1" applyBorder="1" applyFont="1" applyNumberFormat="1">
      <alignment vertical="bottom"/>
    </xf>
    <xf borderId="0" fillId="40" fontId="24" numFmtId="164" xfId="0" applyAlignment="1" applyFill="1" applyFont="1" applyNumberFormat="1">
      <alignment vertical="bottom"/>
    </xf>
    <xf borderId="0" fillId="32" fontId="25" numFmtId="164" xfId="0" applyAlignment="1" applyFont="1" applyNumberFormat="1">
      <alignment vertical="bottom"/>
    </xf>
    <xf borderId="0" fillId="11" fontId="5" numFmtId="0" xfId="0" applyAlignment="1" applyFont="1">
      <alignment readingOrder="0" vertical="bottom"/>
    </xf>
    <xf borderId="0" fillId="41" fontId="5" numFmtId="164" xfId="0" applyAlignment="1" applyFill="1" applyFont="1" applyNumberFormat="1">
      <alignment vertical="bottom"/>
    </xf>
    <xf borderId="0" fillId="32" fontId="26" numFmtId="0" xfId="0" applyAlignment="1" applyFont="1">
      <alignment readingOrder="0" vertical="bottom"/>
    </xf>
    <xf borderId="0" fillId="31" fontId="5" numFmtId="0" xfId="0" applyAlignment="1" applyFont="1">
      <alignment vertical="bottom"/>
    </xf>
    <xf borderId="0" fillId="5" fontId="5" numFmtId="164" xfId="0" applyAlignment="1" applyFont="1" applyNumberFormat="1">
      <alignment vertical="bottom"/>
    </xf>
    <xf borderId="0" fillId="31" fontId="5" numFmtId="0" xfId="0" applyAlignment="1" applyFont="1">
      <alignment readingOrder="0" vertical="bottom"/>
    </xf>
    <xf borderId="0" fillId="39" fontId="5" numFmtId="0" xfId="0" applyAlignment="1" applyFont="1">
      <alignment horizontal="center" readingOrder="0" vertical="bottom"/>
    </xf>
    <xf borderId="0" fillId="32" fontId="10" numFmtId="0" xfId="0" applyAlignment="1" applyFont="1">
      <alignment vertical="bottom"/>
    </xf>
    <xf borderId="0" fillId="32" fontId="5" numFmtId="0" xfId="0" applyAlignment="1" applyFont="1">
      <alignment vertical="bottom"/>
    </xf>
    <xf borderId="0" fillId="31" fontId="5" numFmtId="164" xfId="0" applyAlignment="1" applyFont="1" applyNumberFormat="1">
      <alignment vertical="bottom"/>
    </xf>
    <xf borderId="2" fillId="0" fontId="5" numFmtId="164" xfId="0" applyAlignment="1" applyBorder="1" applyFont="1" applyNumberFormat="1">
      <alignment vertical="bottom"/>
    </xf>
    <xf borderId="0" fillId="42" fontId="25" numFmtId="0" xfId="0" applyAlignment="1" applyFill="1" applyFont="1">
      <alignment readingOrder="0"/>
    </xf>
    <xf borderId="3" fillId="0" fontId="5" numFmtId="0" xfId="0" applyAlignment="1" applyBorder="1" applyFont="1">
      <alignment readingOrder="0" vertical="center"/>
    </xf>
    <xf borderId="4" fillId="0" fontId="27" numFmtId="0" xfId="0" applyBorder="1" applyFont="1"/>
    <xf borderId="0" fillId="0" fontId="28" numFmtId="0" xfId="0" applyAlignment="1" applyFont="1">
      <alignment vertical="bottom"/>
    </xf>
    <xf borderId="2" fillId="0" fontId="5" numFmtId="0" xfId="0" applyAlignment="1" applyBorder="1" applyFont="1">
      <alignment vertical="bottom"/>
    </xf>
    <xf borderId="5" fillId="0" fontId="5" numFmtId="0" xfId="0" applyAlignment="1" applyBorder="1" applyFont="1">
      <alignment horizontal="center" readingOrder="0" vertical="center"/>
    </xf>
    <xf borderId="1" fillId="0" fontId="5" numFmtId="164" xfId="0" applyAlignment="1" applyBorder="1" applyFont="1" applyNumberFormat="1">
      <alignment vertical="bottom"/>
    </xf>
    <xf borderId="1" fillId="0" fontId="5" numFmtId="0" xfId="0" applyAlignment="1" applyBorder="1" applyFont="1">
      <alignment vertical="bottom"/>
    </xf>
    <xf borderId="1" fillId="5" fontId="5" numFmtId="164" xfId="0" applyAlignment="1" applyBorder="1" applyFont="1" applyNumberFormat="1">
      <alignment vertical="bottom"/>
    </xf>
    <xf borderId="6" fillId="0" fontId="27" numFmtId="0" xfId="0" applyBorder="1" applyFont="1"/>
    <xf borderId="0" fillId="19" fontId="5" numFmtId="164" xfId="0" applyAlignment="1" applyFont="1" applyNumberFormat="1">
      <alignment vertical="bottom"/>
    </xf>
    <xf borderId="0" fillId="40" fontId="5" numFmtId="164" xfId="0" applyAlignment="1" applyFont="1" applyNumberFormat="1">
      <alignment vertical="bottom"/>
    </xf>
    <xf borderId="0" fillId="8" fontId="5" numFmtId="0" xfId="0" applyAlignment="1" applyFont="1">
      <alignment readingOrder="0" vertical="bottom"/>
    </xf>
    <xf borderId="0" fillId="8" fontId="2" numFmtId="0" xfId="0" applyAlignment="1" applyFont="1">
      <alignment readingOrder="0"/>
    </xf>
    <xf borderId="0" fillId="0" fontId="2" numFmtId="0" xfId="0" applyAlignment="1" applyFont="1">
      <alignment horizontal="center"/>
    </xf>
    <xf borderId="0" fillId="5" fontId="5" numFmtId="0" xfId="0" applyAlignment="1" applyFont="1">
      <alignment vertical="bottom"/>
    </xf>
    <xf borderId="0" fillId="41" fontId="5" numFmtId="0" xfId="0" applyAlignment="1" applyFont="1">
      <alignment readingOrder="0" vertical="bottom"/>
    </xf>
    <xf borderId="0" fillId="41" fontId="2" numFmtId="0" xfId="0" applyAlignment="1" applyFont="1">
      <alignment readingOrder="0"/>
    </xf>
    <xf borderId="0" fillId="5" fontId="2" numFmtId="0" xfId="0" applyAlignment="1" applyFont="1">
      <alignment readingOrder="0"/>
    </xf>
    <xf borderId="0" fillId="11" fontId="2" numFmtId="0" xfId="0" applyAlignment="1" applyFont="1">
      <alignment readingOrder="0"/>
    </xf>
    <xf borderId="0" fillId="5" fontId="5" numFmtId="0" xfId="0" applyAlignment="1" applyFont="1">
      <alignment readingOrder="0" vertical="bottom"/>
    </xf>
    <xf borderId="0" fillId="5" fontId="2" numFmtId="164" xfId="0" applyFont="1" applyNumberFormat="1"/>
    <xf borderId="0" fillId="32" fontId="25" numFmtId="0" xfId="0" applyAlignment="1" applyFont="1">
      <alignment readingOrder="0"/>
    </xf>
    <xf borderId="0" fillId="0" fontId="2" numFmtId="164" xfId="0" applyAlignment="1" applyFont="1" applyNumberFormat="1">
      <alignment horizontal="center"/>
    </xf>
    <xf borderId="0" fillId="32" fontId="25" numFmtId="164" xfId="0" applyFont="1" applyNumberFormat="1"/>
    <xf borderId="0" fillId="17" fontId="2" numFmtId="0" xfId="0" applyAlignment="1" applyFont="1">
      <alignment readingOrder="0"/>
    </xf>
    <xf borderId="0" fillId="12" fontId="2" numFmtId="0" xfId="0" applyAlignment="1" applyFont="1">
      <alignment readingOrder="0"/>
    </xf>
    <xf borderId="0" fillId="43" fontId="2" numFmtId="0" xfId="0" applyAlignment="1" applyFill="1" applyFont="1">
      <alignment horizontal="center" readingOrder="0"/>
    </xf>
    <xf borderId="0" fillId="15" fontId="2" numFmtId="0" xfId="0" applyAlignment="1" applyFont="1">
      <alignment readingOrder="0"/>
    </xf>
    <xf borderId="0" fillId="40" fontId="2" numFmtId="0" xfId="0" applyAlignment="1" applyFont="1">
      <alignment horizontal="center" readingOrder="0"/>
    </xf>
    <xf borderId="0" fillId="19" fontId="2" numFmtId="0" xfId="0" applyAlignment="1" applyFont="1">
      <alignment readingOrder="0"/>
    </xf>
    <xf borderId="0" fillId="0" fontId="2" numFmtId="0" xfId="0" applyAlignment="1" applyFont="1">
      <alignment horizontal="center" readingOrder="0" vertical="center"/>
    </xf>
    <xf borderId="0" fillId="44" fontId="3" numFmtId="0" xfId="0" applyAlignment="1" applyFill="1" applyFont="1">
      <alignment readingOrder="0"/>
    </xf>
    <xf borderId="0" fillId="16" fontId="9" numFmtId="0" xfId="0" applyAlignment="1" applyFont="1">
      <alignment readingOrder="0"/>
    </xf>
    <xf borderId="0" fillId="44" fontId="8" numFmtId="0" xfId="0" applyAlignment="1" applyFont="1">
      <alignment readingOrder="0"/>
    </xf>
    <xf borderId="0" fillId="19" fontId="2" numFmtId="0" xfId="0" applyAlignment="1" applyFont="1">
      <alignment horizontal="center" readingOrder="0"/>
    </xf>
    <xf borderId="0" fillId="45" fontId="2" numFmtId="0" xfId="0" applyAlignment="1" applyFill="1" applyFont="1">
      <alignment readingOrder="0"/>
    </xf>
    <xf borderId="0" fillId="5" fontId="5" numFmtId="0" xfId="0" applyAlignment="1" applyFont="1">
      <alignment horizontal="center" readingOrder="0" vertical="bottom"/>
    </xf>
    <xf borderId="0" fillId="8" fontId="5" numFmtId="0" xfId="0" applyAlignment="1" applyFont="1">
      <alignment vertical="bottom"/>
    </xf>
    <xf borderId="0" fillId="17" fontId="5" numFmtId="0" xfId="0" applyAlignment="1" applyFont="1">
      <alignment vertical="bottom"/>
    </xf>
    <xf borderId="0" fillId="12" fontId="5" numFmtId="0" xfId="0" applyAlignment="1" applyFont="1">
      <alignment vertical="bottom"/>
    </xf>
    <xf borderId="0" fillId="45" fontId="5" numFmtId="0" xfId="0" applyAlignment="1" applyFont="1">
      <alignment readingOrder="0" vertical="bottom"/>
    </xf>
  </cellXfs>
  <cellStyles count="1">
    <cellStyle xfId="0" name="Normal" builtinId="0"/>
  </cellStyles>
  <dxfs count="16">
    <dxf>
      <font>
        <color rgb="FF666666"/>
      </font>
      <fill>
        <patternFill patternType="solid">
          <fgColor rgb="FFD9D9D9"/>
          <bgColor rgb="FFD9D9D9"/>
        </patternFill>
      </fill>
      <border/>
    </dxf>
    <dxf>
      <font/>
      <fill>
        <patternFill patternType="solid">
          <fgColor rgb="FFCFE2F3"/>
          <bgColor rgb="FFCFE2F3"/>
        </patternFill>
      </fill>
      <border/>
    </dxf>
    <dxf>
      <font/>
      <fill>
        <patternFill patternType="solid">
          <fgColor rgb="FFD0E0E3"/>
          <bgColor rgb="FFD0E0E3"/>
        </patternFill>
      </fill>
      <border/>
    </dxf>
    <dxf>
      <font/>
      <fill>
        <patternFill patternType="solid">
          <fgColor rgb="FFFFE599"/>
          <bgColor rgb="FFFFE599"/>
        </patternFill>
      </fill>
      <border/>
    </dxf>
    <dxf>
      <font/>
      <fill>
        <patternFill patternType="solid">
          <fgColor rgb="FFB7B7B7"/>
          <bgColor rgb="FFB7B7B7"/>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CE5CD"/>
          <bgColor rgb="FFFCE5CD"/>
        </patternFill>
      </fill>
      <border/>
    </dxf>
    <dxf>
      <font/>
      <fill>
        <patternFill patternType="solid">
          <fgColor rgb="FFB6D7A8"/>
          <bgColor rgb="FFB6D7A8"/>
        </patternFill>
      </fill>
      <border/>
    </dxf>
    <dxf>
      <font/>
      <fill>
        <patternFill patternType="solid">
          <fgColor rgb="FFD9D9D9"/>
          <bgColor rgb="FFD9D9D9"/>
        </patternFill>
      </fill>
      <border/>
    </dxf>
    <dxf>
      <font>
        <color rgb="FFFFFFFF"/>
      </font>
      <fill>
        <patternFill patternType="solid">
          <fgColor rgb="FF434343"/>
          <bgColor rgb="FF434343"/>
        </patternFill>
      </fill>
      <border/>
    </dxf>
    <dxf>
      <font>
        <b/>
        <color rgb="FFFFFF00"/>
      </font>
      <fill>
        <patternFill patternType="solid">
          <fgColor rgb="FF6AA84F"/>
          <bgColor rgb="FF6AA84F"/>
        </patternFill>
      </fill>
      <border/>
    </dxf>
    <dxf>
      <font>
        <color rgb="FF434343"/>
      </font>
      <fill>
        <patternFill patternType="solid">
          <fgColor rgb="FFF4CCCC"/>
          <bgColor rgb="FFF4CCCC"/>
        </patternFill>
      </fill>
      <border/>
    </dxf>
    <dxf>
      <font>
        <color rgb="FF666666"/>
      </font>
      <fill>
        <patternFill patternType="solid">
          <fgColor rgb="FFFFF2CC"/>
          <bgColor rgb="FFFFF2CC"/>
        </patternFill>
      </fill>
      <border/>
    </dxf>
    <dxf>
      <font>
        <color rgb="FF666666"/>
      </font>
      <fill>
        <patternFill patternType="solid">
          <fgColor rgb="FFFCE5CD"/>
          <bgColor rgb="FFFCE5CD"/>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vrchat.com/home/world/wrld_c4d985d3-11de-4a89-9e8b-60b0342a1676" TargetMode="External"/><Relationship Id="rId2" Type="http://schemas.openxmlformats.org/officeDocument/2006/relationships/hyperlink" Target="https://vrchat.com/home/world/wrld_a6f9cdae-d393-4572-b019-015e4ec6eb35" TargetMode="External"/><Relationship Id="rId3" Type="http://schemas.openxmlformats.org/officeDocument/2006/relationships/hyperlink" Target="https://vrchat.com/home/world/wrld_c0f03f3e-ca4c-48cb-8aea-14ed13c1ee03" TargetMode="External"/><Relationship Id="rId4" Type="http://schemas.openxmlformats.org/officeDocument/2006/relationships/hyperlink" Target="https://vrchat.com/home/world/wrld_b52d7669-cf0d-4392-8900-c3e79d16ccbc" TargetMode="External"/><Relationship Id="rId11" Type="http://schemas.openxmlformats.org/officeDocument/2006/relationships/hyperlink" Target="https://vrchat.com/home/world/wrld_0c982147-aa72-485a-8e56-139dfdfc30c6/info" TargetMode="External"/><Relationship Id="rId10" Type="http://schemas.openxmlformats.org/officeDocument/2006/relationships/hyperlink" Target="https://vrchat.com/home/world/wrld_2a3df68a-86a8-4949-86a3-f4cac379ac0a" TargetMode="External"/><Relationship Id="rId12" Type="http://schemas.openxmlformats.org/officeDocument/2006/relationships/drawing" Target="../drawings/drawing6.xml"/><Relationship Id="rId9" Type="http://schemas.openxmlformats.org/officeDocument/2006/relationships/hyperlink" Target="https://vrchat.com/home/world/wrld_12078402-aa36-47ef-8caa-34cd3ef3611d" TargetMode="External"/><Relationship Id="rId5" Type="http://schemas.openxmlformats.org/officeDocument/2006/relationships/hyperlink" Target="https://vrchat.com/home/world/wrld_f3313f6c-5230-426f-bf7c-434aae5852c0" TargetMode="External"/><Relationship Id="rId6" Type="http://schemas.openxmlformats.org/officeDocument/2006/relationships/hyperlink" Target="https://vrchat.com/home/world/wrld_f0ec2982-a3e8-4d54-93b5-b486e8694b03" TargetMode="External"/><Relationship Id="rId7" Type="http://schemas.openxmlformats.org/officeDocument/2006/relationships/hyperlink" Target="https://vrchat.com/home/world/wrld_daf7fdf0-228a-471e-8f6c-be51ad153891" TargetMode="External"/><Relationship Id="rId8" Type="http://schemas.openxmlformats.org/officeDocument/2006/relationships/hyperlink" Target="https://vrchat.com/home/world/wrld_04ff549e-6b5a-4a9a-a60e-a3df4c03877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forms/d/e/1FAIpQLSeYYHnUBb1k2oVMGo9z-HQobcBoik6MyfTBy0EMACONnw6p6A/viewform?usp=dialo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s>
  <sheetData>
    <row r="1">
      <c r="A1" s="1" t="s">
        <v>0</v>
      </c>
      <c r="I1" s="2" t="s">
        <v>1</v>
      </c>
      <c r="Q1" s="3" t="s">
        <v>2</v>
      </c>
      <c r="Y1" s="4" t="s">
        <v>3</v>
      </c>
      <c r="Z1" s="5"/>
      <c r="AA1" s="5"/>
      <c r="AB1" s="5"/>
      <c r="AC1" s="5"/>
      <c r="AD1" s="5"/>
      <c r="AE1" s="5"/>
      <c r="AF1" s="5"/>
      <c r="AG1" s="5"/>
      <c r="AH1" s="5"/>
      <c r="AI1" s="5"/>
      <c r="AJ1" s="5"/>
      <c r="AK1" s="5"/>
      <c r="AL1" s="5"/>
    </row>
    <row r="2">
      <c r="A2" s="6" t="s">
        <v>4</v>
      </c>
      <c r="E2" s="6" t="s">
        <v>5</v>
      </c>
      <c r="I2" s="7" t="s">
        <v>6</v>
      </c>
      <c r="M2" s="8" t="s">
        <v>7</v>
      </c>
      <c r="Q2" s="9" t="s">
        <v>8</v>
      </c>
      <c r="U2" s="10" t="s">
        <v>9</v>
      </c>
      <c r="Y2" s="5"/>
      <c r="Z2" s="5"/>
      <c r="AA2" s="5"/>
      <c r="AB2" s="5"/>
      <c r="AC2" s="5"/>
      <c r="AD2" s="5"/>
      <c r="AE2" s="5"/>
      <c r="AF2" s="5"/>
      <c r="AG2" s="5"/>
      <c r="AH2" s="5"/>
      <c r="AI2" s="5"/>
      <c r="AJ2" s="5"/>
      <c r="AK2" s="5"/>
      <c r="AL2" s="5"/>
    </row>
    <row r="3">
      <c r="A3" s="11" t="str">
        <f>IFERROR(__xludf.DUMMYFUNCTION("LET(
  賽道, ""Akina"",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3" s="11" t="str">
        <f>IFERROR(__xludf.DUMMYFUNCTION("""COMPUTED_VALUE"""),"Time時間")</f>
        <v>Time時間</v>
      </c>
      <c r="C3" s="11" t="str">
        <f>IFERROR(__xludf.DUMMYFUNCTION("""COMPUTED_VALUE"""),"Car車種")</f>
        <v>Car車種</v>
      </c>
      <c r="D3" s="11" t="str">
        <f>IFERROR(__xludf.DUMMYFUNCTION("""COMPUTED_VALUE"""),"Platform平台")</f>
        <v>Platform平台</v>
      </c>
      <c r="E3" s="11" t="str">
        <f>IFERROR(__xludf.DUMMYFUNCTION("LET(
  賽道, ""Akina"",
  路線, ""UH"",
  系統, ""Sacc"",
  原始, FILTER('歷史紀錄'!E2:H1168, '歷史紀錄'!B2:B1168=賽道, '歷史紀錄'!C2:C1168=路線, '歷史紀錄'!I2:I1168=系統),
  排序後, SORT(原始, 2, TRUE),
  玩家, INDEX(排序後,,1),
  唯一玩家, UNIQUE(玩家),
  結果,
    MAP(唯一玩家, LAMBDA(p,
      INDEX(FIL"&amp;"TER(排序後, INDEX(排序後,,1)=p),1,0)
    )),
  表頭, {""Player玩家"",""Time時間"",""Car車種"",""Platform平台""},
  VSTACK(表頭, 結果)
)
"),"Player玩家")</f>
        <v>Player玩家</v>
      </c>
      <c r="F3" s="11" t="str">
        <f>IFERROR(__xludf.DUMMYFUNCTION("""COMPUTED_VALUE"""),"Time時間")</f>
        <v>Time時間</v>
      </c>
      <c r="G3" s="11" t="str">
        <f>IFERROR(__xludf.DUMMYFUNCTION("""COMPUTED_VALUE"""),"Car車種")</f>
        <v>Car車種</v>
      </c>
      <c r="H3" s="11" t="str">
        <f>IFERROR(__xludf.DUMMYFUNCTION("""COMPUTED_VALUE"""),"Platform平台")</f>
        <v>Platform平台</v>
      </c>
      <c r="I3" s="11" t="str">
        <f>IFERROR(__xludf.DUMMYFUNCTION("LET(
  賽道, ""Nagao"",
  路線, ""DH"",
  系統, ""CVS"",
  原始, FILTER('歷史紀錄'!E2:H1168, '歷史紀錄'!B2:B1168=賽道, '歷史紀錄'!C2:C1168=路線, '歷史紀錄'!I2:I1168=系統),
  排序後, SORT(原始, 2, TRUE),
  玩家, INDEX(排序後,,1),
  唯一玩家, UNIQUE(玩家),
  結果,
    MAP(唯一玩家, LAMBDA(p,
      INDEX(FILT"&amp;"ER(排序後, INDEX(排序後,,1)=p),1,0)
    )),
  表頭, {""Player玩家"",""Time時間"",""Car車種"",""Platform平台""},
  VSTACK(表頭, 結果)
)
"),"Player玩家")</f>
        <v>Player玩家</v>
      </c>
      <c r="J3" s="11" t="str">
        <f>IFERROR(__xludf.DUMMYFUNCTION("""COMPUTED_VALUE"""),"Time時間")</f>
        <v>Time時間</v>
      </c>
      <c r="K3" s="11" t="str">
        <f>IFERROR(__xludf.DUMMYFUNCTION("""COMPUTED_VALUE"""),"Car車種")</f>
        <v>Car車種</v>
      </c>
      <c r="L3" s="11" t="str">
        <f>IFERROR(__xludf.DUMMYFUNCTION("""COMPUTED_VALUE"""),"Platform平台")</f>
        <v>Platform平台</v>
      </c>
      <c r="M3" s="11" t="str">
        <f>IFERROR(__xludf.DUMMYFUNCTION("LET(
  賽道, ""Shomaru"",
  路線, """",
  系統, ""CVS"",
  原始, FILTER('歷史紀錄'!E2:H1168, '歷史紀錄'!B2:B1168=賽道, '歷史紀錄'!C2:C1168=路線, '歷史紀錄'!I2:I1168=系統),
  排序後, SORT(原始, 2, TRUE),
  玩家, INDEX(排序後,,1),
  唯一玩家, UNIQUE(玩家),
  結果,
    MAP(唯一玩家, LAMBDA(p,
      INDEX(FILT"&amp;"ER(排序後, INDEX(排序後,,1)=p),1,0)
    )),
  表頭, {""Player玩家"",""Time時間"",""Car車種"",""Platform平台""},
  VSTACK(表頭, 結果)
)
"),"Player玩家")</f>
        <v>Player玩家</v>
      </c>
      <c r="N3" s="11" t="str">
        <f>IFERROR(__xludf.DUMMYFUNCTION("""COMPUTED_VALUE"""),"Time時間")</f>
        <v>Time時間</v>
      </c>
      <c r="O3" s="11" t="str">
        <f>IFERROR(__xludf.DUMMYFUNCTION("""COMPUTED_VALUE"""),"Car車種")</f>
        <v>Car車種</v>
      </c>
      <c r="P3" s="11" t="str">
        <f>IFERROR(__xludf.DUMMYFUNCTION("""COMPUTED_VALUE"""),"Platform平台")</f>
        <v>Platform平台</v>
      </c>
      <c r="Q3" s="11" t="str">
        <f>IFERROR(__xludf.DUMMYFUNCTION("LET(
  賽道, ""PT:9T"",
  路線, ""DH"",
  系統, ""CVS"",
  原始, FILTER('歷史紀錄'!E2:H1168, '歷史紀錄'!B2:B1168=賽道, '歷史紀錄'!C2:C1168=路線, '歷史紀錄'!I2:I1168=系統),
  排序後, SORT(原始, 2, TRUE),
  玩家, INDEX(排序後,,1),
  唯一玩家, UNIQUE(玩家),
  結果,
    MAP(唯一玩家, LAMBDA(p,
      INDEX(FILT"&amp;"ER(排序後, INDEX(排序後,,1)=p),1,0)
    )),
  表頭, {""Player玩家"",""Time時間"",""Car車種"",""Platform平台""},
  VSTACK(表頭, 結果)
)
"),"Player玩家")</f>
        <v>Player玩家</v>
      </c>
      <c r="R3" s="11" t="str">
        <f>IFERROR(__xludf.DUMMYFUNCTION("""COMPUTED_VALUE"""),"Time時間")</f>
        <v>Time時間</v>
      </c>
      <c r="S3" s="11" t="str">
        <f>IFERROR(__xludf.DUMMYFUNCTION("""COMPUTED_VALUE"""),"Car車種")</f>
        <v>Car車種</v>
      </c>
      <c r="T3" s="11" t="str">
        <f>IFERROR(__xludf.DUMMYFUNCTION("""COMPUTED_VALUE"""),"Platform平台")</f>
        <v>Platform平台</v>
      </c>
      <c r="U3" s="11" t="s">
        <v>10</v>
      </c>
      <c r="V3" s="11" t="s">
        <v>11</v>
      </c>
      <c r="W3" s="11" t="s">
        <v>12</v>
      </c>
      <c r="X3" s="11" t="s">
        <v>13</v>
      </c>
      <c r="Y3" s="5"/>
      <c r="Z3" s="5"/>
      <c r="AA3" s="5"/>
      <c r="AB3" s="5"/>
      <c r="AC3" s="5"/>
      <c r="AD3" s="5"/>
      <c r="AE3" s="5"/>
      <c r="AF3" s="5"/>
      <c r="AG3" s="5"/>
      <c r="AH3" s="5"/>
      <c r="AI3" s="5"/>
      <c r="AJ3" s="5"/>
      <c r="AK3" s="5"/>
      <c r="AL3" s="5"/>
    </row>
    <row r="4">
      <c r="A4" s="5" t="str">
        <f>IFERROR(__xludf.DUMMYFUNCTION("""COMPUTED_VALUE"""),"Lolidia")</f>
        <v>Lolidia</v>
      </c>
      <c r="B4" s="5">
        <f>IFERROR(__xludf.DUMMYFUNCTION("""COMPUTED_VALUE"""),0.0023936574074074073)</f>
        <v>0.002393657407</v>
      </c>
      <c r="C4" s="5" t="str">
        <f>IFERROR(__xludf.DUMMYFUNCTION("""COMPUTED_VALUE"""),"AE86T-V2")</f>
        <v>AE86T-V2</v>
      </c>
      <c r="D4" s="5" t="str">
        <f>IFERROR(__xludf.DUMMYFUNCTION("""COMPUTED_VALUE"""),"PCVR")</f>
        <v>PCVR</v>
      </c>
      <c r="E4" s="5" t="str">
        <f>IFERROR(__xludf.DUMMYFUNCTION("""COMPUTED_VALUE"""),"Lolidia")</f>
        <v>Lolidia</v>
      </c>
      <c r="F4" s="5">
        <f>IFERROR(__xludf.DUMMYFUNCTION("""COMPUTED_VALUE"""),0.002610914351851852)</f>
        <v>0.002610914352</v>
      </c>
      <c r="G4" s="5" t="str">
        <f>IFERROR(__xludf.DUMMYFUNCTION("""COMPUTED_VALUE"""),"AE86T-V2")</f>
        <v>AE86T-V2</v>
      </c>
      <c r="H4" s="5" t="str">
        <f>IFERROR(__xludf.DUMMYFUNCTION("""COMPUTED_VALUE"""),"PCVR")</f>
        <v>PCVR</v>
      </c>
      <c r="I4" s="5" t="str">
        <f>IFERROR(__xludf.DUMMYFUNCTION("""COMPUTED_VALUE"""),"ねぎたま")</f>
        <v>ねぎたま</v>
      </c>
      <c r="J4" s="5">
        <f>IFERROR(__xludf.DUMMYFUNCTION("""COMPUTED_VALUE"""),0.002542025462962963)</f>
        <v>0.002542025463</v>
      </c>
      <c r="K4" s="5" t="str">
        <f>IFERROR(__xludf.DUMMYFUNCTION("""COMPUTED_VALUE"""),"X7 RR")</f>
        <v>X7 RR</v>
      </c>
      <c r="L4" s="5" t="str">
        <f>IFERROR(__xludf.DUMMYFUNCTION("""COMPUTED_VALUE"""),"PCVR")</f>
        <v>PCVR</v>
      </c>
      <c r="M4" s="5" t="str">
        <f>IFERROR(__xludf.DUMMYFUNCTION("""COMPUTED_VALUE"""),"#N/A")</f>
        <v>#N/A</v>
      </c>
      <c r="N4" s="5" t="str">
        <f>IFERROR(__xludf.DUMMYFUNCTION("""COMPUTED_VALUE"""),"#N/A")</f>
        <v>#N/A</v>
      </c>
      <c r="O4" s="5" t="str">
        <f>IFERROR(__xludf.DUMMYFUNCTION("""COMPUTED_VALUE"""),"#N/A")</f>
        <v>#N/A</v>
      </c>
      <c r="P4" s="5" t="str">
        <f>IFERROR(__xludf.DUMMYFUNCTION("""COMPUTED_VALUE"""),"#N/A")</f>
        <v>#N/A</v>
      </c>
      <c r="Q4" s="5" t="str">
        <f>IFERROR(__xludf.DUMMYFUNCTION("""COMPUTED_VALUE"""),"MotherEVO")</f>
        <v>MotherEVO</v>
      </c>
      <c r="R4" s="5">
        <f>IFERROR(__xludf.DUMMYFUNCTION("""COMPUTED_VALUE"""),0.0038710300925925926)</f>
        <v>0.003871030093</v>
      </c>
      <c r="S4" s="5" t="str">
        <f>IFERROR(__xludf.DUMMYFUNCTION("""COMPUTED_VALUE"""),"EVOIII/CE9A")</f>
        <v>EVOIII/CE9A</v>
      </c>
      <c r="T4" s="5" t="str">
        <f>IFERROR(__xludf.DUMMYFUNCTION("""COMPUTED_VALUE"""),"PCVR")</f>
        <v>PCVR</v>
      </c>
      <c r="U4" s="5"/>
      <c r="V4" s="5"/>
      <c r="W4" s="5"/>
      <c r="X4" s="5"/>
      <c r="Y4" s="5"/>
      <c r="Z4" s="5"/>
      <c r="AA4" s="5"/>
      <c r="AB4" s="5"/>
      <c r="AC4" s="5"/>
      <c r="AD4" s="5"/>
      <c r="AE4" s="5"/>
      <c r="AF4" s="5"/>
      <c r="AG4" s="5"/>
      <c r="AH4" s="5"/>
      <c r="AI4" s="5"/>
      <c r="AJ4" s="5"/>
      <c r="AK4" s="5"/>
      <c r="AL4" s="5"/>
    </row>
    <row r="5">
      <c r="A5" s="5" t="str">
        <f>IFERROR(__xludf.DUMMYFUNCTION("""COMPUTED_VALUE"""),"ikuhopen")</f>
        <v>ikuhopen</v>
      </c>
      <c r="B5" s="5">
        <f>IFERROR(__xludf.DUMMYFUNCTION("""COMPUTED_VALUE"""),0.002443599537037037)</f>
        <v>0.002443599537</v>
      </c>
      <c r="C5" s="5" t="str">
        <f>IFERROR(__xludf.DUMMYFUNCTION("""COMPUTED_VALUE"""),"GR86/ZN8")</f>
        <v>GR86/ZN8</v>
      </c>
      <c r="D5" s="5" t="str">
        <f>IFERROR(__xludf.DUMMYFUNCTION("""COMPUTED_VALUE"""),"PCVR")</f>
        <v>PCVR</v>
      </c>
      <c r="E5" s="5" t="str">
        <f>IFERROR(__xludf.DUMMYFUNCTION("""COMPUTED_VALUE"""),"ZihChin")</f>
        <v>ZihChin</v>
      </c>
      <c r="F5" s="5">
        <f>IFERROR(__xludf.DUMMYFUNCTION("""COMPUTED_VALUE"""),0.0027186689814814816)</f>
        <v>0.002718668981</v>
      </c>
      <c r="G5" s="5" t="str">
        <f>IFERROR(__xludf.DUMMYFUNCTION("""COMPUTED_VALUE"""),"GT86/ZN6")</f>
        <v>GT86/ZN6</v>
      </c>
      <c r="H5" s="5" t="str">
        <f>IFERROR(__xludf.DUMMYFUNCTION("""COMPUTED_VALUE"""),"PC")</f>
        <v>PC</v>
      </c>
      <c r="I5" s="12" t="str">
        <f>IFERROR(__xludf.DUMMYFUNCTION("""COMPUTED_VALUE"""),"StarRiver Arts")</f>
        <v>StarRiver Arts</v>
      </c>
      <c r="J5" s="12">
        <f>IFERROR(__xludf.DUMMYFUNCTION("""COMPUTED_VALUE"""),0.0034108796296296296)</f>
        <v>0.00341087963</v>
      </c>
      <c r="K5" s="12" t="str">
        <f>IFERROR(__xludf.DUMMYFUNCTION("""COMPUTED_VALUE"""),"Karin 96")</f>
        <v>Karin 96</v>
      </c>
      <c r="L5" s="12" t="str">
        <f>IFERROR(__xludf.DUMMYFUNCTION("""COMPUTED_VALUE"""),"PC")</f>
        <v>PC</v>
      </c>
      <c r="M5" s="12"/>
      <c r="N5" s="5"/>
      <c r="O5" s="5"/>
      <c r="P5" s="5"/>
      <c r="Q5" s="5" t="str">
        <f>IFERROR(__xludf.DUMMYFUNCTION("""COMPUTED_VALUE"""),"Lolidia")</f>
        <v>Lolidia</v>
      </c>
      <c r="R5" s="13">
        <f>IFERROR(__xludf.DUMMYFUNCTION("""COMPUTED_VALUE"""),0.004538715277777778)</f>
        <v>0.004538715278</v>
      </c>
      <c r="S5" s="14" t="str">
        <f>IFERROR(__xludf.DUMMYFUNCTION("""COMPUTED_VALUE"""),"SampleCar")</f>
        <v>SampleCar</v>
      </c>
      <c r="T5" s="5" t="str">
        <f>IFERROR(__xludf.DUMMYFUNCTION("""COMPUTED_VALUE"""),"PCVR")</f>
        <v>PCVR</v>
      </c>
      <c r="U5" s="5"/>
      <c r="V5" s="5"/>
      <c r="W5" s="5"/>
      <c r="X5" s="5"/>
      <c r="Y5" s="5"/>
      <c r="Z5" s="5"/>
      <c r="AA5" s="5"/>
      <c r="AB5" s="5"/>
      <c r="AC5" s="5"/>
      <c r="AD5" s="5"/>
      <c r="AE5" s="5"/>
      <c r="AF5" s="5"/>
      <c r="AG5" s="5"/>
      <c r="AH5" s="5"/>
      <c r="AI5" s="5"/>
      <c r="AJ5" s="5"/>
      <c r="AK5" s="5"/>
      <c r="AL5" s="5"/>
    </row>
    <row r="6">
      <c r="A6" s="5" t="str">
        <f>IFERROR(__xludf.DUMMYFUNCTION("""COMPUTED_VALUE"""),"菲娜 希琉絲")</f>
        <v>菲娜 希琉絲</v>
      </c>
      <c r="B6" s="5">
        <f>IFERROR(__xludf.DUMMYFUNCTION("""COMPUTED_VALUE"""),0.0024633449074074076)</f>
        <v>0.002463344907</v>
      </c>
      <c r="C6" s="5" t="str">
        <f>IFERROR(__xludf.DUMMYFUNCTION("""COMPUTED_VALUE"""),"AE86T-V2")</f>
        <v>AE86T-V2</v>
      </c>
      <c r="D6" s="5" t="str">
        <f>IFERROR(__xludf.DUMMYFUNCTION("""COMPUTED_VALUE"""),"PCVR")</f>
        <v>PCVR</v>
      </c>
      <c r="E6" s="5" t="str">
        <f>IFERROR(__xludf.DUMMYFUNCTION("""COMPUTED_VALUE"""),"StarRiver Arts")</f>
        <v>StarRiver Arts</v>
      </c>
      <c r="F6" s="5">
        <f>IFERROR(__xludf.DUMMYFUNCTION("""COMPUTED_VALUE"""),0.0029733796296296296)</f>
        <v>0.00297337963</v>
      </c>
      <c r="G6" s="5" t="str">
        <f>IFERROR(__xludf.DUMMYFUNCTION("""COMPUTED_VALUE"""),"EVOIV/CN9A")</f>
        <v>EVOIV/CN9A</v>
      </c>
      <c r="H6" s="5" t="str">
        <f>IFERROR(__xludf.DUMMYFUNCTION("""COMPUTED_VALUE"""),"PC")</f>
        <v>PC</v>
      </c>
      <c r="I6" s="12" t="str">
        <f>IFERROR(__xludf.DUMMYFUNCTION("""COMPUTED_VALUE"""),"Test Driver")</f>
        <v>Test Driver</v>
      </c>
      <c r="J6" s="12">
        <f>IFERROR(__xludf.DUMMYFUNCTION("""COMPUTED_VALUE"""),0.006944444444444444)</f>
        <v>0.006944444444</v>
      </c>
      <c r="K6" s="12" t="str">
        <f>IFERROR(__xludf.DUMMYFUNCTION("""COMPUTED_VALUE"""),"Comet Custom")</f>
        <v>Comet Custom</v>
      </c>
      <c r="L6" s="12"/>
      <c r="M6" s="12"/>
      <c r="N6" s="5"/>
      <c r="O6" s="5"/>
      <c r="P6" s="5"/>
      <c r="Q6" s="5" t="str">
        <f>IFERROR(__xludf.DUMMYFUNCTION("""COMPUTED_VALUE"""),"Lireth")</f>
        <v>Lireth</v>
      </c>
      <c r="R6" s="13">
        <f>IFERROR(__xludf.DUMMYFUNCTION("""COMPUTED_VALUE"""),0.0047026041666666666)</f>
        <v>0.004702604167</v>
      </c>
      <c r="S6" s="14" t="str">
        <f>IFERROR(__xludf.DUMMYFUNCTION("""COMPUTED_VALUE"""),"SampleCar")</f>
        <v>SampleCar</v>
      </c>
      <c r="T6" s="5" t="str">
        <f>IFERROR(__xludf.DUMMYFUNCTION("""COMPUTED_VALUE"""),"PCVR")</f>
        <v>PCVR</v>
      </c>
      <c r="U6" s="5"/>
      <c r="V6" s="5"/>
      <c r="W6" s="5"/>
      <c r="X6" s="5"/>
      <c r="Y6" s="5"/>
      <c r="Z6" s="5"/>
      <c r="AA6" s="5"/>
      <c r="AB6" s="5"/>
      <c r="AC6" s="5"/>
      <c r="AD6" s="5"/>
      <c r="AE6" s="5"/>
      <c r="AF6" s="5"/>
      <c r="AG6" s="5"/>
      <c r="AH6" s="5"/>
      <c r="AI6" s="5"/>
      <c r="AJ6" s="5"/>
      <c r="AK6" s="5"/>
      <c r="AL6" s="5"/>
    </row>
    <row r="7">
      <c r="A7" s="5" t="str">
        <f>IFERROR(__xludf.DUMMYFUNCTION("""COMPUTED_VALUE"""),"『Sigma』")</f>
        <v>『Sigma』</v>
      </c>
      <c r="B7" s="5">
        <f>IFERROR(__xludf.DUMMYFUNCTION("""COMPUTED_VALUE"""),0.002495983796296296)</f>
        <v>0.002495983796</v>
      </c>
      <c r="C7" s="5" t="str">
        <f>IFERROR(__xludf.DUMMYFUNCTION("""COMPUTED_VALUE"""),"AE86T-V2")</f>
        <v>AE86T-V2</v>
      </c>
      <c r="D7" s="5" t="str">
        <f>IFERROR(__xludf.DUMMYFUNCTION("""COMPUTED_VALUE"""),"PC")</f>
        <v>PC</v>
      </c>
      <c r="E7" s="5" t="str">
        <f>IFERROR(__xludf.DUMMYFUNCTION("""COMPUTED_VALUE"""),"Test Driver")</f>
        <v>Test Driver</v>
      </c>
      <c r="F7" s="5">
        <f>IFERROR(__xludf.DUMMYFUNCTION("""COMPUTED_VALUE"""),0.006944444444444444)</f>
        <v>0.006944444444</v>
      </c>
      <c r="G7" s="5" t="str">
        <f>IFERROR(__xludf.DUMMYFUNCTION("""COMPUTED_VALUE"""),"180SX")</f>
        <v>180SX</v>
      </c>
      <c r="H7" s="5"/>
      <c r="I7" s="12"/>
      <c r="J7" s="12"/>
      <c r="K7" s="12"/>
      <c r="L7" s="12"/>
      <c r="M7" s="12"/>
      <c r="N7" s="5"/>
      <c r="O7" s="5"/>
      <c r="P7" s="5"/>
      <c r="Q7" s="5" t="str">
        <f>IFERROR(__xludf.DUMMYFUNCTION("""COMPUTED_VALUE"""),"アビドサスヒカリ")</f>
        <v>アビドサスヒカリ</v>
      </c>
      <c r="R7" s="13">
        <f>IFERROR(__xludf.DUMMYFUNCTION("""COMPUTED_VALUE"""),0.004801944444444445)</f>
        <v>0.004801944444</v>
      </c>
      <c r="S7" s="14" t="str">
        <f>IFERROR(__xludf.DUMMYFUNCTION("""COMPUTED_VALUE"""),"EVOIII/CE9A")</f>
        <v>EVOIII/CE9A</v>
      </c>
      <c r="T7" s="5" t="str">
        <f>IFERROR(__xludf.DUMMYFUNCTION("""COMPUTED_VALUE"""),"PC")</f>
        <v>PC</v>
      </c>
      <c r="U7" s="5"/>
      <c r="V7" s="5"/>
      <c r="W7" s="5"/>
      <c r="X7" s="5"/>
      <c r="Y7" s="5"/>
      <c r="Z7" s="5"/>
      <c r="AA7" s="5"/>
      <c r="AB7" s="5"/>
      <c r="AC7" s="5"/>
      <c r="AD7" s="5"/>
      <c r="AE7" s="5"/>
      <c r="AF7" s="5"/>
      <c r="AG7" s="5"/>
      <c r="AH7" s="5"/>
      <c r="AI7" s="5"/>
      <c r="AJ7" s="5"/>
      <c r="AK7" s="5"/>
      <c r="AL7" s="5"/>
    </row>
    <row r="8">
      <c r="A8" s="5" t="str">
        <f>IFERROR(__xludf.DUMMYFUNCTION("""COMPUTED_VALUE"""),"Yune")</f>
        <v>Yune</v>
      </c>
      <c r="B8" s="5">
        <f>IFERROR(__xludf.DUMMYFUNCTION("""COMPUTED_VALUE"""),0.0025360763888888885)</f>
        <v>0.002536076389</v>
      </c>
      <c r="C8" s="5" t="str">
        <f>IFERROR(__xludf.DUMMYFUNCTION("""COMPUTED_VALUE"""),"GC8-F (Impreza)")</f>
        <v>GC8-F (Impreza)</v>
      </c>
      <c r="D8" s="5" t="str">
        <f>IFERROR(__xludf.DUMMYFUNCTION("""COMPUTED_VALUE"""),"PC")</f>
        <v>PC</v>
      </c>
      <c r="E8" s="5"/>
      <c r="F8" s="5"/>
      <c r="G8" s="5"/>
      <c r="H8" s="5"/>
      <c r="I8" s="12"/>
      <c r="J8" s="12"/>
      <c r="K8" s="12"/>
      <c r="L8" s="12"/>
      <c r="M8" s="12"/>
      <c r="N8" s="5"/>
      <c r="O8" s="5"/>
      <c r="P8" s="5"/>
      <c r="Q8" s="5" t="str">
        <f>IFERROR(__xludf.DUMMYFUNCTION("""COMPUTED_VALUE"""),"Doyakyon")</f>
        <v>Doyakyon</v>
      </c>
      <c r="R8" s="13">
        <f>IFERROR(__xludf.DUMMYFUNCTION("""COMPUTED_VALUE"""),0.004922835648148148)</f>
        <v>0.004922835648</v>
      </c>
      <c r="S8" s="14" t="str">
        <f>IFERROR(__xludf.DUMMYFUNCTION("""COMPUTED_VALUE"""),"EVOIII/CE9A")</f>
        <v>EVOIII/CE9A</v>
      </c>
      <c r="T8" s="5" t="str">
        <f>IFERROR(__xludf.DUMMYFUNCTION("""COMPUTED_VALUE"""),"PCVR")</f>
        <v>PCVR</v>
      </c>
      <c r="U8" s="5"/>
      <c r="V8" s="5"/>
      <c r="W8" s="5"/>
      <c r="X8" s="5"/>
      <c r="Y8" s="5"/>
      <c r="Z8" s="5"/>
      <c r="AA8" s="5"/>
      <c r="AB8" s="5"/>
      <c r="AC8" s="5"/>
      <c r="AD8" s="5"/>
      <c r="AE8" s="5"/>
      <c r="AF8" s="5"/>
      <c r="AG8" s="5"/>
      <c r="AH8" s="5"/>
      <c r="AI8" s="5"/>
      <c r="AJ8" s="5"/>
      <c r="AK8" s="5"/>
      <c r="AL8" s="5"/>
    </row>
    <row r="9">
      <c r="A9" s="5" t="str">
        <f>IFERROR(__xludf.DUMMYFUNCTION("""COMPUTED_VALUE"""),"Kinokono_Tenka")</f>
        <v>Kinokono_Tenka</v>
      </c>
      <c r="B9" s="5">
        <f>IFERROR(__xludf.DUMMYFUNCTION("""COMPUTED_VALUE"""),0.002562048611111111)</f>
        <v>0.002562048611</v>
      </c>
      <c r="C9" s="5" t="str">
        <f>IFERROR(__xludf.DUMMYFUNCTION("""COMPUTED_VALUE"""),"EG6 (civic)")</f>
        <v>EG6 (civic)</v>
      </c>
      <c r="D9" s="5" t="str">
        <f>IFERROR(__xludf.DUMMYFUNCTION("""COMPUTED_VALUE"""),"PCVR")</f>
        <v>PCVR</v>
      </c>
      <c r="E9" s="5"/>
      <c r="F9" s="5"/>
      <c r="G9" s="5"/>
      <c r="H9" s="5"/>
      <c r="I9" s="5"/>
      <c r="J9" s="5"/>
      <c r="K9" s="5"/>
      <c r="L9" s="5"/>
      <c r="M9" s="5"/>
      <c r="N9" s="5"/>
      <c r="O9" s="5"/>
      <c r="P9" s="5"/>
      <c r="Q9" s="13" t="str">
        <f>IFERROR(__xludf.DUMMYFUNCTION("""COMPUTED_VALUE"""),"StarRiver Arts")</f>
        <v>StarRiver Arts</v>
      </c>
      <c r="R9" s="13">
        <f>IFERROR(__xludf.DUMMYFUNCTION("""COMPUTED_VALUE"""),0.0049515856481481485)</f>
        <v>0.004951585648</v>
      </c>
      <c r="S9" s="14" t="str">
        <f>IFERROR(__xludf.DUMMYFUNCTION("""COMPUTED_VALUE"""),"EVOIII/CE9A")</f>
        <v>EVOIII/CE9A</v>
      </c>
      <c r="T9" s="5" t="str">
        <f>IFERROR(__xludf.DUMMYFUNCTION("""COMPUTED_VALUE"""),"PC")</f>
        <v>PC</v>
      </c>
      <c r="U9" s="5"/>
      <c r="V9" s="5"/>
      <c r="W9" s="5"/>
      <c r="X9" s="5"/>
      <c r="Y9" s="5"/>
      <c r="Z9" s="5"/>
      <c r="AA9" s="5"/>
      <c r="AB9" s="5"/>
      <c r="AC9" s="5"/>
      <c r="AD9" s="5"/>
      <c r="AE9" s="5"/>
      <c r="AF9" s="5"/>
      <c r="AG9" s="5"/>
      <c r="AH9" s="5"/>
      <c r="AI9" s="5"/>
      <c r="AJ9" s="5"/>
      <c r="AK9" s="5"/>
      <c r="AL9" s="5"/>
    </row>
    <row r="10">
      <c r="A10" s="5" t="str">
        <f>IFERROR(__xludf.DUMMYFUNCTION("""COMPUTED_VALUE"""),"Rushia Angel")</f>
        <v>Rushia Angel</v>
      </c>
      <c r="B10" s="5">
        <f>IFERROR(__xludf.DUMMYFUNCTION("""COMPUTED_VALUE"""),0.0025628472222222224)</f>
        <v>0.002562847222</v>
      </c>
      <c r="C10" s="5" t="str">
        <f>IFERROR(__xludf.DUMMYFUNCTION("""COMPUTED_VALUE"""),"BNR32")</f>
        <v>BNR32</v>
      </c>
      <c r="D10" s="5" t="str">
        <f>IFERROR(__xludf.DUMMYFUNCTION("""COMPUTED_VALUE"""),"PC")</f>
        <v>PC</v>
      </c>
      <c r="E10" s="5"/>
      <c r="F10" s="5"/>
      <c r="G10" s="5"/>
      <c r="H10" s="5"/>
      <c r="I10" s="5"/>
      <c r="J10" s="5"/>
      <c r="K10" s="5"/>
      <c r="L10" s="5"/>
      <c r="M10" s="5"/>
      <c r="N10" s="5"/>
      <c r="O10" s="5"/>
      <c r="P10" s="5"/>
      <c r="Q10" s="5" t="str">
        <f>IFERROR(__xludf.DUMMYFUNCTION("""COMPUTED_VALUE"""),"Yukira雪夜")</f>
        <v>Yukira雪夜</v>
      </c>
      <c r="R10" s="13">
        <f>IFERROR(__xludf.DUMMYFUNCTION("""COMPUTED_VALUE"""),0.008214108796296296)</f>
        <v>0.008214108796</v>
      </c>
      <c r="S10" s="5" t="str">
        <f>IFERROR(__xludf.DUMMYFUNCTION("""COMPUTED_VALUE"""),"Bus")</f>
        <v>Bus</v>
      </c>
      <c r="T10" s="5" t="str">
        <f>IFERROR(__xludf.DUMMYFUNCTION("""COMPUTED_VALUE"""),"PCVR")</f>
        <v>PCVR</v>
      </c>
      <c r="U10" s="5"/>
      <c r="V10" s="5"/>
      <c r="W10" s="5"/>
      <c r="X10" s="5"/>
      <c r="Y10" s="5"/>
      <c r="Z10" s="5"/>
      <c r="AA10" s="5"/>
      <c r="AB10" s="5"/>
      <c r="AC10" s="5"/>
      <c r="AD10" s="5"/>
      <c r="AE10" s="5"/>
      <c r="AF10" s="5"/>
      <c r="AG10" s="5"/>
      <c r="AH10" s="5"/>
      <c r="AI10" s="5"/>
      <c r="AJ10" s="5"/>
      <c r="AK10" s="5"/>
      <c r="AL10" s="5"/>
    </row>
    <row r="11">
      <c r="A11" s="5" t="str">
        <f>IFERROR(__xludf.DUMMYFUNCTION("""COMPUTED_VALUE"""),"StarRiver Arts")</f>
        <v>StarRiver Arts</v>
      </c>
      <c r="B11" s="5">
        <f>IFERROR(__xludf.DUMMYFUNCTION("""COMPUTED_VALUE"""),0.0025968402777777778)</f>
        <v>0.002596840278</v>
      </c>
      <c r="C11" s="5" t="str">
        <f>IFERROR(__xludf.DUMMYFUNCTION("""COMPUTED_VALUE"""),"EVOIV/CN9A")</f>
        <v>EVOIV/CN9A</v>
      </c>
      <c r="D11" s="5" t="str">
        <f>IFERROR(__xludf.DUMMYFUNCTION("""COMPUTED_VALUE"""),"PC")</f>
        <v>PC</v>
      </c>
      <c r="E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 r="A12" s="5" t="str">
        <f>IFERROR(__xludf.DUMMYFUNCTION("""COMPUTED_VALUE"""),"アビドサスヒカリ")</f>
        <v>アビドサスヒカリ</v>
      </c>
      <c r="B12" s="5">
        <f>IFERROR(__xludf.DUMMYFUNCTION("""COMPUTED_VALUE"""),0.0025991550925925926)</f>
        <v>0.002599155093</v>
      </c>
      <c r="C12" s="5" t="str">
        <f>IFERROR(__xludf.DUMMYFUNCTION("""COMPUTED_VALUE"""),"S30Z(Nissan Fairlady Z/Devil Z)")</f>
        <v>S30Z(Nissan Fairlady Z/Devil Z)</v>
      </c>
      <c r="D12" s="5" t="str">
        <f>IFERROR(__xludf.DUMMYFUNCTION("""COMPUTED_VALUE"""),"PC")</f>
        <v>PC</v>
      </c>
      <c r="E12" s="5"/>
      <c r="F12" s="5"/>
      <c r="G12" s="5"/>
      <c r="H12" s="5"/>
      <c r="I12" s="15" t="s">
        <v>14</v>
      </c>
      <c r="M12" s="16" t="s">
        <v>15</v>
      </c>
      <c r="Q12" s="17" t="s">
        <v>16</v>
      </c>
      <c r="U12" s="17" t="s">
        <v>17</v>
      </c>
      <c r="Y12" s="5"/>
      <c r="Z12" s="5"/>
      <c r="AA12" s="5"/>
      <c r="AB12" s="5"/>
      <c r="AC12" s="5"/>
      <c r="AD12" s="5"/>
      <c r="AE12" s="5"/>
      <c r="AF12" s="5"/>
      <c r="AG12" s="5"/>
      <c r="AH12" s="5"/>
      <c r="AI12" s="5"/>
      <c r="AJ12" s="5"/>
      <c r="AK12" s="5"/>
      <c r="AL12" s="5"/>
    </row>
    <row r="13">
      <c r="A13" s="5" t="str">
        <f>IFERROR(__xludf.DUMMYFUNCTION("""COMPUTED_VALUE"""),"redfrogss")</f>
        <v>redfrogss</v>
      </c>
      <c r="B13" s="5">
        <f>IFERROR(__xludf.DUMMYFUNCTION("""COMPUTED_VALUE"""),0.00266712962962963)</f>
        <v>0.00266712963</v>
      </c>
      <c r="C13" s="5" t="str">
        <f>IFERROR(__xludf.DUMMYFUNCTION("""COMPUTED_VALUE"""),"BNR32")</f>
        <v>BNR32</v>
      </c>
      <c r="D13" s="5" t="str">
        <f>IFERROR(__xludf.DUMMYFUNCTION("""COMPUTED_VALUE"""),"PCVR")</f>
        <v>PCVR</v>
      </c>
      <c r="E13" s="5"/>
      <c r="F13" s="5"/>
      <c r="G13" s="5"/>
      <c r="H13" s="5"/>
      <c r="I13" s="11" t="str">
        <f>IFERROR(__xludf.DUMMYFUNCTION("LET(
  賽道, ""Momiji"",
  路線, ""DH"",
  系統, ""CVS"",
  原始, FILTER('歷史紀錄'!$E$2:H1168, '歷史紀錄'!$B$2:B1168=賽道, '歷史紀錄'!$C$2:C1168=路線, '歷史紀錄'!$I$2:I1168=系統),
  排序後, SORT(原始, 2, TRUE),
  玩家, INDEX(排序後,,1),
  唯一玩家, UNIQUE(玩家),
  結果,
    MAP(唯一玩家, LAMBDA(p,
      I"&amp;"NDEX(FILTER(排序後, INDEX(排序後,,1)=p),1,0)
    )),
  表頭, {""Player玩家"",""Time時間"",""Car車種"",""Platform平台""},
  VSTACK(表頭, 結果)
)
"),"Player玩家")</f>
        <v>Player玩家</v>
      </c>
      <c r="J13" s="11" t="str">
        <f>IFERROR(__xludf.DUMMYFUNCTION("""COMPUTED_VALUE"""),"Time時間")</f>
        <v>Time時間</v>
      </c>
      <c r="K13" s="11" t="str">
        <f>IFERROR(__xludf.DUMMYFUNCTION("""COMPUTED_VALUE"""),"Car車種")</f>
        <v>Car車種</v>
      </c>
      <c r="L13" s="11" t="str">
        <f>IFERROR(__xludf.DUMMYFUNCTION("""COMPUTED_VALUE"""),"Platform平台")</f>
        <v>Platform平台</v>
      </c>
      <c r="M13" s="11" t="str">
        <f>IFERROR(__xludf.DUMMYFUNCTION("LET(
  賽道, """",
  路線, ""DH"",
  系統, ""CVS"",
  原始, FILTER('歷史紀錄'!E2:H1168, '歷史紀錄'!B2:B1168=賽道, '歷史紀錄'!C2:C1168=路線, '歷史紀錄'!I2:I1168=系統),
  排序後, SORT(原始, 2, TRUE),
  玩家, INDEX(排序後,,1),
  唯一玩家, UNIQUE(玩家),
  結果,
    MAP(唯一玩家, LAMBDA(p,
      INDEX(FILTER(排序"&amp;"後, INDEX(排序後,,1)=p),1,0)
    )),
  表頭, {""Player玩家"",""Time時間"",""Car車種"",""Platform平台""},
  VSTACK(表頭, 結果)
)
"),"Player玩家")</f>
        <v>Player玩家</v>
      </c>
      <c r="N13" s="11" t="str">
        <f>IFERROR(__xludf.DUMMYFUNCTION("""COMPUTED_VALUE"""),"Time時間")</f>
        <v>Time時間</v>
      </c>
      <c r="O13" s="11" t="str">
        <f>IFERROR(__xludf.DUMMYFUNCTION("""COMPUTED_VALUE"""),"Car車種")</f>
        <v>Car車種</v>
      </c>
      <c r="P13" s="11" t="str">
        <f>IFERROR(__xludf.DUMMYFUNCTION("""COMPUTED_VALUE"""),"Platform平台")</f>
        <v>Platform平台</v>
      </c>
      <c r="Q13" s="11" t="s">
        <v>10</v>
      </c>
      <c r="R13" s="11" t="s">
        <v>11</v>
      </c>
      <c r="S13" s="11" t="s">
        <v>12</v>
      </c>
      <c r="T13" s="11" t="s">
        <v>13</v>
      </c>
      <c r="U13" s="11" t="s">
        <v>10</v>
      </c>
      <c r="V13" s="11" t="s">
        <v>11</v>
      </c>
      <c r="W13" s="11" t="s">
        <v>12</v>
      </c>
      <c r="X13" s="11" t="s">
        <v>13</v>
      </c>
      <c r="Y13" s="5"/>
      <c r="Z13" s="5"/>
      <c r="AA13" s="5"/>
      <c r="AB13" s="5"/>
      <c r="AC13" s="5"/>
      <c r="AD13" s="5"/>
      <c r="AE13" s="5"/>
      <c r="AF13" s="5"/>
      <c r="AG13" s="5"/>
      <c r="AH13" s="5"/>
      <c r="AI13" s="5"/>
      <c r="AJ13" s="5"/>
      <c r="AK13" s="5"/>
      <c r="AL13" s="5"/>
    </row>
    <row r="14">
      <c r="A14" s="5" t="str">
        <f>IFERROR(__xludf.DUMMYFUNCTION("""COMPUTED_VALUE"""),"LinWu_05")</f>
        <v>LinWu_05</v>
      </c>
      <c r="B14" s="5">
        <f>IFERROR(__xludf.DUMMYFUNCTION("""COMPUTED_VALUE"""),0.0027110300925925926)</f>
        <v>0.002711030093</v>
      </c>
      <c r="C14" s="5" t="str">
        <f>IFERROR(__xludf.DUMMYFUNCTION("""COMPUTED_VALUE"""),"GC8-F (Impreza)")</f>
        <v>GC8-F (Impreza)</v>
      </c>
      <c r="D14" s="5" t="str">
        <f>IFERROR(__xludf.DUMMYFUNCTION("""COMPUTED_VALUE"""),"PC")</f>
        <v>PC</v>
      </c>
      <c r="E14" s="5"/>
      <c r="F14" s="5"/>
      <c r="G14" s="5"/>
      <c r="H14" s="5"/>
      <c r="I14" s="18" t="str">
        <f>IFERROR(__xludf.DUMMYFUNCTION("""COMPUTED_VALUE"""),"Lolidia")</f>
        <v>Lolidia</v>
      </c>
      <c r="J14" s="18">
        <f>IFERROR(__xludf.DUMMYFUNCTION("""COMPUTED_VALUE"""),0.0022057291666666666)</f>
        <v>0.002205729167</v>
      </c>
      <c r="K14" s="18" t="str">
        <f>IFERROR(__xludf.DUMMYFUNCTION("""COMPUTED_VALUE"""),"Karin 96")</f>
        <v>Karin 96</v>
      </c>
      <c r="L14" s="18" t="str">
        <f>IFERROR(__xludf.DUMMYFUNCTION("""COMPUTED_VALUE"""),"PCVR")</f>
        <v>PCVR</v>
      </c>
      <c r="M14" s="5" t="str">
        <f>IFERROR(__xludf.DUMMYFUNCTION("""COMPUTED_VALUE"""),"#N/A")</f>
        <v>#N/A</v>
      </c>
      <c r="N14" s="5" t="str">
        <f>IFERROR(__xludf.DUMMYFUNCTION("""COMPUTED_VALUE"""),"#N/A")</f>
        <v>#N/A</v>
      </c>
      <c r="O14" s="5" t="str">
        <f>IFERROR(__xludf.DUMMYFUNCTION("""COMPUTED_VALUE"""),"#N/A")</f>
        <v>#N/A</v>
      </c>
      <c r="P14" s="5" t="str">
        <f>IFERROR(__xludf.DUMMYFUNCTION("""COMPUTED_VALUE"""),"#N/A")</f>
        <v>#N/A</v>
      </c>
      <c r="Q14" s="5"/>
      <c r="R14" s="5"/>
      <c r="S14" s="5"/>
      <c r="T14" s="5"/>
      <c r="U14" s="5"/>
      <c r="V14" s="5"/>
      <c r="W14" s="5"/>
      <c r="X14" s="5"/>
      <c r="Y14" s="5"/>
      <c r="Z14" s="5"/>
      <c r="AA14" s="5"/>
      <c r="AB14" s="5"/>
      <c r="AC14" s="5"/>
      <c r="AD14" s="5"/>
      <c r="AE14" s="5"/>
      <c r="AF14" s="5"/>
      <c r="AG14" s="5"/>
      <c r="AH14" s="5"/>
      <c r="AI14" s="5"/>
      <c r="AJ14" s="5"/>
      <c r="AK14" s="5"/>
      <c r="AL14" s="5"/>
    </row>
    <row r="15">
      <c r="A15" s="5" t="str">
        <f>IFERROR(__xludf.DUMMYFUNCTION("""COMPUTED_VALUE"""),"Sakanakokokoko")</f>
        <v>Sakanakokokoko</v>
      </c>
      <c r="B15" s="5">
        <f>IFERROR(__xludf.DUMMYFUNCTION("""COMPUTED_VALUE"""),0.003489201388888889)</f>
        <v>0.003489201389</v>
      </c>
      <c r="C15" s="5" t="str">
        <f>IFERROR(__xludf.DUMMYFUNCTION("""COMPUTED_VALUE"""),"FD3S (RX7)(TT)")</f>
        <v>FD3S (RX7)(TT)</v>
      </c>
      <c r="D15" s="5" t="str">
        <f>IFERROR(__xludf.DUMMYFUNCTION("""COMPUTED_VALUE"""),"PC")</f>
        <v>PC</v>
      </c>
      <c r="E15" s="5"/>
      <c r="F15" s="5"/>
      <c r="G15" s="5"/>
      <c r="H15" s="5"/>
      <c r="I15" s="5" t="str">
        <f>IFERROR(__xludf.DUMMYFUNCTION("""COMPUTED_VALUE"""),"ねぎたま")</f>
        <v>ねぎたま</v>
      </c>
      <c r="J15" s="5">
        <f>IFERROR(__xludf.DUMMYFUNCTION("""COMPUTED_VALUE"""),0.002222199074074074)</f>
        <v>0.002222199074</v>
      </c>
      <c r="K15" s="5" t="str">
        <f>IFERROR(__xludf.DUMMYFUNCTION("""COMPUTED_VALUE"""),"X7 RR")</f>
        <v>X7 RR</v>
      </c>
      <c r="L15" s="5" t="str">
        <f>IFERROR(__xludf.DUMMYFUNCTION("""COMPUTED_VALUE"""),"PCVR")</f>
        <v>PCVR</v>
      </c>
      <c r="M15" s="5"/>
      <c r="N15" s="5"/>
      <c r="O15" s="5"/>
      <c r="P15" s="5"/>
      <c r="Q15" s="5"/>
      <c r="R15" s="13"/>
      <c r="S15" s="5"/>
      <c r="T15" s="5"/>
      <c r="U15" s="5"/>
      <c r="V15" s="5"/>
      <c r="W15" s="5"/>
      <c r="X15" s="5"/>
      <c r="Y15" s="5"/>
      <c r="Z15" s="5"/>
      <c r="AA15" s="5"/>
      <c r="AB15" s="5"/>
      <c r="AC15" s="5"/>
      <c r="AD15" s="5"/>
      <c r="AE15" s="5"/>
      <c r="AF15" s="5"/>
      <c r="AG15" s="5"/>
      <c r="AH15" s="5"/>
      <c r="AI15" s="5"/>
      <c r="AJ15" s="5"/>
      <c r="AK15" s="5"/>
      <c r="AL15" s="5"/>
    </row>
    <row r="16">
      <c r="A16" s="5" t="str">
        <f>IFERROR(__xludf.DUMMYFUNCTION("""COMPUTED_VALUE"""),"Yuanji Deca")</f>
        <v>Yuanji Deca</v>
      </c>
      <c r="B16" s="5">
        <f>IFERROR(__xludf.DUMMYFUNCTION("""COMPUTED_VALUE"""),0.003531770833333333)</f>
        <v>0.003531770833</v>
      </c>
      <c r="C16" s="5" t="str">
        <f>IFERROR(__xludf.DUMMYFUNCTION("""COMPUTED_VALUE"""),"AE86T-V2")</f>
        <v>AE86T-V2</v>
      </c>
      <c r="D16" s="5" t="str">
        <f>IFERROR(__xludf.DUMMYFUNCTION("""COMPUTED_VALUE"""),"PC")</f>
        <v>PC</v>
      </c>
      <c r="E16" s="5"/>
      <c r="F16" s="5"/>
      <c r="G16" s="5"/>
      <c r="H16" s="5"/>
      <c r="I16" s="5" t="str">
        <f>IFERROR(__xludf.DUMMYFUNCTION("""COMPUTED_VALUE"""),"BannRaven")</f>
        <v>BannRaven</v>
      </c>
      <c r="J16" s="5">
        <f>IFERROR(__xludf.DUMMYFUNCTION("""COMPUTED_VALUE"""),0.002424664351851852)</f>
        <v>0.002424664352</v>
      </c>
      <c r="K16" s="5" t="str">
        <f>IFERROR(__xludf.DUMMYFUNCTION("""COMPUTED_VALUE"""),"Revolution VIII")</f>
        <v>Revolution VIII</v>
      </c>
      <c r="L16" s="5" t="str">
        <f>IFERROR(__xludf.DUMMYFUNCTION("""COMPUTED_VALUE"""),"PCVR")</f>
        <v>PCVR</v>
      </c>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c r="A17" s="5" t="str">
        <f>IFERROR(__xludf.DUMMYFUNCTION("""COMPUTED_VALUE"""),"Test Driver")</f>
        <v>Test Driver</v>
      </c>
      <c r="B17" s="5">
        <f>IFERROR(__xludf.DUMMYFUNCTION("""COMPUTED_VALUE"""),0.006944444444444444)</f>
        <v>0.006944444444</v>
      </c>
      <c r="C17" s="5" t="str">
        <f>IFERROR(__xludf.DUMMYFUNCTION("""COMPUTED_VALUE"""),"AE86L")</f>
        <v>AE86L</v>
      </c>
      <c r="D17" s="5"/>
      <c r="E17" s="5"/>
      <c r="F17" s="5"/>
      <c r="G17" s="5"/>
      <c r="H17" s="5"/>
      <c r="I17" s="5" t="str">
        <f>IFERROR(__xludf.DUMMYFUNCTION("""COMPUTED_VALUE"""),"VRCGPaul")</f>
        <v>VRCGPaul</v>
      </c>
      <c r="J17" s="5">
        <f>IFERROR(__xludf.DUMMYFUNCTION("""COMPUTED_VALUE"""),0.002528541666666667)</f>
        <v>0.002528541667</v>
      </c>
      <c r="K17" s="5" t="str">
        <f>IFERROR(__xludf.DUMMYFUNCTION("""COMPUTED_VALUE"""),"Emrydes")</f>
        <v>Emrydes</v>
      </c>
      <c r="L17" s="5" t="str">
        <f>IFERROR(__xludf.DUMMYFUNCTION("""COMPUTED_VALUE"""),"PCVR")</f>
        <v>PCVR</v>
      </c>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 r="A18" s="5"/>
      <c r="B18" s="5"/>
      <c r="C18" s="5"/>
      <c r="D18" s="5"/>
      <c r="E18" s="5"/>
      <c r="F18" s="5"/>
      <c r="G18" s="5"/>
      <c r="H18" s="5"/>
      <c r="I18" s="5" t="str">
        <f>IFERROR(__xludf.DUMMYFUNCTION("""COMPUTED_VALUE"""),"LinWu_05")</f>
        <v>LinWu_05</v>
      </c>
      <c r="J18" s="5">
        <f>IFERROR(__xludf.DUMMYFUNCTION("""COMPUTED_VALUE"""),0.0029710763888888894)</f>
        <v>0.002971076389</v>
      </c>
      <c r="K18" s="5" t="str">
        <f>IFERROR(__xludf.DUMMYFUNCTION("""COMPUTED_VALUE"""),"NA1 (NSX)")</f>
        <v>NA1 (NSX)</v>
      </c>
      <c r="L18" s="5" t="str">
        <f>IFERROR(__xludf.DUMMYFUNCTION("""COMPUTED_VALUE"""),"PC")</f>
        <v>PC</v>
      </c>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 r="A19" s="5"/>
      <c r="B19" s="5"/>
      <c r="C19" s="5"/>
      <c r="D19" s="5"/>
      <c r="E19" s="5"/>
      <c r="F19" s="5"/>
      <c r="G19" s="5"/>
      <c r="H19" s="5"/>
      <c r="I19" s="5" t="str">
        <f>IFERROR(__xludf.DUMMYFUNCTION("""COMPUTED_VALUE"""),"StarRiver Arts")</f>
        <v>StarRiver Arts</v>
      </c>
      <c r="J19" s="5">
        <f>IFERROR(__xludf.DUMMYFUNCTION("""COMPUTED_VALUE"""),0.0031942476851851854)</f>
        <v>0.003194247685</v>
      </c>
      <c r="K19" s="5" t="str">
        <f>IFERROR(__xludf.DUMMYFUNCTION("""COMPUTED_VALUE"""),"Highline TT")</f>
        <v>Highline TT</v>
      </c>
      <c r="L19" s="5" t="str">
        <f>IFERROR(__xludf.DUMMYFUNCTION("""COMPUTED_VALUE"""),"PC")</f>
        <v>PC</v>
      </c>
      <c r="M19" s="5"/>
      <c r="N19" s="5"/>
      <c r="O19" s="5"/>
      <c r="P19" s="5"/>
      <c r="Q19" s="19" t="s">
        <v>18</v>
      </c>
      <c r="U19" s="20" t="s">
        <v>19</v>
      </c>
      <c r="Y19" s="5"/>
      <c r="Z19" s="5"/>
      <c r="AA19" s="5"/>
      <c r="AB19" s="5"/>
      <c r="AC19" s="5"/>
      <c r="AD19" s="5"/>
      <c r="AE19" s="5"/>
      <c r="AF19" s="5"/>
      <c r="AG19" s="5"/>
      <c r="AH19" s="5"/>
      <c r="AI19" s="5"/>
      <c r="AJ19" s="5"/>
      <c r="AK19" s="5"/>
      <c r="AL19" s="5"/>
    </row>
    <row r="20">
      <c r="A20" s="5"/>
      <c r="B20" s="5"/>
      <c r="C20" s="5"/>
      <c r="D20" s="5"/>
      <c r="E20" s="5"/>
      <c r="F20" s="5"/>
      <c r="G20" s="5"/>
      <c r="H20" s="5"/>
      <c r="I20" s="5" t="str">
        <f>IFERROR(__xludf.DUMMYFUNCTION("""COMPUTED_VALUE"""),"Rushia Angel")</f>
        <v>Rushia Angel</v>
      </c>
      <c r="J20" s="5">
        <f>IFERROR(__xludf.DUMMYFUNCTION("""COMPUTED_VALUE"""),0.003328981481481482)</f>
        <v>0.003328981481</v>
      </c>
      <c r="K20" s="5" t="str">
        <f>IFERROR(__xludf.DUMMYFUNCTION("""COMPUTED_VALUE"""),"Emrydes")</f>
        <v>Emrydes</v>
      </c>
      <c r="L20" s="5" t="str">
        <f>IFERROR(__xludf.DUMMYFUNCTION("""COMPUTED_VALUE"""),"PC")</f>
        <v>PC</v>
      </c>
      <c r="M20" s="5"/>
      <c r="N20" s="5"/>
      <c r="O20" s="5"/>
      <c r="P20" s="5"/>
      <c r="Q20" s="11" t="str">
        <f>IFERROR(__xludf.DUMMYFUNCTION("LET(
  賽道, ""WuLing"",
  路線, ""DH"",
  系統, ""CVS"",
  原始, FILTER('歷史紀錄'!E2:H1168, '歷史紀錄'!B2:B1168=賽道, '歷史紀錄'!C2:C1168=路線, '歷史紀錄'!I2:I1168=系統),
  排序後, SORT(原始, 2, TRUE),
  玩家, INDEX(排序後,,1),
  唯一玩家, UNIQUE(玩家),
  結果,
    MAP(唯一玩家, LAMBDA(p,
      INDEX(FIL"&amp;"TER(排序後, INDEX(排序後,,1)=p),1,0)
    )),
  表頭, {""Player玩家"",""Time時間"",""Car車種"",""Platform平台""},
  VSTACK(表頭, 結果)
)
"),"Player玩家")</f>
        <v>Player玩家</v>
      </c>
      <c r="R20" s="11" t="str">
        <f>IFERROR(__xludf.DUMMYFUNCTION("""COMPUTED_VALUE"""),"Time時間")</f>
        <v>Time時間</v>
      </c>
      <c r="S20" s="11" t="str">
        <f>IFERROR(__xludf.DUMMYFUNCTION("""COMPUTED_VALUE"""),"Car車種")</f>
        <v>Car車種</v>
      </c>
      <c r="T20" s="11" t="str">
        <f>IFERROR(__xludf.DUMMYFUNCTION("""COMPUTED_VALUE"""),"Platform平台")</f>
        <v>Platform平台</v>
      </c>
      <c r="U20" s="11" t="str">
        <f>IFERROR(__xludf.DUMMYFUNCTION("LET(
  賽道, ""WuLing"",
  路線, ""UH"",
  系統, ""CVS"",
  原始, FILTER('歷史紀錄'!E2:H1168, '歷史紀錄'!B2:B1168=賽道, '歷史紀錄'!C2:C1168=路線, '歷史紀錄'!I2:I1168=系統),
  排序後, SORT(原始, 2, TRUE),
  玩家, INDEX(排序後,,1),
  唯一玩家, UNIQUE(玩家),
  結果,
    MAP(唯一玩家, LAMBDA(p,
      INDEX(FIL"&amp;"TER(排序後, INDEX(排序後,,1)=p),1,0)
    )),
  表頭, {""Player玩家"",""Time時間"",""Car車種"",""Platform平台""},
  VSTACK(表頭, 結果)
)
"),"Player玩家")</f>
        <v>Player玩家</v>
      </c>
      <c r="V20" s="11" t="str">
        <f>IFERROR(__xludf.DUMMYFUNCTION("""COMPUTED_VALUE"""),"Time時間")</f>
        <v>Time時間</v>
      </c>
      <c r="W20" s="11" t="str">
        <f>IFERROR(__xludf.DUMMYFUNCTION("""COMPUTED_VALUE"""),"Car車種")</f>
        <v>Car車種</v>
      </c>
      <c r="X20" s="11" t="str">
        <f>IFERROR(__xludf.DUMMYFUNCTION("""COMPUTED_VALUE"""),"Platform平台")</f>
        <v>Platform平台</v>
      </c>
      <c r="Y20" s="5"/>
      <c r="Z20" s="5"/>
      <c r="AA20" s="5"/>
      <c r="AB20" s="5"/>
      <c r="AC20" s="5"/>
      <c r="AD20" s="5"/>
      <c r="AE20" s="5"/>
      <c r="AF20" s="5"/>
      <c r="AG20" s="5"/>
      <c r="AH20" s="5"/>
      <c r="AI20" s="5"/>
      <c r="AJ20" s="5"/>
      <c r="AK20" s="5"/>
      <c r="AL20" s="5"/>
    </row>
    <row r="21">
      <c r="A21" s="5"/>
      <c r="B21" s="5"/>
      <c r="C21" s="5"/>
      <c r="D21" s="5"/>
      <c r="E21" s="5"/>
      <c r="F21" s="5"/>
      <c r="G21" s="5"/>
      <c r="H21" s="5"/>
      <c r="I21" s="5" t="str">
        <f>IFERROR(__xludf.DUMMYFUNCTION("""COMPUTED_VALUE"""),"Test Driver")</f>
        <v>Test Driver</v>
      </c>
      <c r="J21" s="5">
        <f>IFERROR(__xludf.DUMMYFUNCTION("""COMPUTED_VALUE"""),0.006944444444444444)</f>
        <v>0.006944444444</v>
      </c>
      <c r="K21" s="5" t="str">
        <f>IFERROR(__xludf.DUMMYFUNCTION("""COMPUTED_VALUE"""),"Revolution VIII")</f>
        <v>Revolution VIII</v>
      </c>
      <c r="L21" s="5"/>
      <c r="M21" s="5"/>
      <c r="N21" s="5"/>
      <c r="O21" s="5"/>
      <c r="P21" s="5"/>
      <c r="Q21" s="5" t="str">
        <f>IFERROR(__xludf.DUMMYFUNCTION("""COMPUTED_VALUE"""),"#N/A")</f>
        <v>#N/A</v>
      </c>
      <c r="R21" s="5" t="str">
        <f>IFERROR(__xludf.DUMMYFUNCTION("""COMPUTED_VALUE"""),"#N/A")</f>
        <v>#N/A</v>
      </c>
      <c r="S21" s="5" t="str">
        <f>IFERROR(__xludf.DUMMYFUNCTION("""COMPUTED_VALUE"""),"#N/A")</f>
        <v>#N/A</v>
      </c>
      <c r="T21" s="5" t="str">
        <f>IFERROR(__xludf.DUMMYFUNCTION("""COMPUTED_VALUE"""),"#N/A")</f>
        <v>#N/A</v>
      </c>
      <c r="U21" s="5" t="str">
        <f>IFERROR(__xludf.DUMMYFUNCTION("""COMPUTED_VALUE"""),"#N/A")</f>
        <v>#N/A</v>
      </c>
      <c r="V21" s="5" t="str">
        <f>IFERROR(__xludf.DUMMYFUNCTION("""COMPUTED_VALUE"""),"#N/A")</f>
        <v>#N/A</v>
      </c>
      <c r="W21" s="5" t="str">
        <f>IFERROR(__xludf.DUMMYFUNCTION("""COMPUTED_VALUE"""),"#N/A")</f>
        <v>#N/A</v>
      </c>
      <c r="X21" s="5" t="str">
        <f>IFERROR(__xludf.DUMMYFUNCTION("""COMPUTED_VALUE"""),"#N/A")</f>
        <v>#N/A</v>
      </c>
      <c r="Y21" s="5"/>
      <c r="Z21" s="5"/>
      <c r="AA21" s="5"/>
      <c r="AB21" s="5"/>
      <c r="AC21" s="5"/>
      <c r="AD21" s="5"/>
      <c r="AE21" s="5"/>
      <c r="AF21" s="5"/>
      <c r="AG21" s="5"/>
      <c r="AH21" s="5"/>
      <c r="AI21" s="5"/>
      <c r="AJ21" s="5"/>
      <c r="AK21" s="5"/>
      <c r="AL21" s="5"/>
    </row>
    <row r="22">
      <c r="A22" s="5"/>
      <c r="B22" s="5"/>
      <c r="C22" s="5"/>
      <c r="D22" s="5"/>
      <c r="E22" s="5"/>
      <c r="F22" s="5"/>
      <c r="G22" s="5"/>
      <c r="H22" s="5"/>
      <c r="I22" s="5" t="str">
        <f>IFERROR(__xludf.DUMMYFUNCTION("""COMPUTED_VALUE"""),"MrValentine")</f>
        <v>MrValentine</v>
      </c>
      <c r="J22" s="5">
        <f>IFERROR(__xludf.DUMMYFUNCTION("""COMPUTED_VALUE"""),0.0078115393518518525)</f>
        <v>0.007811539352</v>
      </c>
      <c r="K22" s="5" t="str">
        <f>IFERROR(__xludf.DUMMYFUNCTION("""COMPUTED_VALUE"""),"Comet Custom")</f>
        <v>Comet Custom</v>
      </c>
      <c r="L22" s="5" t="str">
        <f>IFERROR(__xludf.DUMMYFUNCTION("""COMPUTED_VALUE"""),"PC")</f>
        <v>PC</v>
      </c>
      <c r="M22" s="5"/>
      <c r="N22" s="5"/>
      <c r="O22" s="5"/>
      <c r="P22" s="5"/>
      <c r="Q22" s="5"/>
      <c r="R22" s="13"/>
      <c r="S22" s="5"/>
      <c r="T22" s="5"/>
      <c r="U22" s="5"/>
      <c r="V22" s="5"/>
      <c r="W22" s="5"/>
      <c r="X22" s="5"/>
      <c r="Y22" s="5"/>
      <c r="Z22" s="5"/>
      <c r="AA22" s="5"/>
      <c r="AB22" s="5"/>
      <c r="AC22" s="5"/>
      <c r="AD22" s="5"/>
      <c r="AE22" s="5"/>
      <c r="AF22" s="5"/>
      <c r="AG22" s="5"/>
      <c r="AH22" s="5"/>
      <c r="AI22" s="5"/>
      <c r="AJ22" s="5"/>
      <c r="AK22" s="5"/>
      <c r="AL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 r="A25" s="21" t="s">
        <v>20</v>
      </c>
      <c r="E25" s="21" t="s">
        <v>21</v>
      </c>
      <c r="I25" s="5"/>
      <c r="J25" s="5"/>
      <c r="K25" s="5"/>
      <c r="L25" s="5"/>
      <c r="M25" s="5"/>
      <c r="N25" s="5"/>
      <c r="O25" s="5"/>
      <c r="P25" s="5"/>
      <c r="Q25" s="20" t="s">
        <v>22</v>
      </c>
      <c r="U25" s="19" t="s">
        <v>23</v>
      </c>
      <c r="Y25" s="5"/>
      <c r="Z25" s="5"/>
      <c r="AA25" s="5"/>
      <c r="AB25" s="5"/>
      <c r="AC25" s="5"/>
      <c r="AD25" s="5"/>
      <c r="AE25" s="5"/>
      <c r="AF25" s="5"/>
      <c r="AG25" s="5"/>
      <c r="AH25" s="5"/>
      <c r="AI25" s="5"/>
      <c r="AJ25" s="5"/>
      <c r="AK25" s="5"/>
      <c r="AL25" s="5"/>
    </row>
    <row r="26">
      <c r="A26" s="11" t="str">
        <f>IFERROR(__xludf.DUMMYFUNCTION("LET(
  賽道, ""AkinaUN"",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6" s="11" t="str">
        <f>IFERROR(__xludf.DUMMYFUNCTION("""COMPUTED_VALUE"""),"Time時間")</f>
        <v>Time時間</v>
      </c>
      <c r="C26" s="11" t="str">
        <f>IFERROR(__xludf.DUMMYFUNCTION("""COMPUTED_VALUE"""),"Car車種")</f>
        <v>Car車種</v>
      </c>
      <c r="D26" s="11" t="str">
        <f>IFERROR(__xludf.DUMMYFUNCTION("""COMPUTED_VALUE"""),"Platform平台")</f>
        <v>Platform平台</v>
      </c>
      <c r="E26" s="11" t="str">
        <f>IFERROR(__xludf.DUMMYFUNCTION("LET(
  賽道, ""AkinaUN"",
  路線, ""UH"",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6" s="11" t="str">
        <f>IFERROR(__xludf.DUMMYFUNCTION("""COMPUTED_VALUE"""),"Time時間")</f>
        <v>Time時間</v>
      </c>
      <c r="G26" s="11" t="str">
        <f>IFERROR(__xludf.DUMMYFUNCTION("""COMPUTED_VALUE"""),"Car車種")</f>
        <v>Car車種</v>
      </c>
      <c r="H26" s="11" t="str">
        <f>IFERROR(__xludf.DUMMYFUNCTION("""COMPUTED_VALUE"""),"Platform平台")</f>
        <v>Platform平台</v>
      </c>
      <c r="I26" s="22" t="s">
        <v>24</v>
      </c>
      <c r="M26" s="23"/>
      <c r="Q26" s="11" t="str">
        <f>IFERROR(__xludf.DUMMYFUNCTION("LET(
  賽道, ""StarSight"",
  路線, ""DH"",
  系統, ""CVS"",
  原始, FILTER('歷史紀錄'!E8:H1168, '歷史紀錄'!B8:B1168=賽道, '歷史紀錄'!C8:C1168=路線, '歷史紀錄'!I8:I1168=系統),
  排序後, SORT(原始, 2, TRUE),
  玩家, INDEX(排序後,,1),
  唯一玩家, UNIQUE(玩家),
  結果,
    MAP(唯一玩家, LAMBDA(p,
      INDEX("&amp;"FILTER(排序後, INDEX(排序後,,1)=p),1,0)
    )),
  表頭, {""Player玩家"",""Time時間"",""Car車種"",""Platform平台""},
  VSTACK(表頭, 結果)
)
"),"Player玩家")</f>
        <v>Player玩家</v>
      </c>
      <c r="R26" s="11" t="str">
        <f>IFERROR(__xludf.DUMMYFUNCTION("""COMPUTED_VALUE"""),"Time時間")</f>
        <v>Time時間</v>
      </c>
      <c r="S26" s="11" t="str">
        <f>IFERROR(__xludf.DUMMYFUNCTION("""COMPUTED_VALUE"""),"Car車種")</f>
        <v>Car車種</v>
      </c>
      <c r="T26" s="11" t="str">
        <f>IFERROR(__xludf.DUMMYFUNCTION("""COMPUTED_VALUE"""),"Platform平台")</f>
        <v>Platform平台</v>
      </c>
      <c r="U26" s="11" t="str">
        <f>IFERROR(__xludf.DUMMYFUNCTION("LET(
  賽道, ""StarSight"",
  路線, ""UH"",
  系統, ""CVS"",
  原始, FILTER('歷史紀錄'!I8:N1168, '歷史紀錄'!F8:F1168=賽道, '歷史紀錄'!G8:G1168=路線, '歷史紀錄'!O8:O1168=系統),
  排序後, SORT(原始, 2, TRUE),
  玩家, INDEX(排序後,,1),
  唯一玩家, UNIQUE(玩家),
  結果,
    MAP(唯一玩家, LAMBDA(p,
      INDEX("&amp;"FILTER(排序後, INDEX(排序後,,1)=p),1,0)
    )),
  表頭, {""Player玩家"",""Time時間"",""Car車種"",""Platform平台""},
  VSTACK(表頭, 結果)
)
"),"Player玩家")</f>
        <v>Player玩家</v>
      </c>
      <c r="V26" s="11" t="str">
        <f>IFERROR(__xludf.DUMMYFUNCTION("""COMPUTED_VALUE"""),"Time時間")</f>
        <v>Time時間</v>
      </c>
      <c r="W26" s="11" t="str">
        <f>IFERROR(__xludf.DUMMYFUNCTION("""COMPUTED_VALUE"""),"Car車種")</f>
        <v>Car車種</v>
      </c>
      <c r="X26" s="11" t="str">
        <f>IFERROR(__xludf.DUMMYFUNCTION("""COMPUTED_VALUE"""),"Platform平台")</f>
        <v>Platform平台</v>
      </c>
      <c r="Y26" s="5"/>
      <c r="Z26" s="5"/>
      <c r="AA26" s="5"/>
      <c r="AB26" s="5"/>
      <c r="AC26" s="5"/>
      <c r="AD26" s="5"/>
      <c r="AE26" s="5"/>
      <c r="AF26" s="5"/>
      <c r="AG26" s="5"/>
      <c r="AH26" s="5"/>
      <c r="AI26" s="5"/>
      <c r="AJ26" s="5"/>
      <c r="AK26" s="5"/>
      <c r="AL26" s="5"/>
    </row>
    <row r="27">
      <c r="A27" s="5" t="str">
        <f>IFERROR(__xludf.DUMMYFUNCTION("""COMPUTED_VALUE"""),"Lolidia")</f>
        <v>Lolidia</v>
      </c>
      <c r="B27" s="5">
        <f>IFERROR(__xludf.DUMMYFUNCTION("""COMPUTED_VALUE"""),0.0025432175925925926)</f>
        <v>0.002543217593</v>
      </c>
      <c r="C27" s="5" t="str">
        <f>IFERROR(__xludf.DUMMYFUNCTION("""COMPUTED_VALUE"""),"AE86T")</f>
        <v>AE86T</v>
      </c>
      <c r="D27" s="5" t="str">
        <f>IFERROR(__xludf.DUMMYFUNCTION("""COMPUTED_VALUE"""),"PCVR")</f>
        <v>PCVR</v>
      </c>
      <c r="E27" s="5" t="str">
        <f>IFERROR(__xludf.DUMMYFUNCTION("""COMPUTED_VALUE"""),"Test Driver")</f>
        <v>Test Driver</v>
      </c>
      <c r="F27" s="5">
        <f>IFERROR(__xludf.DUMMYFUNCTION("""COMPUTED_VALUE"""),0.006944444444444444)</f>
        <v>0.006944444444</v>
      </c>
      <c r="G27" s="5" t="str">
        <f>IFERROR(__xludf.DUMMYFUNCTION("""COMPUTED_VALUE"""),"AE86T-V2")</f>
        <v>AE86T-V2</v>
      </c>
      <c r="H27" s="5"/>
      <c r="I27" s="11" t="str">
        <f>IFERROR(__xludf.DUMMYFUNCTION("LET(
  賽道, """",
  路線, ""DH"",
  系統, ""CVS"",
  原始, FILTER('歷史紀錄'!$E$2:H1168, '歷史紀錄'!$B$2:B1168=賽道, '歷史紀錄'!$C$2:C1168=路線, '歷史紀錄'!$I$2:I1168=系統),
  排序後, SORT(原始, 2, TRUE),
  玩家, INDEX(排序後,,1),
  唯一玩家, UNIQUE(玩家),
  結果,
    MAP(唯一玩家, LAMBDA(p,
      INDEX(F"&amp;"ILTER(排序後, INDEX(排序後,,1)=p),1,0)
    )),
  表頭, {""Player玩家"",""Time時間"",""Car車種"",""Platform平台""},
  VSTACK(表頭, 結果)
)
"),"Player玩家")</f>
        <v>Player玩家</v>
      </c>
      <c r="J27" s="11" t="str">
        <f>IFERROR(__xludf.DUMMYFUNCTION("""COMPUTED_VALUE"""),"Time時間")</f>
        <v>Time時間</v>
      </c>
      <c r="K27" s="11" t="str">
        <f>IFERROR(__xludf.DUMMYFUNCTION("""COMPUTED_VALUE"""),"Car車種")</f>
        <v>Car車種</v>
      </c>
      <c r="L27" s="11" t="str">
        <f>IFERROR(__xludf.DUMMYFUNCTION("""COMPUTED_VALUE"""),"Platform平台")</f>
        <v>Platform平台</v>
      </c>
      <c r="M27" s="11" t="str">
        <f>IFERROR(__xludf.DUMMYFUNCTION("LET(
  賽道, """",
  路線, ""DH"",
  系統, ""CVS"",
  原始, FILTER('歷史紀錄'!E16:H1168, '歷史紀錄'!B16:B1168=賽道, '歷史紀錄'!C16:C1168=路線, '歷史紀錄'!I16:I1168=系統),
  排序後, SORT(原始, 2, TRUE),
  玩家, INDEX(排序後,,1),
  唯一玩家, UNIQUE(玩家),
  結果,
    MAP(唯一玩家, LAMBDA(p,
      INDEX(FILTE"&amp;"R(排序後, INDEX(排序後,,1)=p),1,0)
    )),
  表頭, {""Player玩家"",""Time時間"",""Car車種"",""Platform平台""},
  VSTACK(表頭, 結果)
)
"),"Player玩家")</f>
        <v>Player玩家</v>
      </c>
      <c r="N27" s="11" t="str">
        <f>IFERROR(__xludf.DUMMYFUNCTION("""COMPUTED_VALUE"""),"Time時間")</f>
        <v>Time時間</v>
      </c>
      <c r="O27" s="11" t="str">
        <f>IFERROR(__xludf.DUMMYFUNCTION("""COMPUTED_VALUE"""),"Car車種")</f>
        <v>Car車種</v>
      </c>
      <c r="P27" s="11" t="str">
        <f>IFERROR(__xludf.DUMMYFUNCTION("""COMPUTED_VALUE"""),"Platform平台")</f>
        <v>Platform平台</v>
      </c>
      <c r="Q27" s="5" t="str">
        <f>IFERROR(__xludf.DUMMYFUNCTION("""COMPUTED_VALUE"""),"Lolidia")</f>
        <v>Lolidia</v>
      </c>
      <c r="R27" s="5">
        <f>IFERROR(__xludf.DUMMYFUNCTION("""COMPUTED_VALUE"""),0.0010182638888888889)</f>
        <v>0.001018263889</v>
      </c>
      <c r="S27" s="5" t="str">
        <f>IFERROR(__xludf.DUMMYFUNCTION("""COMPUTED_VALUE"""),"EVO3")</f>
        <v>EVO3</v>
      </c>
      <c r="T27" s="5" t="str">
        <f>IFERROR(__xludf.DUMMYFUNCTION("""COMPUTED_VALUE"""),"PCVR")</f>
        <v>PCVR</v>
      </c>
      <c r="U27" s="5" t="str">
        <f>IFERROR(__xludf.DUMMYFUNCTION("""COMPUTED_VALUE"""),"#N/A")</f>
        <v>#N/A</v>
      </c>
      <c r="V27" s="5" t="str">
        <f>IFERROR(__xludf.DUMMYFUNCTION("""COMPUTED_VALUE"""),"#N/A")</f>
        <v>#N/A</v>
      </c>
      <c r="W27" s="5" t="str">
        <f>IFERROR(__xludf.DUMMYFUNCTION("""COMPUTED_VALUE"""),"#N/A")</f>
        <v>#N/A</v>
      </c>
      <c r="X27" s="5" t="str">
        <f>IFERROR(__xludf.DUMMYFUNCTION("""COMPUTED_VALUE"""),"#N/A")</f>
        <v>#N/A</v>
      </c>
      <c r="Y27" s="5"/>
      <c r="Z27" s="5"/>
      <c r="AA27" s="5"/>
      <c r="AB27" s="5"/>
      <c r="AC27" s="5"/>
      <c r="AD27" s="5"/>
      <c r="AE27" s="5"/>
      <c r="AF27" s="5"/>
      <c r="AG27" s="5"/>
      <c r="AH27" s="5"/>
      <c r="AI27" s="5"/>
      <c r="AJ27" s="5"/>
      <c r="AK27" s="5"/>
      <c r="AL27" s="5"/>
    </row>
    <row r="28">
      <c r="A28" s="5" t="str">
        <f>IFERROR(__xludf.DUMMYFUNCTION("""COMPUTED_VALUE"""),"ikuhopen")</f>
        <v>ikuhopen</v>
      </c>
      <c r="B28" s="5">
        <f>IFERROR(__xludf.DUMMYFUNCTION("""COMPUTED_VALUE"""),0.0025631944444444448)</f>
        <v>0.002563194444</v>
      </c>
      <c r="C28" s="5" t="str">
        <f>IFERROR(__xludf.DUMMYFUNCTION("""COMPUTED_VALUE"""),"GT86/ZN6")</f>
        <v>GT86/ZN6</v>
      </c>
      <c r="D28" s="5" t="str">
        <f>IFERROR(__xludf.DUMMYFUNCTION("""COMPUTED_VALUE"""),"PCVR")</f>
        <v>PCVR</v>
      </c>
      <c r="E28" s="5"/>
      <c r="F28" s="5"/>
      <c r="G28" s="5"/>
      <c r="H28" s="5"/>
      <c r="I28" s="5" t="str">
        <f>IFERROR(__xludf.DUMMYFUNCTION("""COMPUTED_VALUE"""),"#N/A")</f>
        <v>#N/A</v>
      </c>
      <c r="J28" s="5" t="str">
        <f>IFERROR(__xludf.DUMMYFUNCTION("""COMPUTED_VALUE"""),"#N/A")</f>
        <v>#N/A</v>
      </c>
      <c r="K28" s="5" t="str">
        <f>IFERROR(__xludf.DUMMYFUNCTION("""COMPUTED_VALUE"""),"#N/A")</f>
        <v>#N/A</v>
      </c>
      <c r="L28" s="5" t="str">
        <f>IFERROR(__xludf.DUMMYFUNCTION("""COMPUTED_VALUE"""),"#N/A")</f>
        <v>#N/A</v>
      </c>
      <c r="M28" s="5" t="str">
        <f>IFERROR(__xludf.DUMMYFUNCTION("""COMPUTED_VALUE"""),"#N/A")</f>
        <v>#N/A</v>
      </c>
      <c r="N28" s="5" t="str">
        <f>IFERROR(__xludf.DUMMYFUNCTION("""COMPUTED_VALUE"""),"#N/A")</f>
        <v>#N/A</v>
      </c>
      <c r="O28" s="5" t="str">
        <f>IFERROR(__xludf.DUMMYFUNCTION("""COMPUTED_VALUE"""),"#N/A")</f>
        <v>#N/A</v>
      </c>
      <c r="P28" s="5" t="str">
        <f>IFERROR(__xludf.DUMMYFUNCTION("""COMPUTED_VALUE"""),"#N/A")</f>
        <v>#N/A</v>
      </c>
      <c r="Q28" s="5" t="str">
        <f>IFERROR(__xludf.DUMMYFUNCTION("""COMPUTED_VALUE"""),"ねぎたま")</f>
        <v>ねぎたま</v>
      </c>
      <c r="R28" s="5">
        <f>IFERROR(__xludf.DUMMYFUNCTION("""COMPUTED_VALUE"""),0.001018287037037037)</f>
        <v>0.001018287037</v>
      </c>
      <c r="S28" s="5" t="str">
        <f>IFERROR(__xludf.DUMMYFUNCTION("""COMPUTED_VALUE"""),"EVO3")</f>
        <v>EVO3</v>
      </c>
      <c r="T28" s="5" t="str">
        <f>IFERROR(__xludf.DUMMYFUNCTION("""COMPUTED_VALUE"""),"PCVR")</f>
        <v>PCVR</v>
      </c>
      <c r="U28" s="5"/>
      <c r="V28" s="5"/>
      <c r="W28" s="5"/>
      <c r="X28" s="5"/>
      <c r="Y28" s="5"/>
      <c r="Z28" s="5"/>
      <c r="AA28" s="5"/>
      <c r="AB28" s="5"/>
      <c r="AC28" s="5"/>
      <c r="AD28" s="5"/>
      <c r="AE28" s="5"/>
      <c r="AF28" s="5"/>
      <c r="AG28" s="5"/>
      <c r="AH28" s="5"/>
      <c r="AI28" s="5"/>
      <c r="AJ28" s="5"/>
      <c r="AK28" s="5"/>
      <c r="AL28" s="5"/>
    </row>
    <row r="29">
      <c r="A29" s="5" t="str">
        <f>IFERROR(__xludf.DUMMYFUNCTION("""COMPUTED_VALUE"""),"StarRiver Arts")</f>
        <v>StarRiver Arts</v>
      </c>
      <c r="B29" s="5">
        <f>IFERROR(__xludf.DUMMYFUNCTION("""COMPUTED_VALUE"""),0.0029052893518518516)</f>
        <v>0.002905289352</v>
      </c>
      <c r="C29" s="5" t="str">
        <f>IFERROR(__xludf.DUMMYFUNCTION("""COMPUTED_VALUE"""),"Comfort")</f>
        <v>Comfort</v>
      </c>
      <c r="D29" s="5" t="str">
        <f>IFERROR(__xludf.DUMMYFUNCTION("""COMPUTED_VALUE"""),"PC")</f>
        <v>PC</v>
      </c>
      <c r="E29" s="5"/>
      <c r="F29" s="5"/>
      <c r="G29" s="5"/>
      <c r="H29" s="5"/>
      <c r="I29" s="5"/>
      <c r="J29" s="5"/>
      <c r="K29" s="5"/>
      <c r="L29" s="5"/>
      <c r="M29" s="5"/>
      <c r="N29" s="5"/>
      <c r="O29" s="5"/>
      <c r="P29" s="5"/>
      <c r="Q29" s="5" t="str">
        <f>IFERROR(__xludf.DUMMYFUNCTION("""COMPUTED_VALUE"""),"Light_Spirit")</f>
        <v>Light_Spirit</v>
      </c>
      <c r="R29" s="5">
        <f>IFERROR(__xludf.DUMMYFUNCTION("""COMPUTED_VALUE"""),0.0010786226851851853)</f>
        <v>0.001078622685</v>
      </c>
      <c r="S29" s="5" t="str">
        <f>IFERROR(__xludf.DUMMYFUNCTION("""COMPUTED_VALUE"""),"Macchiato")</f>
        <v>Macchiato</v>
      </c>
      <c r="T29" s="5" t="str">
        <f>IFERROR(__xludf.DUMMYFUNCTION("""COMPUTED_VALUE"""),"PCVR")</f>
        <v>PCVR</v>
      </c>
      <c r="U29" s="5"/>
      <c r="V29" s="5"/>
      <c r="W29" s="5"/>
      <c r="X29" s="5"/>
      <c r="Y29" s="5"/>
      <c r="Z29" s="5"/>
      <c r="AA29" s="5"/>
      <c r="AB29" s="5"/>
      <c r="AC29" s="5"/>
      <c r="AD29" s="5"/>
      <c r="AE29" s="5"/>
      <c r="AF29" s="5"/>
      <c r="AG29" s="5"/>
      <c r="AH29" s="5"/>
      <c r="AI29" s="5"/>
      <c r="AJ29" s="5"/>
      <c r="AK29" s="5"/>
      <c r="AL29" s="5"/>
    </row>
    <row r="30">
      <c r="A30" s="5" t="str">
        <f>IFERROR(__xludf.DUMMYFUNCTION("""COMPUTED_VALUE"""),"ZihChin")</f>
        <v>ZihChin</v>
      </c>
      <c r="B30" s="5">
        <f>IFERROR(__xludf.DUMMYFUNCTION("""COMPUTED_VALUE"""),0.003164930555555556)</f>
        <v>0.003164930556</v>
      </c>
      <c r="C30" s="5" t="str">
        <f>IFERROR(__xludf.DUMMYFUNCTION("""COMPUTED_VALUE"""),"HCR32")</f>
        <v>HCR32</v>
      </c>
      <c r="D30" s="5" t="str">
        <f>IFERROR(__xludf.DUMMYFUNCTION("""COMPUTED_VALUE"""),"PC")</f>
        <v>PC</v>
      </c>
      <c r="E30" s="5"/>
      <c r="F30" s="5"/>
      <c r="G30" s="5"/>
      <c r="H30" s="5"/>
      <c r="I30" s="5"/>
      <c r="J30" s="5"/>
      <c r="K30" s="5"/>
      <c r="L30" s="5"/>
      <c r="M30" s="5"/>
      <c r="N30" s="5"/>
      <c r="O30" s="5"/>
      <c r="P30" s="5"/>
      <c r="Q30" s="5" t="str">
        <f>IFERROR(__xludf.DUMMYFUNCTION("""COMPUTED_VALUE"""),"StarRiver Arts")</f>
        <v>StarRiver Arts</v>
      </c>
      <c r="R30" s="5">
        <f>IFERROR(__xludf.DUMMYFUNCTION("""COMPUTED_VALUE"""),0.0010796643518518518)</f>
        <v>0.001079664352</v>
      </c>
      <c r="S30" s="5" t="str">
        <f>IFERROR(__xludf.DUMMYFUNCTION("""COMPUTED_VALUE"""),"EVO3")</f>
        <v>EVO3</v>
      </c>
      <c r="T30" s="5" t="str">
        <f>IFERROR(__xludf.DUMMYFUNCTION("""COMPUTED_VALUE"""),"PC")</f>
        <v>PC</v>
      </c>
      <c r="U30" s="5"/>
      <c r="V30" s="5"/>
      <c r="W30" s="5"/>
      <c r="X30" s="5"/>
      <c r="Y30" s="5"/>
      <c r="Z30" s="5"/>
      <c r="AA30" s="5"/>
      <c r="AB30" s="5"/>
      <c r="AC30" s="5"/>
      <c r="AD30" s="5"/>
      <c r="AE30" s="5"/>
      <c r="AF30" s="5"/>
      <c r="AG30" s="5"/>
      <c r="AH30" s="5"/>
      <c r="AI30" s="5"/>
      <c r="AJ30" s="5"/>
      <c r="AK30" s="5"/>
      <c r="AL30" s="5"/>
    </row>
    <row r="31">
      <c r="A31" s="5" t="str">
        <f>IFERROR(__xludf.DUMMYFUNCTION("""COMPUTED_VALUE"""),"Test Driver")</f>
        <v>Test Driver</v>
      </c>
      <c r="B31" s="5">
        <f>IFERROR(__xludf.DUMMYFUNCTION("""COMPUTED_VALUE"""),0.006944444444444444)</f>
        <v>0.006944444444</v>
      </c>
      <c r="C31" s="5" t="str">
        <f>IFERROR(__xludf.DUMMYFUNCTION("""COMPUTED_VALUE"""),"2000GT")</f>
        <v>2000GT</v>
      </c>
      <c r="D31" s="5"/>
      <c r="E31" s="5"/>
      <c r="F31" s="5"/>
      <c r="G31" s="5"/>
      <c r="H31" s="5"/>
      <c r="I31" s="5"/>
      <c r="J31" s="5"/>
      <c r="K31" s="5"/>
      <c r="L31" s="5"/>
      <c r="M31" s="5"/>
      <c r="N31" s="5"/>
      <c r="O31" s="5"/>
      <c r="P31" s="5"/>
      <c r="Q31" s="5" t="str">
        <f>IFERROR(__xludf.DUMMYFUNCTION("""COMPUTED_VALUE"""),"アビドサスヒカリ")</f>
        <v>アビドサスヒカリ</v>
      </c>
      <c r="R31" s="5">
        <f>IFERROR(__xludf.DUMMYFUNCTION("""COMPUTED_VALUE"""),0.0010816319444444445)</f>
        <v>0.001081631944</v>
      </c>
      <c r="S31" s="5" t="str">
        <f>IFERROR(__xludf.DUMMYFUNCTION("""COMPUTED_VALUE"""),"EVO3")</f>
        <v>EVO3</v>
      </c>
      <c r="T31" s="5" t="str">
        <f>IFERROR(__xludf.DUMMYFUNCTION("""COMPUTED_VALUE"""),"PCVR")</f>
        <v>PCVR</v>
      </c>
      <c r="U31" s="5"/>
      <c r="V31" s="5"/>
      <c r="W31" s="5"/>
      <c r="X31" s="5"/>
      <c r="Y31" s="5"/>
      <c r="Z31" s="5"/>
      <c r="AA31" s="5"/>
      <c r="AB31" s="5"/>
      <c r="AC31" s="5"/>
      <c r="AD31" s="5"/>
      <c r="AE31" s="5"/>
      <c r="AF31" s="5"/>
      <c r="AG31" s="5"/>
      <c r="AH31" s="5"/>
      <c r="AI31" s="5"/>
      <c r="AJ31" s="5"/>
      <c r="AK31" s="5"/>
      <c r="AL31" s="5"/>
    </row>
    <row r="32">
      <c r="A32" s="5"/>
      <c r="B32" s="5"/>
      <c r="C32" s="5"/>
      <c r="D32" s="5"/>
      <c r="E32" s="5"/>
      <c r="F32" s="5"/>
      <c r="G32" s="5"/>
      <c r="H32" s="5"/>
      <c r="I32" s="5"/>
      <c r="J32" s="5"/>
      <c r="K32" s="5"/>
      <c r="L32" s="5"/>
      <c r="M32" s="5"/>
      <c r="N32" s="5"/>
      <c r="O32" s="5"/>
      <c r="P32" s="5"/>
      <c r="Q32" s="5" t="str">
        <f>IFERROR(__xludf.DUMMYFUNCTION("""COMPUTED_VALUE"""),"Chrno_C")</f>
        <v>Chrno_C</v>
      </c>
      <c r="R32" s="5">
        <f>IFERROR(__xludf.DUMMYFUNCTION("""COMPUTED_VALUE"""),0.0010866782407407407)</f>
        <v>0.001086678241</v>
      </c>
      <c r="S32" s="5" t="str">
        <f>IFERROR(__xludf.DUMMYFUNCTION("""COMPUTED_VALUE"""),"EVO3")</f>
        <v>EVO3</v>
      </c>
      <c r="T32" s="5" t="str">
        <f>IFERROR(__xludf.DUMMYFUNCTION("""COMPUTED_VALUE"""),"PCVR")</f>
        <v>PCVR</v>
      </c>
      <c r="U32" s="5"/>
      <c r="V32" s="5"/>
      <c r="W32" s="5"/>
      <c r="X32" s="5"/>
      <c r="Y32" s="5"/>
      <c r="Z32" s="5"/>
      <c r="AA32" s="5"/>
      <c r="AB32" s="5"/>
      <c r="AC32" s="5"/>
      <c r="AD32" s="5"/>
      <c r="AE32" s="5"/>
      <c r="AF32" s="5"/>
      <c r="AG32" s="5"/>
      <c r="AH32" s="5"/>
      <c r="AI32" s="5"/>
      <c r="AJ32" s="5"/>
      <c r="AK32" s="5"/>
      <c r="AL32" s="5"/>
    </row>
    <row r="33">
      <c r="A33" s="24" t="s">
        <v>25</v>
      </c>
      <c r="E33" s="24" t="s">
        <v>26</v>
      </c>
      <c r="I33" s="23"/>
      <c r="M33" s="23"/>
      <c r="Q33" s="5" t="str">
        <f>IFERROR(__xludf.DUMMYFUNCTION("""COMPUTED_VALUE"""),"Yangtao")</f>
        <v>Yangtao</v>
      </c>
      <c r="R33" s="5">
        <f>IFERROR(__xludf.DUMMYFUNCTION("""COMPUTED_VALUE"""),0.0011427430555555555)</f>
        <v>0.001142743056</v>
      </c>
      <c r="S33" s="5" t="str">
        <f>IFERROR(__xludf.DUMMYFUNCTION("""COMPUTED_VALUE"""),"LapinTuned")</f>
        <v>LapinTuned</v>
      </c>
      <c r="T33" s="5" t="str">
        <f>IFERROR(__xludf.DUMMYFUNCTION("""COMPUTED_VALUE"""),"PCVR")</f>
        <v>PCVR</v>
      </c>
      <c r="U33" s="5"/>
      <c r="V33" s="5"/>
      <c r="W33" s="5"/>
      <c r="X33" s="5"/>
      <c r="Y33" s="5"/>
      <c r="Z33" s="5"/>
      <c r="AA33" s="5"/>
      <c r="AB33" s="5"/>
      <c r="AC33" s="5"/>
      <c r="AD33" s="5"/>
      <c r="AE33" s="5"/>
      <c r="AF33" s="5"/>
      <c r="AG33" s="5"/>
      <c r="AH33" s="5"/>
      <c r="AI33" s="5"/>
      <c r="AJ33" s="5"/>
      <c r="AK33" s="5"/>
      <c r="AL33" s="5"/>
    </row>
    <row r="34">
      <c r="A34" s="11" t="str">
        <f>IFERROR(__xludf.DUMMYFUNCTION("LET(
  賽道, ""Myogi (ASV)"",
  路線, ""DH"",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B34" s="11" t="str">
        <f>IFERROR(__xludf.DUMMYFUNCTION("""COMPUTED_VALUE"""),"Time時間")</f>
        <v>Time時間</v>
      </c>
      <c r="C34" s="11" t="str">
        <f>IFERROR(__xludf.DUMMYFUNCTION("""COMPUTED_VALUE"""),"Car車種")</f>
        <v>Car車種</v>
      </c>
      <c r="D34" s="11" t="str">
        <f>IFERROR(__xludf.DUMMYFUNCTION("""COMPUTED_VALUE"""),"Platform平台")</f>
        <v>Platform平台</v>
      </c>
      <c r="E34" s="11" t="str">
        <f>IFERROR(__xludf.DUMMYFUNCTION("LET(
  賽道, ""Myogi (ASV)"",
  路線, ""UH"",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F34" s="11" t="str">
        <f>IFERROR(__xludf.DUMMYFUNCTION("""COMPUTED_VALUE"""),"Time時間")</f>
        <v>Time時間</v>
      </c>
      <c r="G34" s="11" t="str">
        <f>IFERROR(__xludf.DUMMYFUNCTION("""COMPUTED_VALUE"""),"Car車種")</f>
        <v>Car車種</v>
      </c>
      <c r="H34" s="11" t="str">
        <f>IFERROR(__xludf.DUMMYFUNCTION("""COMPUTED_VALUE"""),"Platform平台")</f>
        <v>Platform平台</v>
      </c>
      <c r="I34" s="11" t="str">
        <f>IFERROR(__xludf.DUMMYFUNCTION("LET(
  賽道, """",
  路線, ""DH"",
  系統, ""CVS"",
  原始, FILTER('歷史紀錄'!$E$2:H1168, '歷史紀錄'!$B$2:B1168=賽道, '歷史紀錄'!$C$2:C1168=路線, '歷史紀錄'!$I$2:I1168=系統),
  排序後, SORT(原始, 2, TRUE),
  玩家, INDEX(排序後,,1),
  唯一玩家, UNIQUE(玩家),
  結果,
    MAP(唯一玩家, LAMBDA(p,
      INDEX(F"&amp;"ILTER(排序後, INDEX(排序後,,1)=p),1,0)
    )),
  表頭, {""Player玩家"",""Time時間"",""Car車種"",""Platform平台""},
  VSTACK(表頭, 結果)
)
"),"Player玩家")</f>
        <v>Player玩家</v>
      </c>
      <c r="J34" s="11" t="str">
        <f>IFERROR(__xludf.DUMMYFUNCTION("""COMPUTED_VALUE"""),"Time時間")</f>
        <v>Time時間</v>
      </c>
      <c r="K34" s="11" t="str">
        <f>IFERROR(__xludf.DUMMYFUNCTION("""COMPUTED_VALUE"""),"Car車種")</f>
        <v>Car車種</v>
      </c>
      <c r="L34" s="11" t="str">
        <f>IFERROR(__xludf.DUMMYFUNCTION("""COMPUTED_VALUE"""),"Platform平台")</f>
        <v>Platform平台</v>
      </c>
      <c r="M34" s="11" t="str">
        <f>IFERROR(__xludf.DUMMYFUNCTION("LET(
  賽道, """",
  路線, ""DH"",
  系統, ""CVS"",
  原始, FILTER('歷史紀錄'!E22:H1168, '歷史紀錄'!B22:B1168=賽道, '歷史紀錄'!C22:C1168=路線, '歷史紀錄'!I22:I1168=系統),
  排序後, SORT(原始, 2, TRUE),
  玩家, INDEX(排序後,,1),
  唯一玩家, UNIQUE(玩家),
  結果,
    MAP(唯一玩家, LAMBDA(p,
      INDEX(FILTE"&amp;"R(排序後, INDEX(排序後,,1)=p),1,0)
    )),
  表頭, {""Player玩家"",""Time時間"",""Car車種"",""Platform平台""},
  VSTACK(表頭, 結果)
)
"),"Player玩家")</f>
        <v>Player玩家</v>
      </c>
      <c r="N34" s="11" t="str">
        <f>IFERROR(__xludf.DUMMYFUNCTION("""COMPUTED_VALUE"""),"Time時間")</f>
        <v>Time時間</v>
      </c>
      <c r="O34" s="11" t="str">
        <f>IFERROR(__xludf.DUMMYFUNCTION("""COMPUTED_VALUE"""),"Car車種")</f>
        <v>Car車種</v>
      </c>
      <c r="P34" s="11" t="str">
        <f>IFERROR(__xludf.DUMMYFUNCTION("""COMPUTED_VALUE"""),"Platform平台")</f>
        <v>Platform平台</v>
      </c>
      <c r="Q34" s="5" t="str">
        <f>IFERROR(__xludf.DUMMYFUNCTION("""COMPUTED_VALUE"""),"LinWu_05")</f>
        <v>LinWu_05</v>
      </c>
      <c r="R34" s="5">
        <f>IFERROR(__xludf.DUMMYFUNCTION("""COMPUTED_VALUE"""),0.0011741898148148148)</f>
        <v>0.001174189815</v>
      </c>
      <c r="S34" s="5" t="str">
        <f>IFERROR(__xludf.DUMMYFUNCTION("""COMPUTED_VALUE"""),"Macchiato")</f>
        <v>Macchiato</v>
      </c>
      <c r="T34" s="5" t="str">
        <f>IFERROR(__xludf.DUMMYFUNCTION("""COMPUTED_VALUE"""),"PC")</f>
        <v>PC</v>
      </c>
      <c r="U34" s="5"/>
      <c r="V34" s="5"/>
      <c r="W34" s="5"/>
      <c r="X34" s="5"/>
      <c r="Y34" s="5"/>
      <c r="Z34" s="5"/>
      <c r="AA34" s="5"/>
      <c r="AB34" s="5"/>
      <c r="AC34" s="5"/>
      <c r="AD34" s="5"/>
      <c r="AE34" s="5"/>
      <c r="AF34" s="5"/>
      <c r="AG34" s="5"/>
      <c r="AH34" s="5"/>
      <c r="AI34" s="5"/>
      <c r="AJ34" s="5"/>
      <c r="AK34" s="5"/>
      <c r="AL34" s="5"/>
    </row>
    <row r="35">
      <c r="A35" s="5" t="str">
        <f>IFERROR(__xludf.DUMMYFUNCTION("""COMPUTED_VALUE"""),"Lolidia")</f>
        <v>Lolidia</v>
      </c>
      <c r="B35" s="5">
        <f>IFERROR(__xludf.DUMMYFUNCTION("""COMPUTED_VALUE"""),0.002172326388888889)</f>
        <v>0.002172326389</v>
      </c>
      <c r="C35" s="5" t="str">
        <f>IFERROR(__xludf.DUMMYFUNCTION("""COMPUTED_VALUE"""),"BNR32")</f>
        <v>BNR32</v>
      </c>
      <c r="D35" s="5" t="str">
        <f>IFERROR(__xludf.DUMMYFUNCTION("""COMPUTED_VALUE"""),"PCVR")</f>
        <v>PCVR</v>
      </c>
      <c r="E35" s="5" t="str">
        <f>IFERROR(__xludf.DUMMYFUNCTION("""COMPUTED_VALUE"""),"StarRiver Arts")</f>
        <v>StarRiver Arts</v>
      </c>
      <c r="F35" s="5">
        <f>IFERROR(__xludf.DUMMYFUNCTION("""COMPUTED_VALUE"""),0.002464525462962963)</f>
        <v>0.002464525463</v>
      </c>
      <c r="G35" s="5" t="str">
        <f>IFERROR(__xludf.DUMMYFUNCTION("""COMPUTED_VALUE"""),"EVOVII/CT9A")</f>
        <v>EVOVII/CT9A</v>
      </c>
      <c r="H35" s="5" t="str">
        <f>IFERROR(__xludf.DUMMYFUNCTION("""COMPUTED_VALUE"""),"PC")</f>
        <v>PC</v>
      </c>
      <c r="I35" s="5" t="str">
        <f>IFERROR(__xludf.DUMMYFUNCTION("""COMPUTED_VALUE"""),"#N/A")</f>
        <v>#N/A</v>
      </c>
      <c r="J35" s="5" t="str">
        <f>IFERROR(__xludf.DUMMYFUNCTION("""COMPUTED_VALUE"""),"#N/A")</f>
        <v>#N/A</v>
      </c>
      <c r="K35" s="5" t="str">
        <f>IFERROR(__xludf.DUMMYFUNCTION("""COMPUTED_VALUE"""),"#N/A")</f>
        <v>#N/A</v>
      </c>
      <c r="L35" s="5" t="str">
        <f>IFERROR(__xludf.DUMMYFUNCTION("""COMPUTED_VALUE"""),"#N/A")</f>
        <v>#N/A</v>
      </c>
      <c r="M35" s="5" t="str">
        <f>IFERROR(__xludf.DUMMYFUNCTION("""COMPUTED_VALUE"""),"#N/A")</f>
        <v>#N/A</v>
      </c>
      <c r="N35" s="5" t="str">
        <f>IFERROR(__xludf.DUMMYFUNCTION("""COMPUTED_VALUE"""),"#N/A")</f>
        <v>#N/A</v>
      </c>
      <c r="O35" s="5" t="str">
        <f>IFERROR(__xludf.DUMMYFUNCTION("""COMPUTED_VALUE"""),"#N/A")</f>
        <v>#N/A</v>
      </c>
      <c r="P35" s="5" t="str">
        <f>IFERROR(__xludf.DUMMYFUNCTION("""COMPUTED_VALUE"""),"#N/A")</f>
        <v>#N/A</v>
      </c>
      <c r="Q35" s="5" t="str">
        <f>IFERROR(__xludf.DUMMYFUNCTION("""COMPUTED_VALUE"""),"Kinokono_Tenka")</f>
        <v>Kinokono_Tenka</v>
      </c>
      <c r="R35" s="5">
        <f>IFERROR(__xludf.DUMMYFUNCTION("""COMPUTED_VALUE"""),0.0012289814814814815)</f>
        <v>0.001228981481</v>
      </c>
      <c r="S35" s="5" t="str">
        <f>IFERROR(__xludf.DUMMYFUNCTION("""COMPUTED_VALUE"""),"LapinTuned")</f>
        <v>LapinTuned</v>
      </c>
      <c r="T35" s="5" t="str">
        <f>IFERROR(__xludf.DUMMYFUNCTION("""COMPUTED_VALUE"""),"PCVR")</f>
        <v>PCVR</v>
      </c>
      <c r="U35" s="5"/>
      <c r="V35" s="5"/>
      <c r="W35" s="5"/>
      <c r="X35" s="5"/>
      <c r="Y35" s="5"/>
      <c r="Z35" s="5"/>
      <c r="AA35" s="5"/>
      <c r="AB35" s="5"/>
      <c r="AC35" s="5"/>
      <c r="AD35" s="5"/>
      <c r="AE35" s="5"/>
      <c r="AF35" s="5"/>
      <c r="AG35" s="5"/>
      <c r="AH35" s="5"/>
      <c r="AI35" s="5"/>
      <c r="AJ35" s="5"/>
      <c r="AK35" s="5"/>
      <c r="AL35" s="5"/>
    </row>
    <row r="36">
      <c r="A36" s="5" t="str">
        <f>IFERROR(__xludf.DUMMYFUNCTION("""COMPUTED_VALUE"""),"~Antidote~")</f>
        <v>~Antidote~</v>
      </c>
      <c r="B36" s="5">
        <f>IFERROR(__xludf.DUMMYFUNCTION("""COMPUTED_VALUE"""),0.002233321759259259)</f>
        <v>0.002233321759</v>
      </c>
      <c r="C36" s="5" t="str">
        <f>IFERROR(__xludf.DUMMYFUNCTION("""COMPUTED_VALUE"""),"EVOVII/CT9A")</f>
        <v>EVOVII/CT9A</v>
      </c>
      <c r="D36" s="5" t="str">
        <f>IFERROR(__xludf.DUMMYFUNCTION("""COMPUTED_VALUE"""),"PCVR")</f>
        <v>PCVR</v>
      </c>
      <c r="E36" s="5" t="str">
        <f>IFERROR(__xludf.DUMMYFUNCTION("""COMPUTED_VALUE"""),"LinWu_05")</f>
        <v>LinWu_05</v>
      </c>
      <c r="F36" s="5">
        <f>IFERROR(__xludf.DUMMYFUNCTION("""COMPUTED_VALUE"""),0.0024857407407407406)</f>
        <v>0.002485740741</v>
      </c>
      <c r="G36" s="5" t="str">
        <f>IFERROR(__xludf.DUMMYFUNCTION("""COMPUTED_VALUE"""),"380SX")</f>
        <v>380SX</v>
      </c>
      <c r="H36" s="5" t="str">
        <f>IFERROR(__xludf.DUMMYFUNCTION("""COMPUTED_VALUE"""),"PC")</f>
        <v>PC</v>
      </c>
      <c r="I36" s="5"/>
      <c r="J36" s="5"/>
      <c r="K36" s="5"/>
      <c r="L36" s="5"/>
      <c r="M36" s="5"/>
      <c r="N36" s="5"/>
      <c r="O36" s="5"/>
      <c r="P36" s="5"/>
      <c r="Q36" s="5" t="str">
        <f>IFERROR(__xludf.DUMMYFUNCTION("""COMPUTED_VALUE"""),"_Aqua")</f>
        <v>_Aqua</v>
      </c>
      <c r="R36" s="5">
        <f>IFERROR(__xludf.DUMMYFUNCTION("""COMPUTED_VALUE"""),0.0012419560185185185)</f>
        <v>0.001241956019</v>
      </c>
      <c r="S36" s="5" t="str">
        <f>IFERROR(__xludf.DUMMYFUNCTION("""COMPUTED_VALUE"""),"LapinTuned")</f>
        <v>LapinTuned</v>
      </c>
      <c r="T36" s="5" t="str">
        <f>IFERROR(__xludf.DUMMYFUNCTION("""COMPUTED_VALUE"""),"Quest")</f>
        <v>Quest</v>
      </c>
      <c r="U36" s="5"/>
      <c r="V36" s="5"/>
      <c r="W36" s="5"/>
      <c r="X36" s="5"/>
      <c r="Y36" s="5"/>
      <c r="Z36" s="5"/>
      <c r="AA36" s="5"/>
      <c r="AB36" s="5"/>
      <c r="AC36" s="5"/>
      <c r="AD36" s="5"/>
      <c r="AE36" s="5"/>
      <c r="AF36" s="5"/>
      <c r="AG36" s="5"/>
      <c r="AH36" s="5"/>
      <c r="AI36" s="5"/>
      <c r="AJ36" s="5"/>
      <c r="AK36" s="5"/>
      <c r="AL36" s="5"/>
    </row>
    <row r="37">
      <c r="A37" s="5" t="str">
        <f>IFERROR(__xludf.DUMMYFUNCTION("""COMPUTED_VALUE"""),"Yune")</f>
        <v>Yune</v>
      </c>
      <c r="B37" s="5">
        <f>IFERROR(__xludf.DUMMYFUNCTION("""COMPUTED_VALUE"""),0.002247222222222222)</f>
        <v>0.002247222222</v>
      </c>
      <c r="C37" s="5" t="str">
        <f>IFERROR(__xludf.DUMMYFUNCTION("""COMPUTED_VALUE"""),"SilEighty")</f>
        <v>SilEighty</v>
      </c>
      <c r="D37" s="5" t="str">
        <f>IFERROR(__xludf.DUMMYFUNCTION("""COMPUTED_VALUE"""),"PC")</f>
        <v>PC</v>
      </c>
      <c r="E37" s="5" t="str">
        <f>IFERROR(__xludf.DUMMYFUNCTION("""COMPUTED_VALUE"""),"Test Driver")</f>
        <v>Test Driver</v>
      </c>
      <c r="F37" s="5">
        <f>IFERROR(__xludf.DUMMYFUNCTION("""COMPUTED_VALUE"""),0.006944444444444444)</f>
        <v>0.006944444444</v>
      </c>
      <c r="G37" s="5" t="str">
        <f>IFERROR(__xludf.DUMMYFUNCTION("""COMPUTED_VALUE"""),"BNR32")</f>
        <v>BNR32</v>
      </c>
      <c r="H37" s="5"/>
      <c r="I37" s="5"/>
      <c r="J37" s="5"/>
      <c r="K37" s="5"/>
      <c r="L37" s="5"/>
      <c r="M37" s="5"/>
      <c r="N37" s="5"/>
      <c r="O37" s="5"/>
      <c r="P37" s="5"/>
      <c r="Q37" s="5" t="str">
        <f>IFERROR(__xludf.DUMMYFUNCTION("""COMPUTED_VALUE"""),"Linjeyooo")</f>
        <v>Linjeyooo</v>
      </c>
      <c r="R37" s="5">
        <f>IFERROR(__xludf.DUMMYFUNCTION("""COMPUTED_VALUE"""),0.0012636921296296296)</f>
        <v>0.00126369213</v>
      </c>
      <c r="S37" s="5" t="str">
        <f>IFERROR(__xludf.DUMMYFUNCTION("""COMPUTED_VALUE"""),"LapinTuned")</f>
        <v>LapinTuned</v>
      </c>
      <c r="T37" s="5" t="str">
        <f>IFERROR(__xludf.DUMMYFUNCTION("""COMPUTED_VALUE"""),"PCVR")</f>
        <v>PCVR</v>
      </c>
      <c r="U37" s="5"/>
      <c r="V37" s="5"/>
      <c r="W37" s="5"/>
      <c r="X37" s="5"/>
      <c r="Y37" s="5"/>
      <c r="Z37" s="5"/>
      <c r="AA37" s="5"/>
      <c r="AB37" s="5"/>
      <c r="AC37" s="5"/>
      <c r="AD37" s="5"/>
      <c r="AE37" s="5"/>
      <c r="AF37" s="5"/>
      <c r="AG37" s="5"/>
      <c r="AH37" s="5"/>
      <c r="AI37" s="5"/>
      <c r="AJ37" s="5"/>
      <c r="AK37" s="5"/>
      <c r="AL37" s="5"/>
    </row>
    <row r="38">
      <c r="A38" s="5" t="str">
        <f>IFERROR(__xludf.DUMMYFUNCTION("""COMPUTED_VALUE"""),"Kinokono_Tenka")</f>
        <v>Kinokono_Tenka</v>
      </c>
      <c r="B38" s="5">
        <f>IFERROR(__xludf.DUMMYFUNCTION("""COMPUTED_VALUE"""),0.0022519675925925923)</f>
        <v>0.002251967593</v>
      </c>
      <c r="C38" s="5" t="str">
        <f>IFERROR(__xludf.DUMMYFUNCTION("""COMPUTED_VALUE"""),"EG6 (civic)")</f>
        <v>EG6 (civic)</v>
      </c>
      <c r="D38" s="5" t="str">
        <f>IFERROR(__xludf.DUMMYFUNCTION("""COMPUTED_VALUE"""),"PCVR")</f>
        <v>PCVR</v>
      </c>
      <c r="E38" s="5"/>
      <c r="F38" s="5"/>
      <c r="G38" s="5"/>
      <c r="H38" s="5"/>
      <c r="I38" s="5"/>
      <c r="J38" s="5"/>
      <c r="K38" s="5"/>
      <c r="L38" s="5"/>
      <c r="M38" s="5"/>
      <c r="N38" s="5"/>
      <c r="O38" s="5"/>
      <c r="P38" s="5"/>
      <c r="Q38" s="5" t="str">
        <f>IFERROR(__xludf.DUMMYFUNCTION("""COMPUTED_VALUE"""),"CH-流光-黃")</f>
        <v>CH-流光-黃</v>
      </c>
      <c r="R38" s="5">
        <f>IFERROR(__xludf.DUMMYFUNCTION("""COMPUTED_VALUE"""),0.0012930787037037036)</f>
        <v>0.001293078704</v>
      </c>
      <c r="S38" s="5" t="str">
        <f>IFERROR(__xludf.DUMMYFUNCTION("""COMPUTED_VALUE"""),"Macchiato")</f>
        <v>Macchiato</v>
      </c>
      <c r="T38" s="5" t="str">
        <f>IFERROR(__xludf.DUMMYFUNCTION("""COMPUTED_VALUE"""),"PCVR")</f>
        <v>PCVR</v>
      </c>
      <c r="U38" s="5"/>
      <c r="V38" s="5"/>
      <c r="W38" s="5"/>
      <c r="X38" s="5"/>
      <c r="Y38" s="5"/>
      <c r="Z38" s="5"/>
      <c r="AA38" s="5"/>
      <c r="AB38" s="5"/>
      <c r="AC38" s="5"/>
      <c r="AD38" s="5"/>
      <c r="AE38" s="5"/>
      <c r="AF38" s="5"/>
      <c r="AG38" s="5"/>
      <c r="AH38" s="5"/>
      <c r="AI38" s="5"/>
      <c r="AJ38" s="5"/>
      <c r="AK38" s="5"/>
      <c r="AL38" s="5"/>
    </row>
    <row r="39">
      <c r="A39" s="5" t="str">
        <f>IFERROR(__xludf.DUMMYFUNCTION("""COMPUTED_VALUE"""),"StarRiver Arts")</f>
        <v>StarRiver Arts</v>
      </c>
      <c r="B39" s="5">
        <f>IFERROR(__xludf.DUMMYFUNCTION("""COMPUTED_VALUE"""),0.002267546296296296)</f>
        <v>0.002267546296</v>
      </c>
      <c r="C39" s="5" t="str">
        <f>IFERROR(__xludf.DUMMYFUNCTION("""COMPUTED_VALUE"""),"SilEighty")</f>
        <v>SilEighty</v>
      </c>
      <c r="D39" s="5" t="str">
        <f>IFERROR(__xludf.DUMMYFUNCTION("""COMPUTED_VALUE"""),"PC")</f>
        <v>PC</v>
      </c>
      <c r="E39" s="5"/>
      <c r="F39" s="5"/>
      <c r="G39" s="5"/>
      <c r="H39" s="5"/>
      <c r="I39" s="5"/>
      <c r="J39" s="5"/>
      <c r="K39" s="5"/>
      <c r="L39" s="5"/>
      <c r="M39" s="5"/>
      <c r="N39" s="5"/>
      <c r="O39" s="5"/>
      <c r="P39" s="5"/>
      <c r="Q39" s="5" t="str">
        <f>IFERROR(__xludf.DUMMYFUNCTION("""COMPUTED_VALUE"""),"起名字好煩人")</f>
        <v>起名字好煩人</v>
      </c>
      <c r="R39" s="5">
        <f>IFERROR(__xludf.DUMMYFUNCTION("""COMPUTED_VALUE"""),0.0012930787037037036)</f>
        <v>0.001293078704</v>
      </c>
      <c r="S39" s="5" t="str">
        <f>IFERROR(__xludf.DUMMYFUNCTION("""COMPUTED_VALUE"""),"EVO3")</f>
        <v>EVO3</v>
      </c>
      <c r="T39" s="5" t="str">
        <f>IFERROR(__xludf.DUMMYFUNCTION("""COMPUTED_VALUE"""),"PCVR")</f>
        <v>PCVR</v>
      </c>
      <c r="U39" s="5"/>
      <c r="V39" s="5"/>
      <c r="W39" s="5"/>
      <c r="X39" s="5"/>
      <c r="Y39" s="5"/>
      <c r="Z39" s="5"/>
      <c r="AA39" s="5"/>
      <c r="AB39" s="5"/>
      <c r="AC39" s="5"/>
      <c r="AD39" s="5"/>
      <c r="AE39" s="5"/>
      <c r="AF39" s="5"/>
      <c r="AG39" s="5"/>
      <c r="AH39" s="5"/>
      <c r="AI39" s="5"/>
      <c r="AJ39" s="5"/>
      <c r="AK39" s="5"/>
      <c r="AL39" s="5"/>
    </row>
    <row r="40">
      <c r="A40" s="5" t="str">
        <f>IFERROR(__xludf.DUMMYFUNCTION("""COMPUTED_VALUE"""),"ikuhopen")</f>
        <v>ikuhopen</v>
      </c>
      <c r="B40" s="5">
        <f>IFERROR(__xludf.DUMMYFUNCTION("""COMPUTED_VALUE"""),0.0022929050925925925)</f>
        <v>0.002292905093</v>
      </c>
      <c r="C40" s="5" t="str">
        <f>IFERROR(__xludf.DUMMYFUNCTION("""COMPUTED_VALUE"""),"S14Q")</f>
        <v>S14Q</v>
      </c>
      <c r="D40" s="5" t="str">
        <f>IFERROR(__xludf.DUMMYFUNCTION("""COMPUTED_VALUE"""),"PC")</f>
        <v>PC</v>
      </c>
      <c r="E40" s="5"/>
      <c r="F40" s="5"/>
      <c r="G40" s="5"/>
      <c r="H40" s="5"/>
      <c r="I40" s="5"/>
      <c r="J40" s="5"/>
      <c r="K40" s="5"/>
      <c r="L40" s="5"/>
      <c r="M40" s="5"/>
      <c r="N40" s="5"/>
      <c r="O40" s="5"/>
      <c r="P40" s="5"/>
      <c r="Q40" s="5" t="str">
        <f>IFERROR(__xludf.DUMMYFUNCTION("""COMPUTED_VALUE"""),"Sakanakokokoko")</f>
        <v>Sakanakokokoko</v>
      </c>
      <c r="R40" s="5">
        <f>IFERROR(__xludf.DUMMYFUNCTION("""COMPUTED_VALUE"""),0.0012951388888888889)</f>
        <v>0.001295138889</v>
      </c>
      <c r="S40" s="5" t="str">
        <f>IFERROR(__xludf.DUMMYFUNCTION("""COMPUTED_VALUE"""),"CoachKart")</f>
        <v>CoachKart</v>
      </c>
      <c r="T40" s="5" t="str">
        <f>IFERROR(__xludf.DUMMYFUNCTION("""COMPUTED_VALUE"""),"PC")</f>
        <v>PC</v>
      </c>
      <c r="U40" s="5"/>
      <c r="V40" s="5"/>
      <c r="W40" s="5"/>
      <c r="X40" s="5"/>
      <c r="Y40" s="5"/>
      <c r="Z40" s="5"/>
      <c r="AA40" s="5"/>
      <c r="AB40" s="5"/>
      <c r="AC40" s="5"/>
      <c r="AD40" s="5"/>
      <c r="AE40" s="5"/>
      <c r="AF40" s="5"/>
      <c r="AG40" s="5"/>
      <c r="AH40" s="5"/>
      <c r="AI40" s="5"/>
      <c r="AJ40" s="5"/>
      <c r="AK40" s="5"/>
      <c r="AL40" s="5"/>
    </row>
    <row r="41">
      <c r="A41" s="5" t="str">
        <f>IFERROR(__xludf.DUMMYFUNCTION("""COMPUTED_VALUE"""),"Ritcher_Yen")</f>
        <v>Ritcher_Yen</v>
      </c>
      <c r="B41" s="5">
        <f>IFERROR(__xludf.DUMMYFUNCTION("""COMPUTED_VALUE"""),0.0023045833333333334)</f>
        <v>0.002304583333</v>
      </c>
      <c r="C41" s="5" t="str">
        <f>IFERROR(__xludf.DUMMYFUNCTION("""COMPUTED_VALUE"""),"SilEighty")</f>
        <v>SilEighty</v>
      </c>
      <c r="D41" s="5" t="str">
        <f>IFERROR(__xludf.DUMMYFUNCTION("""COMPUTED_VALUE"""),"PC")</f>
        <v>PC</v>
      </c>
      <c r="E41" s="5"/>
      <c r="F41" s="5"/>
      <c r="G41" s="5"/>
      <c r="H41" s="5"/>
      <c r="I41" s="25" t="s">
        <v>27</v>
      </c>
      <c r="Q41" s="5" t="str">
        <f>IFERROR(__xludf.DUMMYFUNCTION("""COMPUTED_VALUE"""),"しんかさん")</f>
        <v>しんかさん</v>
      </c>
      <c r="R41" s="5">
        <f>IFERROR(__xludf.DUMMYFUNCTION("""COMPUTED_VALUE"""),0.0013884027777777777)</f>
        <v>0.001388402778</v>
      </c>
      <c r="S41" s="5" t="str">
        <f>IFERROR(__xludf.DUMMYFUNCTION("""COMPUTED_VALUE"""),"CoachKart")</f>
        <v>CoachKart</v>
      </c>
      <c r="T41" s="5" t="str">
        <f>IFERROR(__xludf.DUMMYFUNCTION("""COMPUTED_VALUE"""),"PCVR")</f>
        <v>PCVR</v>
      </c>
      <c r="U41" s="5"/>
      <c r="V41" s="5"/>
      <c r="W41" s="5"/>
      <c r="X41" s="5"/>
      <c r="Y41" s="5"/>
      <c r="Z41" s="5"/>
      <c r="AA41" s="5"/>
      <c r="AB41" s="5"/>
      <c r="AC41" s="5"/>
      <c r="AD41" s="5"/>
      <c r="AE41" s="5"/>
      <c r="AF41" s="5"/>
      <c r="AG41" s="5"/>
      <c r="AH41" s="5"/>
      <c r="AI41" s="5"/>
      <c r="AJ41" s="5"/>
      <c r="AK41" s="5"/>
      <c r="AL41" s="5"/>
    </row>
    <row r="42">
      <c r="A42" s="5" t="str">
        <f>IFERROR(__xludf.DUMMYFUNCTION("""COMPUTED_VALUE"""),"Rushia Angel")</f>
        <v>Rushia Angel</v>
      </c>
      <c r="B42" s="5">
        <f>IFERROR(__xludf.DUMMYFUNCTION("""COMPUTED_VALUE"""),0.002318460648148148)</f>
        <v>0.002318460648</v>
      </c>
      <c r="C42" s="5" t="str">
        <f>IFERROR(__xludf.DUMMYFUNCTION("""COMPUTED_VALUE"""),"EVOVII/CT9A")</f>
        <v>EVOVII/CT9A</v>
      </c>
      <c r="D42" s="5" t="str">
        <f>IFERROR(__xludf.DUMMYFUNCTION("""COMPUTED_VALUE"""),"PC")</f>
        <v>PC</v>
      </c>
      <c r="E42" s="5"/>
      <c r="F42" s="5"/>
      <c r="G42" s="5"/>
      <c r="H42" s="5"/>
      <c r="I42" s="22" t="s">
        <v>28</v>
      </c>
      <c r="M42" s="22" t="s">
        <v>29</v>
      </c>
      <c r="Q42" s="5" t="str">
        <f>IFERROR(__xludf.DUMMYFUNCTION("""COMPUTED_VALUE"""),"你算是惹到棉花了")</f>
        <v>你算是惹到棉花了</v>
      </c>
      <c r="R42" s="5">
        <f>IFERROR(__xludf.DUMMYFUNCTION("""COMPUTED_VALUE"""),0.0014482986111111111)</f>
        <v>0.001448298611</v>
      </c>
      <c r="S42" s="5" t="str">
        <f>IFERROR(__xludf.DUMMYFUNCTION("""COMPUTED_VALUE"""),"Macchiato")</f>
        <v>Macchiato</v>
      </c>
      <c r="T42" s="5" t="str">
        <f>IFERROR(__xludf.DUMMYFUNCTION("""COMPUTED_VALUE"""),"PCVR")</f>
        <v>PCVR</v>
      </c>
      <c r="U42" s="5"/>
      <c r="V42" s="5"/>
      <c r="W42" s="5"/>
      <c r="X42" s="5"/>
      <c r="Y42" s="5"/>
      <c r="Z42" s="5"/>
      <c r="AA42" s="5"/>
      <c r="AB42" s="5"/>
      <c r="AC42" s="5"/>
      <c r="AD42" s="5"/>
      <c r="AE42" s="5"/>
      <c r="AF42" s="5"/>
      <c r="AG42" s="5"/>
      <c r="AH42" s="5"/>
      <c r="AI42" s="5"/>
      <c r="AJ42" s="5"/>
      <c r="AK42" s="5"/>
      <c r="AL42" s="5"/>
    </row>
    <row r="43">
      <c r="A43" s="5" t="str">
        <f>IFERROR(__xludf.DUMMYFUNCTION("""COMPUTED_VALUE"""),"LinWu_05")</f>
        <v>LinWu_05</v>
      </c>
      <c r="B43" s="5">
        <f>IFERROR(__xludf.DUMMYFUNCTION("""COMPUTED_VALUE"""),0.002327349537037037)</f>
        <v>0.002327349537</v>
      </c>
      <c r="C43" s="5" t="str">
        <f>IFERROR(__xludf.DUMMYFUNCTION("""COMPUTED_VALUE"""),"BNR32")</f>
        <v>BNR32</v>
      </c>
      <c r="D43" s="5" t="str">
        <f>IFERROR(__xludf.DUMMYFUNCTION("""COMPUTED_VALUE"""),"PC")</f>
        <v>PC</v>
      </c>
      <c r="E43" s="26" t="s">
        <v>30</v>
      </c>
      <c r="I43" s="11" t="str">
        <f>IFERROR(__xludf.DUMMYFUNCTION("LET(
  賽道, ""Silverstone"",
  路線, """",
  系統, ""CVS"",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J43" s="11" t="str">
        <f>IFERROR(__xludf.DUMMYFUNCTION("""COMPUTED_VALUE"""),"Time時間")</f>
        <v>Time時間</v>
      </c>
      <c r="K43" s="11" t="str">
        <f>IFERROR(__xludf.DUMMYFUNCTION("""COMPUTED_VALUE"""),"Car車種")</f>
        <v>Car車種</v>
      </c>
      <c r="L43" s="11" t="str">
        <f>IFERROR(__xludf.DUMMYFUNCTION("""COMPUTED_VALUE"""),"Platform平台")</f>
        <v>Platform平台</v>
      </c>
      <c r="M43" s="11" t="str">
        <f>IFERROR(__xludf.DUMMYFUNCTION("LET(
  賽道, ""LasVegas"",
  路線, """",
  系統, ""CVS"",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N43" s="11" t="str">
        <f>IFERROR(__xludf.DUMMYFUNCTION("""COMPUTED_VALUE"""),"Time時間")</f>
        <v>Time時間</v>
      </c>
      <c r="O43" s="11" t="str">
        <f>IFERROR(__xludf.DUMMYFUNCTION("""COMPUTED_VALUE"""),"Car車種")</f>
        <v>Car車種</v>
      </c>
      <c r="P43" s="11" t="str">
        <f>IFERROR(__xludf.DUMMYFUNCTION("""COMPUTED_VALUE"""),"Platform平台")</f>
        <v>Platform平台</v>
      </c>
      <c r="Q43" s="5" t="str">
        <f>IFERROR(__xludf.DUMMYFUNCTION("""COMPUTED_VALUE"""),"unreal")</f>
        <v>unreal</v>
      </c>
      <c r="R43" s="5">
        <f>IFERROR(__xludf.DUMMYFUNCTION("""COMPUTED_VALUE"""),0.0014612962962962963)</f>
        <v>0.001461296296</v>
      </c>
      <c r="S43" s="5" t="str">
        <f>IFERROR(__xludf.DUMMYFUNCTION("""COMPUTED_VALUE"""),"EVO3")</f>
        <v>EVO3</v>
      </c>
      <c r="T43" s="5" t="str">
        <f>IFERROR(__xludf.DUMMYFUNCTION("""COMPUTED_VALUE"""),"PCVR")</f>
        <v>PCVR</v>
      </c>
      <c r="U43" s="5"/>
      <c r="V43" s="5"/>
      <c r="W43" s="5"/>
      <c r="X43" s="5"/>
      <c r="Y43" s="5"/>
      <c r="Z43" s="5"/>
      <c r="AA43" s="5"/>
      <c r="AB43" s="5"/>
      <c r="AC43" s="5"/>
      <c r="AD43" s="5"/>
      <c r="AE43" s="5"/>
      <c r="AF43" s="5"/>
      <c r="AG43" s="5"/>
      <c r="AH43" s="5"/>
      <c r="AI43" s="5"/>
      <c r="AJ43" s="5"/>
      <c r="AK43" s="5"/>
      <c r="AL43" s="5"/>
    </row>
    <row r="44">
      <c r="A44" s="5" t="str">
        <f>IFERROR(__xludf.DUMMYFUNCTION("""COMPUTED_VALUE"""),"鬼-瓦輪")</f>
        <v>鬼-瓦輪</v>
      </c>
      <c r="B44" s="5">
        <f>IFERROR(__xludf.DUMMYFUNCTION("""COMPUTED_VALUE"""),0.0023474537037037036)</f>
        <v>0.002347453704</v>
      </c>
      <c r="C44" s="5" t="str">
        <f>IFERROR(__xludf.DUMMYFUNCTION("""COMPUTED_VALUE"""),"EVOVII/CT9A")</f>
        <v>EVOVII/CT9A</v>
      </c>
      <c r="D44" s="5" t="str">
        <f>IFERROR(__xludf.DUMMYFUNCTION("""COMPUTED_VALUE"""),"PCVR")</f>
        <v>PCVR</v>
      </c>
      <c r="E44" s="11" t="str">
        <f>IFERROR(__xludf.DUMMYFUNCTION("LET(
  賽道, ""Irohazaka"",
  路線, ""DH"",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44" s="11" t="str">
        <f>IFERROR(__xludf.DUMMYFUNCTION("""COMPUTED_VALUE"""),"Time時間")</f>
        <v>Time時間</v>
      </c>
      <c r="G44" s="11" t="str">
        <f>IFERROR(__xludf.DUMMYFUNCTION("""COMPUTED_VALUE"""),"Car車種")</f>
        <v>Car車種</v>
      </c>
      <c r="H44" s="11" t="str">
        <f>IFERROR(__xludf.DUMMYFUNCTION("""COMPUTED_VALUE"""),"Platform平台")</f>
        <v>Platform平台</v>
      </c>
      <c r="I44" s="5" t="str">
        <f>IFERROR(__xludf.DUMMYFUNCTION("""COMPUTED_VALUE"""),"BannRaven")</f>
        <v>BannRaven</v>
      </c>
      <c r="J44" s="5">
        <f>IFERROR(__xludf.DUMMYFUNCTION("""COMPUTED_VALUE"""),8.630787037037036E-4)</f>
        <v>0.0008630787037</v>
      </c>
      <c r="K44" s="5" t="str">
        <f>IFERROR(__xludf.DUMMYFUNCTION("""COMPUTED_VALUE"""),"rb21(RedBull)")</f>
        <v>rb21(RedBull)</v>
      </c>
      <c r="L44" s="5" t="str">
        <f>IFERROR(__xludf.DUMMYFUNCTION("""COMPUTED_VALUE"""),"PCVR")</f>
        <v>PCVR</v>
      </c>
      <c r="M44" s="27" t="str">
        <f>IFERROR(__xludf.DUMMYFUNCTION("""COMPUTED_VALUE"""),"VRCGPaul")</f>
        <v>VRCGPaul</v>
      </c>
      <c r="N44" s="5">
        <f>IFERROR(__xludf.DUMMYFUNCTION("""COMPUTED_VALUE"""),0.0010448842592592593)</f>
        <v>0.001044884259</v>
      </c>
      <c r="O44" s="5" t="str">
        <f>IFERROR(__xludf.DUMMYFUNCTION("""COMPUTED_VALUE"""),"mcl39(McLaren)")</f>
        <v>mcl39(McLaren)</v>
      </c>
      <c r="P44" s="5" t="str">
        <f>IFERROR(__xludf.DUMMYFUNCTION("""COMPUTED_VALUE"""),"PCVR")</f>
        <v>PCVR</v>
      </c>
      <c r="Q44" s="5" t="str">
        <f>IFERROR(__xludf.DUMMYFUNCTION("""COMPUTED_VALUE"""),"Too突突兔To")</f>
        <v>Too突突兔To</v>
      </c>
      <c r="R44" s="5">
        <f>IFERROR(__xludf.DUMMYFUNCTION("""COMPUTED_VALUE"""),0.0017847916666666665)</f>
        <v>0.001784791667</v>
      </c>
      <c r="S44" s="5" t="str">
        <f>IFERROR(__xludf.DUMMYFUNCTION("""COMPUTED_VALUE"""),"LapinTuned")</f>
        <v>LapinTuned</v>
      </c>
      <c r="T44" s="5" t="str">
        <f>IFERROR(__xludf.DUMMYFUNCTION("""COMPUTED_VALUE"""),"PCVR")</f>
        <v>PCVR</v>
      </c>
      <c r="U44" s="5"/>
      <c r="V44" s="5"/>
      <c r="W44" s="5"/>
      <c r="X44" s="5"/>
      <c r="Y44" s="5"/>
      <c r="Z44" s="5"/>
      <c r="AA44" s="5"/>
      <c r="AB44" s="5"/>
      <c r="AC44" s="5"/>
      <c r="AD44" s="5"/>
      <c r="AE44" s="5"/>
      <c r="AF44" s="5"/>
      <c r="AG44" s="5"/>
      <c r="AH44" s="5"/>
      <c r="AI44" s="5"/>
      <c r="AJ44" s="5"/>
      <c r="AK44" s="5"/>
      <c r="AL44" s="5"/>
    </row>
    <row r="45">
      <c r="A45" s="4" t="str">
        <f>IFERROR(__xludf.DUMMYFUNCTION("""COMPUTED_VALUE"""),"アビドサスヒカリ")</f>
        <v>アビドサスヒカリ</v>
      </c>
      <c r="B45" s="5">
        <f>IFERROR(__xludf.DUMMYFUNCTION("""COMPUTED_VALUE"""),0.002366076388888889)</f>
        <v>0.002366076389</v>
      </c>
      <c r="C45" s="5" t="str">
        <f>IFERROR(__xludf.DUMMYFUNCTION("""COMPUTED_VALUE"""),"FD3S (RX7)")</f>
        <v>FD3S (RX7)</v>
      </c>
      <c r="D45" s="5" t="str">
        <f>IFERROR(__xludf.DUMMYFUNCTION("""COMPUTED_VALUE"""),"PC")</f>
        <v>PC</v>
      </c>
      <c r="E45" s="5" t="str">
        <f>IFERROR(__xludf.DUMMYFUNCTION("""COMPUTED_VALUE"""),"Lolidia")</f>
        <v>Lolidia</v>
      </c>
      <c r="F45" s="5">
        <f>IFERROR(__xludf.DUMMYFUNCTION("""COMPUTED_VALUE"""),0.002450613425925926)</f>
        <v>0.002450613426</v>
      </c>
      <c r="G45" s="5" t="str">
        <f>IFERROR(__xludf.DUMMYFUNCTION("""COMPUTED_VALUE"""),"AE86T")</f>
        <v>AE86T</v>
      </c>
      <c r="H45" s="5" t="str">
        <f>IFERROR(__xludf.DUMMYFUNCTION("""COMPUTED_VALUE"""),"PCVR")</f>
        <v>PCVR</v>
      </c>
      <c r="I45" s="5" t="str">
        <f>IFERROR(__xludf.DUMMYFUNCTION("""COMPUTED_VALUE"""),"羽沫嫇夏")</f>
        <v>羽沫嫇夏</v>
      </c>
      <c r="J45" s="5">
        <f>IFERROR(__xludf.DUMMYFUNCTION("""COMPUTED_VALUE"""),8.64837962962963E-4)</f>
        <v>0.000864837963</v>
      </c>
      <c r="K45" s="5" t="str">
        <f>IFERROR(__xludf.DUMMYFUNCTION("""COMPUTED_VALUE"""),"c45(KickSauber)")</f>
        <v>c45(KickSauber)</v>
      </c>
      <c r="L45" s="5" t="str">
        <f>IFERROR(__xludf.DUMMYFUNCTION("""COMPUTED_VALUE"""),"PCVR")</f>
        <v>PCVR</v>
      </c>
      <c r="M45" s="5" t="str">
        <f>IFERROR(__xludf.DUMMYFUNCTION("""COMPUTED_VALUE"""),"StarRiver Arts")</f>
        <v>StarRiver Arts</v>
      </c>
      <c r="N45" s="5">
        <f>IFERROR(__xludf.DUMMYFUNCTION("""COMPUTED_VALUE"""),0.0014874652777777777)</f>
        <v>0.001487465278</v>
      </c>
      <c r="O45" s="5" t="str">
        <f>IFERROR(__xludf.DUMMYFUNCTION("""COMPUTED_VALUE"""),"mcl39(McLaren)")</f>
        <v>mcl39(McLaren)</v>
      </c>
      <c r="P45" s="5" t="str">
        <f>IFERROR(__xludf.DUMMYFUNCTION("""COMPUTED_VALUE"""),"PC")</f>
        <v>PC</v>
      </c>
      <c r="Q45" s="5" t="str">
        <f>IFERROR(__xludf.DUMMYFUNCTION("""COMPUTED_VALUE"""),"9ewi")</f>
        <v>9ewi</v>
      </c>
      <c r="R45" s="5">
        <f>IFERROR(__xludf.DUMMYFUNCTION("""COMPUTED_VALUE"""),0.0018291087962962963)</f>
        <v>0.001829108796</v>
      </c>
      <c r="S45" s="5" t="str">
        <f>IFERROR(__xludf.DUMMYFUNCTION("""COMPUTED_VALUE"""),"CoachKart")</f>
        <v>CoachKart</v>
      </c>
      <c r="T45" s="5" t="str">
        <f>IFERROR(__xludf.DUMMYFUNCTION("""COMPUTED_VALUE"""),"PCVR")</f>
        <v>PCVR</v>
      </c>
      <c r="U45" s="5"/>
      <c r="V45" s="5"/>
      <c r="W45" s="5"/>
      <c r="X45" s="5"/>
      <c r="Y45" s="5"/>
      <c r="Z45" s="5"/>
      <c r="AA45" s="5"/>
      <c r="AB45" s="5"/>
      <c r="AC45" s="5"/>
      <c r="AD45" s="5"/>
      <c r="AE45" s="5"/>
      <c r="AF45" s="5"/>
      <c r="AG45" s="5"/>
      <c r="AH45" s="5"/>
      <c r="AI45" s="5"/>
      <c r="AJ45" s="5"/>
      <c r="AK45" s="5"/>
      <c r="AL45" s="5"/>
    </row>
    <row r="46">
      <c r="A46" s="4" t="str">
        <f>IFERROR(__xludf.DUMMYFUNCTION("""COMPUTED_VALUE"""),"Yuanji Deca")</f>
        <v>Yuanji Deca</v>
      </c>
      <c r="B46" s="5">
        <f>IFERROR(__xludf.DUMMYFUNCTION("""COMPUTED_VALUE"""),0.0024341782407407407)</f>
        <v>0.002434178241</v>
      </c>
      <c r="C46" s="5" t="str">
        <f>IFERROR(__xludf.DUMMYFUNCTION("""COMPUTED_VALUE"""),"EVOVII/CT9A")</f>
        <v>EVOVII/CT9A</v>
      </c>
      <c r="D46" s="5" t="str">
        <f>IFERROR(__xludf.DUMMYFUNCTION("""COMPUTED_VALUE"""),"PC")</f>
        <v>PC</v>
      </c>
      <c r="E46" s="5" t="str">
        <f>IFERROR(__xludf.DUMMYFUNCTION("""COMPUTED_VALUE"""),"Rushia Angel")</f>
        <v>Rushia Angel</v>
      </c>
      <c r="F46" s="5">
        <f>IFERROR(__xludf.DUMMYFUNCTION("""COMPUTED_VALUE"""),0.002475798611111111)</f>
        <v>0.002475798611</v>
      </c>
      <c r="G46" s="5" t="str">
        <f>IFERROR(__xludf.DUMMYFUNCTION("""COMPUTED_VALUE"""),"AE86T")</f>
        <v>AE86T</v>
      </c>
      <c r="H46" s="5" t="str">
        <f>IFERROR(__xludf.DUMMYFUNCTION("""COMPUTED_VALUE"""),"PCVR")</f>
        <v>PCVR</v>
      </c>
      <c r="I46" s="5" t="str">
        <f>IFERROR(__xludf.DUMMYFUNCTION("""COMPUTED_VALUE"""),"Hayasaka_Ishimi")</f>
        <v>Hayasaka_Ishimi</v>
      </c>
      <c r="J46" s="5">
        <f>IFERROR(__xludf.DUMMYFUNCTION("""COMPUTED_VALUE"""),8.842592592592592E-4)</f>
        <v>0.0008842592593</v>
      </c>
      <c r="K46" s="5" t="str">
        <f>IFERROR(__xludf.DUMMYFUNCTION("""COMPUTED_VALUE"""),"sf25(Ferrari)")</f>
        <v>sf25(Ferrari)</v>
      </c>
      <c r="L46" s="5" t="str">
        <f>IFERROR(__xludf.DUMMYFUNCTION("""COMPUTED_VALUE"""),"PCVR")</f>
        <v>PCVR</v>
      </c>
      <c r="M46" s="5" t="str">
        <f>IFERROR(__xludf.DUMMYFUNCTION("""COMPUTED_VALUE"""),"Azucia")</f>
        <v>Azucia</v>
      </c>
      <c r="N46" s="5">
        <f>IFERROR(__xludf.DUMMYFUNCTION("""COMPUTED_VALUE"""),0.0016032754629629628)</f>
        <v>0.001603275463</v>
      </c>
      <c r="O46" s="5" t="str">
        <f>IFERROR(__xludf.DUMMYFUNCTION("""COMPUTED_VALUE"""),"w16(Mercedes)")</f>
        <v>w16(Mercedes)</v>
      </c>
      <c r="P46" s="5" t="str">
        <f>IFERROR(__xludf.DUMMYFUNCTION("""COMPUTED_VALUE"""),"PCVR")</f>
        <v>PCVR</v>
      </c>
      <c r="Q46" s="5" t="str">
        <f>IFERROR(__xludf.DUMMYFUNCTION("""COMPUTED_VALUE"""),"mita")</f>
        <v>mita</v>
      </c>
      <c r="R46" s="5">
        <f>IFERROR(__xludf.DUMMYFUNCTION("""COMPUTED_VALUE"""),0.0018475115740740741)</f>
        <v>0.001847511574</v>
      </c>
      <c r="S46" s="5" t="str">
        <f>IFERROR(__xludf.DUMMYFUNCTION("""COMPUTED_VALUE"""),"LapinTuned")</f>
        <v>LapinTuned</v>
      </c>
      <c r="T46" s="5" t="str">
        <f>IFERROR(__xludf.DUMMYFUNCTION("""COMPUTED_VALUE"""),"PCVR")</f>
        <v>PCVR</v>
      </c>
      <c r="U46" s="5"/>
      <c r="V46" s="5"/>
      <c r="W46" s="5"/>
      <c r="X46" s="5"/>
      <c r="Y46" s="5"/>
      <c r="Z46" s="5"/>
      <c r="AA46" s="5"/>
      <c r="AB46" s="5"/>
      <c r="AC46" s="5"/>
      <c r="AD46" s="5"/>
      <c r="AE46" s="5"/>
      <c r="AF46" s="5"/>
      <c r="AG46" s="5"/>
      <c r="AH46" s="5"/>
      <c r="AI46" s="5"/>
      <c r="AJ46" s="5"/>
      <c r="AK46" s="5"/>
      <c r="AL46" s="5"/>
    </row>
    <row r="47">
      <c r="A47" s="4" t="str">
        <f>IFERROR(__xludf.DUMMYFUNCTION("""COMPUTED_VALUE"""),"千夜火鍋")</f>
        <v>千夜火鍋</v>
      </c>
      <c r="B47" s="5">
        <f>IFERROR(__xludf.DUMMYFUNCTION("""COMPUTED_VALUE"""),0.002454375)</f>
        <v>0.002454375</v>
      </c>
      <c r="C47" s="5" t="str">
        <f>IFERROR(__xludf.DUMMYFUNCTION("""COMPUTED_VALUE"""),"SilEighty")</f>
        <v>SilEighty</v>
      </c>
      <c r="D47" s="5"/>
      <c r="E47" s="5" t="str">
        <f>IFERROR(__xludf.DUMMYFUNCTION("""COMPUTED_VALUE"""),"菲娜 希琉絲")</f>
        <v>菲娜 希琉絲</v>
      </c>
      <c r="F47" s="5">
        <f>IFERROR(__xludf.DUMMYFUNCTION("""COMPUTED_VALUE"""),0.0024824537037037037)</f>
        <v>0.002482453704</v>
      </c>
      <c r="G47" s="5" t="str">
        <f>IFERROR(__xludf.DUMMYFUNCTION("""COMPUTED_VALUE"""),"AE86T")</f>
        <v>AE86T</v>
      </c>
      <c r="H47" s="5" t="str">
        <f>IFERROR(__xludf.DUMMYFUNCTION("""COMPUTED_VALUE"""),"PCVR")</f>
        <v>PCVR</v>
      </c>
      <c r="I47" s="5" t="str">
        <f>IFERROR(__xludf.DUMMYFUNCTION("""COMPUTED_VALUE"""),"windnight5")</f>
        <v>windnight5</v>
      </c>
      <c r="J47" s="5">
        <f>IFERROR(__xludf.DUMMYFUNCTION("""COMPUTED_VALUE"""),8.854166666666667E-4)</f>
        <v>0.0008854166667</v>
      </c>
      <c r="K47" s="5" t="str">
        <f>IFERROR(__xludf.DUMMYFUNCTION("""COMPUTED_VALUE"""),"sf25(Ferrari)")</f>
        <v>sf25(Ferrari)</v>
      </c>
      <c r="L47" s="5" t="str">
        <f>IFERROR(__xludf.DUMMYFUNCTION("""COMPUTED_VALUE"""),"PCVR")</f>
        <v>PCVR</v>
      </c>
      <c r="M47" s="5"/>
      <c r="N47" s="5"/>
      <c r="O47" s="5"/>
      <c r="P47" s="5"/>
      <c r="Q47" s="5" t="str">
        <f>IFERROR(__xludf.DUMMYFUNCTION("""COMPUTED_VALUE"""),"x0000x")</f>
        <v>x0000x</v>
      </c>
      <c r="R47" s="5">
        <f>IFERROR(__xludf.DUMMYFUNCTION("""COMPUTED_VALUE"""),0.0018853124999999998)</f>
        <v>0.0018853125</v>
      </c>
      <c r="S47" s="5" t="str">
        <f>IFERROR(__xludf.DUMMYFUNCTION("""COMPUTED_VALUE"""),"Macchiato")</f>
        <v>Macchiato</v>
      </c>
      <c r="T47" s="5" t="str">
        <f>IFERROR(__xludf.DUMMYFUNCTION("""COMPUTED_VALUE"""),"PC")</f>
        <v>PC</v>
      </c>
      <c r="U47" s="5"/>
      <c r="V47" s="5"/>
      <c r="W47" s="5"/>
      <c r="X47" s="5"/>
      <c r="Y47" s="5"/>
      <c r="Z47" s="5"/>
      <c r="AA47" s="5"/>
      <c r="AB47" s="5"/>
      <c r="AC47" s="5"/>
      <c r="AD47" s="5"/>
      <c r="AE47" s="5"/>
      <c r="AF47" s="5"/>
      <c r="AG47" s="5"/>
      <c r="AH47" s="5"/>
      <c r="AI47" s="5"/>
      <c r="AJ47" s="5"/>
      <c r="AK47" s="5"/>
      <c r="AL47" s="5"/>
    </row>
    <row r="48">
      <c r="A48" s="27" t="str">
        <f>IFERROR(__xludf.DUMMYFUNCTION("""COMPUTED_VALUE"""),"拾貳 c101")</f>
        <v>拾貳 c101</v>
      </c>
      <c r="B48" s="5">
        <f>IFERROR(__xludf.DUMMYFUNCTION("""COMPUTED_VALUE"""),0.0024749189814814816)</f>
        <v>0.002474918981</v>
      </c>
      <c r="C48" s="5" t="str">
        <f>IFERROR(__xludf.DUMMYFUNCTION("""COMPUTED_VALUE"""),"BNR32")</f>
        <v>BNR32</v>
      </c>
      <c r="D48" s="5"/>
      <c r="E48" s="5" t="str">
        <f>IFERROR(__xludf.DUMMYFUNCTION("""COMPUTED_VALUE"""),"Yune")</f>
        <v>Yune</v>
      </c>
      <c r="F48" s="5">
        <f>IFERROR(__xludf.DUMMYFUNCTION("""COMPUTED_VALUE"""),0.0024894675925925926)</f>
        <v>0.002489467593</v>
      </c>
      <c r="G48" s="5" t="str">
        <f>IFERROR(__xludf.DUMMYFUNCTION("""COMPUTED_VALUE"""),"AE86T")</f>
        <v>AE86T</v>
      </c>
      <c r="H48" s="5" t="str">
        <f>IFERROR(__xludf.DUMMYFUNCTION("""COMPUTED_VALUE"""),"PC")</f>
        <v>PC</v>
      </c>
      <c r="I48" s="5" t="str">
        <f>IFERROR(__xludf.DUMMYFUNCTION("""COMPUTED_VALUE"""),"redfrogss")</f>
        <v>redfrogss</v>
      </c>
      <c r="J48" s="5">
        <f>IFERROR(__xludf.DUMMYFUNCTION("""COMPUTED_VALUE"""),9.031597222222223E-4)</f>
        <v>0.0009031597222</v>
      </c>
      <c r="K48" s="5" t="str">
        <f>IFERROR(__xludf.DUMMYFUNCTION("""COMPUTED_VALUE"""),"sf25(Ferrari)")</f>
        <v>sf25(Ferrari)</v>
      </c>
      <c r="L48" s="5" t="str">
        <f>IFERROR(__xludf.DUMMYFUNCTION("""COMPUTED_VALUE"""),"PCVR")</f>
        <v>PCVR</v>
      </c>
      <c r="M48" s="5"/>
      <c r="N48" s="5"/>
      <c r="O48" s="5"/>
      <c r="P48" s="5"/>
      <c r="Q48" s="5" t="str">
        <f>IFERROR(__xludf.DUMMYFUNCTION("""COMPUTED_VALUE"""),"Bu1227")</f>
        <v>Bu1227</v>
      </c>
      <c r="R48" s="5">
        <f>IFERROR(__xludf.DUMMYFUNCTION("""COMPUTED_VALUE"""),0.0025177430555555556)</f>
        <v>0.002517743056</v>
      </c>
      <c r="S48" s="5" t="str">
        <f>IFERROR(__xludf.DUMMYFUNCTION("""COMPUTED_VALUE"""),"PinoBus")</f>
        <v>PinoBus</v>
      </c>
      <c r="T48" s="5" t="str">
        <f>IFERROR(__xludf.DUMMYFUNCTION("""COMPUTED_VALUE"""),"PCVR")</f>
        <v>PCVR</v>
      </c>
      <c r="U48" s="5"/>
      <c r="V48" s="5"/>
      <c r="W48" s="5"/>
      <c r="X48" s="5"/>
      <c r="Y48" s="5"/>
      <c r="Z48" s="5"/>
      <c r="AA48" s="5"/>
      <c r="AB48" s="5"/>
      <c r="AC48" s="5"/>
      <c r="AD48" s="5"/>
      <c r="AE48" s="5"/>
      <c r="AF48" s="5"/>
      <c r="AG48" s="5"/>
      <c r="AH48" s="5"/>
      <c r="AI48" s="5"/>
      <c r="AJ48" s="5"/>
      <c r="AK48" s="5"/>
      <c r="AL48" s="5"/>
    </row>
    <row r="49">
      <c r="A49" s="5" t="str">
        <f>IFERROR(__xludf.DUMMYFUNCTION("""COMPUTED_VALUE"""),"咪咪處刑人大木")</f>
        <v>咪咪處刑人大木</v>
      </c>
      <c r="B49" s="5">
        <f>IFERROR(__xludf.DUMMYFUNCTION("""COMPUTED_VALUE"""),0.002539247685185185)</f>
        <v>0.002539247685</v>
      </c>
      <c r="C49" s="5" t="str">
        <f>IFERROR(__xludf.DUMMYFUNCTION("""COMPUTED_VALUE"""),"EVOVII/CT9A")</f>
        <v>EVOVII/CT9A</v>
      </c>
      <c r="D49" s="5"/>
      <c r="E49" s="5" t="str">
        <f>IFERROR(__xludf.DUMMYFUNCTION("""COMPUTED_VALUE"""),"StarRiver Arts")</f>
        <v>StarRiver Arts</v>
      </c>
      <c r="F49" s="5">
        <f>IFERROR(__xludf.DUMMYFUNCTION("""COMPUTED_VALUE"""),0.0025451273148148147)</f>
        <v>0.002545127315</v>
      </c>
      <c r="G49" s="5" t="str">
        <f>IFERROR(__xludf.DUMMYFUNCTION("""COMPUTED_VALUE"""),"GC8-F (Impreza)")</f>
        <v>GC8-F (Impreza)</v>
      </c>
      <c r="H49" s="5" t="str">
        <f>IFERROR(__xludf.DUMMYFUNCTION("""COMPUTED_VALUE"""),"PC")</f>
        <v>PC</v>
      </c>
      <c r="I49" s="5" t="str">
        <f>IFERROR(__xludf.DUMMYFUNCTION("""COMPUTED_VALUE"""),"VRCGPaul")</f>
        <v>VRCGPaul</v>
      </c>
      <c r="J49" s="5">
        <f>IFERROR(__xludf.DUMMYFUNCTION("""COMPUTED_VALUE"""),9.12037037037037E-4)</f>
        <v>0.000912037037</v>
      </c>
      <c r="K49" s="5" t="str">
        <f>IFERROR(__xludf.DUMMYFUNCTION("""COMPUTED_VALUE"""),"mcl39(McLaren)")</f>
        <v>mcl39(McLaren)</v>
      </c>
      <c r="L49" s="5" t="str">
        <f>IFERROR(__xludf.DUMMYFUNCTION("""COMPUTED_VALUE"""),"PCVR")</f>
        <v>PCVR</v>
      </c>
      <c r="M49" s="5"/>
      <c r="N49" s="5"/>
      <c r="O49" s="5"/>
      <c r="P49" s="5"/>
      <c r="Q49" s="5" t="str">
        <f>IFERROR(__xludf.DUMMYFUNCTION("""COMPUTED_VALUE"""),"richardyukiko")</f>
        <v>richardyukiko</v>
      </c>
      <c r="R49" s="5">
        <f>IFERROR(__xludf.DUMMYFUNCTION("""COMPUTED_VALUE"""),0.0028493402777777775)</f>
        <v>0.002849340278</v>
      </c>
      <c r="S49" s="5" t="str">
        <f>IFERROR(__xludf.DUMMYFUNCTION("""COMPUTED_VALUE"""),"Stinger")</f>
        <v>Stinger</v>
      </c>
      <c r="T49" s="5" t="str">
        <f>IFERROR(__xludf.DUMMYFUNCTION("""COMPUTED_VALUE"""),"PC")</f>
        <v>PC</v>
      </c>
      <c r="U49" s="5"/>
      <c r="V49" s="5"/>
      <c r="W49" s="5"/>
      <c r="X49" s="5"/>
      <c r="Y49" s="5"/>
      <c r="Z49" s="5"/>
      <c r="AA49" s="5"/>
      <c r="AB49" s="5"/>
      <c r="AC49" s="5"/>
      <c r="AD49" s="5"/>
      <c r="AE49" s="5"/>
      <c r="AF49" s="5"/>
      <c r="AG49" s="5"/>
      <c r="AH49" s="5"/>
      <c r="AI49" s="5"/>
      <c r="AJ49" s="5"/>
      <c r="AK49" s="5"/>
      <c r="AL49" s="5"/>
    </row>
    <row r="50">
      <c r="A50" s="5" t="str">
        <f>IFERROR(__xludf.DUMMYFUNCTION("""COMPUTED_VALUE"""),"Sakanakokokoko")</f>
        <v>Sakanakokokoko</v>
      </c>
      <c r="B50" s="5">
        <f>IFERROR(__xludf.DUMMYFUNCTION("""COMPUTED_VALUE"""),0.0026707175925925926)</f>
        <v>0.002670717593</v>
      </c>
      <c r="C50" s="5" t="str">
        <f>IFERROR(__xludf.DUMMYFUNCTION("""COMPUTED_VALUE"""),"380SX")</f>
        <v>380SX</v>
      </c>
      <c r="D50" s="5" t="str">
        <f>IFERROR(__xludf.DUMMYFUNCTION("""COMPUTED_VALUE"""),"PC")</f>
        <v>PC</v>
      </c>
      <c r="E50" s="5" t="str">
        <f>IFERROR(__xludf.DUMMYFUNCTION("""COMPUTED_VALUE"""),"ikuhopen")</f>
        <v>ikuhopen</v>
      </c>
      <c r="F50" s="5">
        <f>IFERROR(__xludf.DUMMYFUNCTION("""COMPUTED_VALUE"""),0.0026202199074074075)</f>
        <v>0.002620219907</v>
      </c>
      <c r="G50" s="5" t="str">
        <f>IFERROR(__xludf.DUMMYFUNCTION("""COMPUTED_VALUE"""),"AE86T")</f>
        <v>AE86T</v>
      </c>
      <c r="H50" s="5" t="str">
        <f>IFERROR(__xludf.DUMMYFUNCTION("""COMPUTED_VALUE"""),"PCVR")</f>
        <v>PCVR</v>
      </c>
      <c r="I50" s="5" t="str">
        <f>IFERROR(__xludf.DUMMYFUNCTION("""COMPUTED_VALUE"""),"憶雨蕭歌")</f>
        <v>憶雨蕭歌</v>
      </c>
      <c r="J50" s="5">
        <f>IFERROR(__xludf.DUMMYFUNCTION("""COMPUTED_VALUE"""),0.0010969328703703703)</f>
        <v>0.00109693287</v>
      </c>
      <c r="K50" s="5" t="str">
        <f>IFERROR(__xludf.DUMMYFUNCTION("""COMPUTED_VALUE"""),"mcl39(McLaren)")</f>
        <v>mcl39(McLaren)</v>
      </c>
      <c r="L50" s="5" t="str">
        <f>IFERROR(__xludf.DUMMYFUNCTION("""COMPUTED_VALUE"""),"PCVR")</f>
        <v>PCVR</v>
      </c>
      <c r="M50" s="5"/>
      <c r="N50" s="5"/>
      <c r="O50" s="5"/>
      <c r="P50" s="5"/>
      <c r="Q50" s="5" t="str">
        <f>IFERROR(__xludf.DUMMYFUNCTION("""COMPUTED_VALUE"""),"yuanji deca")</f>
        <v>yuanji deca</v>
      </c>
      <c r="R50" s="5">
        <f>IFERROR(__xludf.DUMMYFUNCTION("""COMPUTED_VALUE"""),0.0031082060185185184)</f>
        <v>0.003108206019</v>
      </c>
      <c r="S50" s="5" t="str">
        <f>IFERROR(__xludf.DUMMYFUNCTION("""COMPUTED_VALUE"""),"PinoBus")</f>
        <v>PinoBus</v>
      </c>
      <c r="T50" s="5" t="str">
        <f>IFERROR(__xludf.DUMMYFUNCTION("""COMPUTED_VALUE"""),"PC")</f>
        <v>PC</v>
      </c>
      <c r="U50" s="5"/>
      <c r="V50" s="5"/>
      <c r="W50" s="5"/>
      <c r="X50" s="5"/>
      <c r="Y50" s="5"/>
      <c r="Z50" s="5"/>
      <c r="AA50" s="5"/>
      <c r="AB50" s="5"/>
      <c r="AC50" s="5"/>
      <c r="AD50" s="5"/>
      <c r="AE50" s="5"/>
      <c r="AF50" s="5"/>
      <c r="AG50" s="5"/>
      <c r="AH50" s="5"/>
      <c r="AI50" s="5"/>
      <c r="AJ50" s="5"/>
      <c r="AK50" s="5"/>
      <c r="AL50" s="5"/>
    </row>
    <row r="51">
      <c r="A51" s="5" t="str">
        <f>IFERROR(__xludf.DUMMYFUNCTION("""COMPUTED_VALUE"""),"NEKO QWQ")</f>
        <v>NEKO QWQ</v>
      </c>
      <c r="B51" s="5">
        <f>IFERROR(__xludf.DUMMYFUNCTION("""COMPUTED_VALUE"""),0.003128854166666667)</f>
        <v>0.003128854167</v>
      </c>
      <c r="C51" s="5" t="str">
        <f>IFERROR(__xludf.DUMMYFUNCTION("""COMPUTED_VALUE"""),"SilEighty")</f>
        <v>SilEighty</v>
      </c>
      <c r="D51" s="5"/>
      <c r="E51" s="5" t="str">
        <f>IFERROR(__xludf.DUMMYFUNCTION("""COMPUTED_VALUE"""),"アビドサスヒカリ")</f>
        <v>アビドサスヒカリ</v>
      </c>
      <c r="F51" s="5">
        <f>IFERROR(__xludf.DUMMYFUNCTION("""COMPUTED_VALUE"""),0.002640046296296296)</f>
        <v>0.002640046296</v>
      </c>
      <c r="G51" s="5" t="str">
        <f>IFERROR(__xludf.DUMMYFUNCTION("""COMPUTED_VALUE"""),"EVOIII/CE9A")</f>
        <v>EVOIII/CE9A</v>
      </c>
      <c r="H51" s="5" t="str">
        <f>IFERROR(__xludf.DUMMYFUNCTION("""COMPUTED_VALUE"""),"PC")</f>
        <v>PC</v>
      </c>
      <c r="I51" s="5" t="str">
        <f>IFERROR(__xludf.DUMMYFUNCTION("""COMPUTED_VALUE"""),"不會玩遊戲的屑")</f>
        <v>不會玩遊戲的屑</v>
      </c>
      <c r="J51" s="5">
        <f>IFERROR(__xludf.DUMMYFUNCTION("""COMPUTED_VALUE"""),0.0012483101851851852)</f>
        <v>0.001248310185</v>
      </c>
      <c r="K51" s="5" t="str">
        <f>IFERROR(__xludf.DUMMYFUNCTION("""COMPUTED_VALUE"""),"amr25(AstonMartin)")</f>
        <v>amr25(AstonMartin)</v>
      </c>
      <c r="L51" s="5" t="str">
        <f>IFERROR(__xludf.DUMMYFUNCTION("""COMPUTED_VALUE"""),"PCVR")</f>
        <v>PCVR</v>
      </c>
      <c r="M51" s="5"/>
      <c r="N51" s="5"/>
      <c r="O51" s="5"/>
      <c r="P51" s="5"/>
      <c r="Q51" s="5" t="str">
        <f>IFERROR(__xludf.DUMMYFUNCTION("""COMPUTED_VALUE"""),"夜者")</f>
        <v>夜者</v>
      </c>
      <c r="R51" s="5">
        <f>IFERROR(__xludf.DUMMYFUNCTION("""COMPUTED_VALUE"""),0.003482638888888889)</f>
        <v>0.003482638889</v>
      </c>
      <c r="S51" s="5" t="str">
        <f>IFERROR(__xludf.DUMMYFUNCTION("""COMPUTED_VALUE"""),"PinoBus")</f>
        <v>PinoBus</v>
      </c>
      <c r="T51" s="5" t="str">
        <f>IFERROR(__xludf.DUMMYFUNCTION("""COMPUTED_VALUE"""),"PCVR")</f>
        <v>PCVR</v>
      </c>
      <c r="U51" s="5"/>
      <c r="V51" s="5"/>
      <c r="W51" s="5"/>
      <c r="X51" s="5"/>
      <c r="Y51" s="5"/>
      <c r="Z51" s="5"/>
      <c r="AA51" s="5"/>
      <c r="AB51" s="5"/>
      <c r="AC51" s="5"/>
      <c r="AD51" s="5"/>
      <c r="AE51" s="5"/>
      <c r="AF51" s="5"/>
      <c r="AG51" s="5"/>
      <c r="AH51" s="5"/>
      <c r="AI51" s="5"/>
      <c r="AJ51" s="5"/>
      <c r="AK51" s="5"/>
      <c r="AL51" s="5"/>
    </row>
    <row r="52">
      <c r="A52" s="5" t="str">
        <f>IFERROR(__xludf.DUMMYFUNCTION("""COMPUTED_VALUE"""),"周-ZHOU")</f>
        <v>周-ZHOU</v>
      </c>
      <c r="B52" s="5">
        <f>IFERROR(__xludf.DUMMYFUNCTION("""COMPUTED_VALUE"""),0.0033426504629629626)</f>
        <v>0.003342650463</v>
      </c>
      <c r="C52" s="5" t="str">
        <f>IFERROR(__xludf.DUMMYFUNCTION("""COMPUTED_VALUE"""),"BNR32")</f>
        <v>BNR32</v>
      </c>
      <c r="D52" s="5"/>
      <c r="E52" s="5" t="str">
        <f>IFERROR(__xludf.DUMMYFUNCTION("""COMPUTED_VALUE"""),"Kinokono_Tenka")</f>
        <v>Kinokono_Tenka</v>
      </c>
      <c r="F52" s="5">
        <f>IFERROR(__xludf.DUMMYFUNCTION("""COMPUTED_VALUE"""),0.0027162037037037037)</f>
        <v>0.002716203704</v>
      </c>
      <c r="G52" s="5" t="str">
        <f>IFERROR(__xludf.DUMMYFUNCTION("""COMPUTED_VALUE"""),"GC8-F (Impreza)")</f>
        <v>GC8-F (Impreza)</v>
      </c>
      <c r="H52" s="5" t="str">
        <f>IFERROR(__xludf.DUMMYFUNCTION("""COMPUTED_VALUE"""),"PCVR")</f>
        <v>PCVR</v>
      </c>
      <c r="I52" s="5" t="str">
        <f>IFERROR(__xludf.DUMMYFUNCTION("""COMPUTED_VALUE"""),"StarRiver Arts")</f>
        <v>StarRiver Arts</v>
      </c>
      <c r="J52" s="5">
        <f>IFERROR(__xludf.DUMMYFUNCTION("""COMPUTED_VALUE"""),0.0015536226851851854)</f>
        <v>0.001553622685</v>
      </c>
      <c r="K52" s="5" t="str">
        <f>IFERROR(__xludf.DUMMYFUNCTION("""COMPUTED_VALUE"""),"sf25(Ferrari)")</f>
        <v>sf25(Ferrari)</v>
      </c>
      <c r="L52" s="5" t="str">
        <f>IFERROR(__xludf.DUMMYFUNCTION("""COMPUTED_VALUE"""),"PC")</f>
        <v>PC</v>
      </c>
      <c r="M52" s="5"/>
      <c r="N52" s="5"/>
      <c r="O52" s="5"/>
      <c r="P52" s="5"/>
      <c r="Q52" s="5" t="str">
        <f>IFERROR(__xludf.DUMMYFUNCTION("""COMPUTED_VALUE"""),"Test Driver")</f>
        <v>Test Driver</v>
      </c>
      <c r="R52" s="5">
        <f>IFERROR(__xludf.DUMMYFUNCTION("""COMPUTED_VALUE"""),0.006944444444444444)</f>
        <v>0.006944444444</v>
      </c>
      <c r="S52" s="5" t="str">
        <f>IFERROR(__xludf.DUMMYFUNCTION("""COMPUTED_VALUE"""),"Stinger")</f>
        <v>Stinger</v>
      </c>
      <c r="T52" s="5"/>
      <c r="U52" s="5"/>
      <c r="V52" s="5"/>
      <c r="W52" s="5"/>
      <c r="X52" s="5"/>
      <c r="Y52" s="5"/>
      <c r="Z52" s="5"/>
      <c r="AA52" s="5"/>
      <c r="AB52" s="5"/>
      <c r="AC52" s="5"/>
      <c r="AD52" s="5"/>
      <c r="AE52" s="5"/>
      <c r="AF52" s="5"/>
      <c r="AG52" s="5"/>
      <c r="AH52" s="5"/>
      <c r="AI52" s="5"/>
      <c r="AJ52" s="5"/>
      <c r="AK52" s="5"/>
      <c r="AL52" s="5"/>
    </row>
    <row r="53">
      <c r="A53" s="5"/>
      <c r="B53" s="5"/>
      <c r="C53" s="5"/>
      <c r="D53" s="5"/>
      <c r="E53" s="5" t="str">
        <f>IFERROR(__xludf.DUMMYFUNCTION("""COMPUTED_VALUE"""),"LinWu_05")</f>
        <v>LinWu_05</v>
      </c>
      <c r="F53" s="5">
        <f>IFERROR(__xludf.DUMMYFUNCTION("""COMPUTED_VALUE"""),0.0027619907407407406)</f>
        <v>0.002761990741</v>
      </c>
      <c r="G53" s="5" t="str">
        <f>IFERROR(__xludf.DUMMYFUNCTION("""COMPUTED_VALUE"""),"SW20 (MR2)")</f>
        <v>SW20 (MR2)</v>
      </c>
      <c r="H53" s="5" t="str">
        <f>IFERROR(__xludf.DUMMYFUNCTION("""COMPUTED_VALUE"""),"PC")</f>
        <v>PC</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 r="A54" s="5"/>
      <c r="B54" s="5"/>
      <c r="C54" s="5"/>
      <c r="D54" s="5"/>
      <c r="E54" s="5" t="str">
        <f>IFERROR(__xludf.DUMMYFUNCTION("""COMPUTED_VALUE"""),"Sakanakokokoko")</f>
        <v>Sakanakokokoko</v>
      </c>
      <c r="F54" s="5">
        <f>IFERROR(__xludf.DUMMYFUNCTION("""COMPUTED_VALUE"""),0.003217789351851852)</f>
        <v>0.003217789352</v>
      </c>
      <c r="G54" s="5" t="str">
        <f>IFERROR(__xludf.DUMMYFUNCTION("""COMPUTED_VALUE"""),"AE86T")</f>
        <v>AE86T</v>
      </c>
      <c r="H54" s="5" t="str">
        <f>IFERROR(__xludf.DUMMYFUNCTION("""COMPUTED_VALUE"""),"PC")</f>
        <v>PC</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 r="A55" s="5"/>
      <c r="B55" s="5"/>
      <c r="C55" s="5"/>
      <c r="D55" s="5"/>
      <c r="E55" s="5" t="str">
        <f>IFERROR(__xludf.DUMMYFUNCTION("""COMPUTED_VALUE"""),"Yuanji Deca")</f>
        <v>Yuanji Deca</v>
      </c>
      <c r="F55" s="5">
        <f>IFERROR(__xludf.DUMMYFUNCTION("""COMPUTED_VALUE"""),0.003471412037037037)</f>
        <v>0.003471412037</v>
      </c>
      <c r="G55" s="5" t="str">
        <f>IFERROR(__xludf.DUMMYFUNCTION("""COMPUTED_VALUE"""),"SW20 (MR2)")</f>
        <v>SW20 (MR2)</v>
      </c>
      <c r="H55" s="5" t="str">
        <f>IFERROR(__xludf.DUMMYFUNCTION("""COMPUTED_VALUE"""),"PC")</f>
        <v>PC</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 r="A60" s="5"/>
      <c r="B60" s="5"/>
      <c r="C60" s="5"/>
      <c r="D60" s="5"/>
      <c r="E60" s="5"/>
      <c r="F60" s="5"/>
      <c r="G60" s="5"/>
      <c r="H60" s="5"/>
      <c r="I60" s="5"/>
      <c r="J60" s="5"/>
      <c r="K60" s="5"/>
      <c r="L60" s="5"/>
      <c r="M60" s="5"/>
      <c r="N60" s="5"/>
      <c r="O60" s="5"/>
      <c r="P60" s="5"/>
      <c r="Q60" s="19" t="s">
        <v>31</v>
      </c>
      <c r="U60" s="19" t="s">
        <v>32</v>
      </c>
      <c r="Y60" s="5"/>
      <c r="Z60" s="5"/>
      <c r="AA60" s="5"/>
      <c r="AB60" s="5"/>
      <c r="AC60" s="5"/>
      <c r="AD60" s="5"/>
      <c r="AE60" s="5"/>
      <c r="AF60" s="5"/>
      <c r="AG60" s="5"/>
      <c r="AH60" s="5"/>
      <c r="AI60" s="5"/>
      <c r="AJ60" s="5"/>
      <c r="AK60" s="5"/>
      <c r="AL60" s="5"/>
    </row>
    <row r="61">
      <c r="A61" s="26" t="s">
        <v>33</v>
      </c>
      <c r="E61" s="26" t="s">
        <v>34</v>
      </c>
      <c r="I61" s="28" t="s">
        <v>35</v>
      </c>
      <c r="M61" s="29" t="s">
        <v>36</v>
      </c>
      <c r="Q61" s="11" t="s">
        <v>10</v>
      </c>
      <c r="R61" s="11" t="s">
        <v>11</v>
      </c>
      <c r="S61" s="11" t="s">
        <v>12</v>
      </c>
      <c r="T61" s="11" t="s">
        <v>13</v>
      </c>
      <c r="U61" s="11" t="s">
        <v>10</v>
      </c>
      <c r="V61" s="11" t="s">
        <v>11</v>
      </c>
      <c r="W61" s="11" t="s">
        <v>12</v>
      </c>
      <c r="X61" s="11" t="s">
        <v>13</v>
      </c>
      <c r="Y61" s="5"/>
      <c r="Z61" s="5"/>
      <c r="AA61" s="5"/>
      <c r="AB61" s="5"/>
      <c r="AC61" s="5"/>
      <c r="AD61" s="5"/>
      <c r="AE61" s="5"/>
      <c r="AF61" s="5"/>
      <c r="AG61" s="5"/>
      <c r="AH61" s="5"/>
      <c r="AI61" s="5"/>
      <c r="AJ61" s="5"/>
      <c r="AK61" s="5"/>
      <c r="AL61" s="5"/>
    </row>
    <row r="62">
      <c r="A62" s="11" t="str">
        <f>IFERROR(__xludf.DUMMYFUNCTION("LET(
  賽道, ""Myogi(CC)"",
  路線, ""CW"",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62" s="11" t="str">
        <f>IFERROR(__xludf.DUMMYFUNCTION("""COMPUTED_VALUE"""),"Time時間")</f>
        <v>Time時間</v>
      </c>
      <c r="C62" s="11" t="str">
        <f>IFERROR(__xludf.DUMMYFUNCTION("""COMPUTED_VALUE"""),"Car車種")</f>
        <v>Car車種</v>
      </c>
      <c r="D62" s="11" t="str">
        <f>IFERROR(__xludf.DUMMYFUNCTION("""COMPUTED_VALUE"""),"Platform平台")</f>
        <v>Platform平台</v>
      </c>
      <c r="E62" s="11" t="str">
        <f>IFERROR(__xludf.DUMMYFUNCTION("LET(
  賽道, ""Myogi(CC)"",
  路線, ""CC"",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62" s="11" t="str">
        <f>IFERROR(__xludf.DUMMYFUNCTION("""COMPUTED_VALUE"""),"Time時間")</f>
        <v>Time時間</v>
      </c>
      <c r="G62" s="11" t="str">
        <f>IFERROR(__xludf.DUMMYFUNCTION("""COMPUTED_VALUE"""),"Car車種")</f>
        <v>Car車種</v>
      </c>
      <c r="H62" s="11" t="str">
        <f>IFERROR(__xludf.DUMMYFUNCTION("""COMPUTED_VALUE"""),"Platform平台")</f>
        <v>Platform平台</v>
      </c>
      <c r="I62" s="11" t="str">
        <f>IFERROR(__xludf.DUMMYFUNCTION("LET(
  賽道, ""Monaco"",
  路線, """",
  系統, ""CVS"",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J62" s="11" t="str">
        <f>IFERROR(__xludf.DUMMYFUNCTION("""COMPUTED_VALUE"""),"Time時間")</f>
        <v>Time時間</v>
      </c>
      <c r="K62" s="11" t="str">
        <f>IFERROR(__xludf.DUMMYFUNCTION("""COMPUTED_VALUE"""),"Car車種")</f>
        <v>Car車種</v>
      </c>
      <c r="L62" s="11" t="str">
        <f>IFERROR(__xludf.DUMMYFUNCTION("""COMPUTED_VALUE"""),"Platform平台")</f>
        <v>Platform平台</v>
      </c>
      <c r="M62" s="11" t="str">
        <f>IFERROR(__xludf.DUMMYFUNCTION("LET(
  賽道, ""Nurburgring"",
  路線, ""Nord"",
  系統, ""CVS"",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N62" s="11" t="str">
        <f>IFERROR(__xludf.DUMMYFUNCTION("""COMPUTED_VALUE"""),"Time時間")</f>
        <v>Time時間</v>
      </c>
      <c r="O62" s="11" t="str">
        <f>IFERROR(__xludf.DUMMYFUNCTION("""COMPUTED_VALUE"""),"Car車種")</f>
        <v>Car車種</v>
      </c>
      <c r="P62" s="11" t="str">
        <f>IFERROR(__xludf.DUMMYFUNCTION("""COMPUTED_VALUE"""),"Platform平台")</f>
        <v>Platform平台</v>
      </c>
      <c r="Q62" s="5"/>
      <c r="R62" s="5"/>
      <c r="S62" s="5"/>
      <c r="T62" s="5"/>
      <c r="U62" s="5"/>
      <c r="V62" s="5"/>
      <c r="W62" s="5"/>
      <c r="X62" s="5"/>
      <c r="Y62" s="5"/>
      <c r="Z62" s="5"/>
      <c r="AA62" s="5"/>
      <c r="AB62" s="5"/>
      <c r="AC62" s="5"/>
      <c r="AD62" s="5"/>
      <c r="AE62" s="5"/>
      <c r="AF62" s="5"/>
      <c r="AG62" s="5"/>
      <c r="AH62" s="5"/>
      <c r="AI62" s="5"/>
      <c r="AJ62" s="5"/>
      <c r="AK62" s="5"/>
      <c r="AL62" s="5"/>
    </row>
    <row r="63">
      <c r="A63" s="5" t="str">
        <f>IFERROR(__xludf.DUMMYFUNCTION("""COMPUTED_VALUE"""),"Kinokono_Tenka")</f>
        <v>Kinokono_Tenka</v>
      </c>
      <c r="B63" s="5">
        <f>IFERROR(__xludf.DUMMYFUNCTION("""COMPUTED_VALUE"""),0.002265289351851852)</f>
        <v>0.002265289352</v>
      </c>
      <c r="C63" s="5" t="str">
        <f>IFERROR(__xludf.DUMMYFUNCTION("""COMPUTED_VALUE"""),"EG6 (civic)")</f>
        <v>EG6 (civic)</v>
      </c>
      <c r="D63" s="5" t="str">
        <f>IFERROR(__xludf.DUMMYFUNCTION("""COMPUTED_VALUE"""),"PCVR")</f>
        <v>PCVR</v>
      </c>
      <c r="E63" s="5" t="str">
        <f>IFERROR(__xludf.DUMMYFUNCTION("""COMPUTED_VALUE"""),"Redfrogss")</f>
        <v>Redfrogss</v>
      </c>
      <c r="F63" s="5">
        <f>IFERROR(__xludf.DUMMYFUNCTION("""COMPUTED_VALUE"""),0.0022780555555555557)</f>
        <v>0.002278055556</v>
      </c>
      <c r="G63" s="5" t="str">
        <f>IFERROR(__xludf.DUMMYFUNCTION("""COMPUTED_VALUE"""),"S13")</f>
        <v>S13</v>
      </c>
      <c r="H63" s="5" t="str">
        <f>IFERROR(__xludf.DUMMYFUNCTION("""COMPUTED_VALUE"""),"PCVR")</f>
        <v>PCVR</v>
      </c>
      <c r="I63" s="5" t="str">
        <f>IFERROR(__xludf.DUMMYFUNCTION("""COMPUTED_VALUE"""),"ねぎたま")</f>
        <v>ねぎたま</v>
      </c>
      <c r="J63" s="5">
        <f>IFERROR(__xludf.DUMMYFUNCTION("""COMPUTED_VALUE"""),7.215740740740741E-4)</f>
        <v>0.0007215740741</v>
      </c>
      <c r="K63" s="5" t="str">
        <f>IFERROR(__xludf.DUMMYFUNCTION("""COMPUTED_VALUE"""),"rb21(RedBull)")</f>
        <v>rb21(RedBull)</v>
      </c>
      <c r="L63" s="5" t="str">
        <f>IFERROR(__xludf.DUMMYFUNCTION("""COMPUTED_VALUE"""),"PCVR")</f>
        <v>PCVR</v>
      </c>
      <c r="M63" s="5" t="str">
        <f>IFERROR(__xludf.DUMMYFUNCTION("""COMPUTED_VALUE"""),"BannRaven")</f>
        <v>BannRaven</v>
      </c>
      <c r="N63" s="5">
        <f>IFERROR(__xludf.DUMMYFUNCTION("""COMPUTED_VALUE"""),0.005019456018518519)</f>
        <v>0.005019456019</v>
      </c>
      <c r="O63" s="5" t="str">
        <f>IFERROR(__xludf.DUMMYFUNCTION("""COMPUTED_VALUE"""),"NA1 (NSX)")</f>
        <v>NA1 (NSX)</v>
      </c>
      <c r="P63" s="5" t="str">
        <f>IFERROR(__xludf.DUMMYFUNCTION("""COMPUTED_VALUE"""),"PCVR")</f>
        <v>PCVR</v>
      </c>
      <c r="Q63" s="5"/>
      <c r="R63" s="5"/>
      <c r="S63" s="5"/>
      <c r="T63" s="5"/>
      <c r="U63" s="5"/>
      <c r="V63" s="5"/>
      <c r="W63" s="5"/>
      <c r="X63" s="5"/>
      <c r="Y63" s="5"/>
      <c r="Z63" s="5"/>
      <c r="AA63" s="5"/>
      <c r="AB63" s="5"/>
      <c r="AC63" s="5"/>
      <c r="AD63" s="5"/>
      <c r="AE63" s="5"/>
      <c r="AF63" s="5"/>
      <c r="AG63" s="5"/>
      <c r="AH63" s="5"/>
      <c r="AI63" s="5"/>
      <c r="AJ63" s="5"/>
      <c r="AK63" s="5"/>
      <c r="AL63" s="5"/>
    </row>
    <row r="64">
      <c r="A64" s="5" t="str">
        <f>IFERROR(__xludf.DUMMYFUNCTION("""COMPUTED_VALUE"""),"StarRiver Arts")</f>
        <v>StarRiver Arts</v>
      </c>
      <c r="B64" s="5">
        <f>IFERROR(__xludf.DUMMYFUNCTION("""COMPUTED_VALUE"""),0.0022710300925925927)</f>
        <v>0.002271030093</v>
      </c>
      <c r="C64" s="5" t="str">
        <f>IFERROR(__xludf.DUMMYFUNCTION("""COMPUTED_VALUE"""),"S13")</f>
        <v>S13</v>
      </c>
      <c r="D64" s="5" t="str">
        <f>IFERROR(__xludf.DUMMYFUNCTION("""COMPUTED_VALUE"""),"PC")</f>
        <v>PC</v>
      </c>
      <c r="E64" s="5" t="str">
        <f>IFERROR(__xludf.DUMMYFUNCTION("""COMPUTED_VALUE"""),"Kinokono_Tenka")</f>
        <v>Kinokono_Tenka</v>
      </c>
      <c r="F64" s="5">
        <f>IFERROR(__xludf.DUMMYFUNCTION("""COMPUTED_VALUE"""),0.0023177546296296292)</f>
        <v>0.00231775463</v>
      </c>
      <c r="G64" s="5" t="str">
        <f>IFERROR(__xludf.DUMMYFUNCTION("""COMPUTED_VALUE"""),"EG6 (civic)")</f>
        <v>EG6 (civic)</v>
      </c>
      <c r="H64" s="5" t="str">
        <f>IFERROR(__xludf.DUMMYFUNCTION("""COMPUTED_VALUE"""),"PCVR")</f>
        <v>PCVR</v>
      </c>
      <c r="I64" s="5" t="str">
        <f>IFERROR(__xludf.DUMMYFUNCTION("""COMPUTED_VALUE"""),"BannRaven")</f>
        <v>BannRaven</v>
      </c>
      <c r="J64" s="5">
        <f>IFERROR(__xludf.DUMMYFUNCTION("""COMPUTED_VALUE"""),7.785185185185186E-4)</f>
        <v>0.0007785185185</v>
      </c>
      <c r="K64" s="5" t="str">
        <f>IFERROR(__xludf.DUMMYFUNCTION("""COMPUTED_VALUE"""),"rb21(RedBull)")</f>
        <v>rb21(RedBull)</v>
      </c>
      <c r="L64" s="5" t="str">
        <f>IFERROR(__xludf.DUMMYFUNCTION("""COMPUTED_VALUE"""),"PCVR")</f>
        <v>PCVR</v>
      </c>
      <c r="M64" s="5" t="str">
        <f>IFERROR(__xludf.DUMMYFUNCTION("""COMPUTED_VALUE"""),"StarRiver Arts")</f>
        <v>StarRiver Arts</v>
      </c>
      <c r="N64" s="5">
        <f>IFERROR(__xludf.DUMMYFUNCTION("""COMPUTED_VALUE"""),0.0062355324074074075)</f>
        <v>0.006235532407</v>
      </c>
      <c r="O64" s="5" t="str">
        <f>IFERROR(__xludf.DUMMYFUNCTION("""COMPUTED_VALUE"""),"R35")</f>
        <v>R35</v>
      </c>
      <c r="P64" s="5" t="str">
        <f>IFERROR(__xludf.DUMMYFUNCTION("""COMPUTED_VALUE"""),"PC")</f>
        <v>PC</v>
      </c>
      <c r="Q64" s="5"/>
      <c r="R64" s="5"/>
      <c r="S64" s="5"/>
      <c r="T64" s="5"/>
      <c r="U64" s="5"/>
      <c r="V64" s="5"/>
      <c r="W64" s="5"/>
      <c r="X64" s="5"/>
      <c r="Y64" s="5"/>
      <c r="Z64" s="5"/>
      <c r="AA64" s="5"/>
      <c r="AB64" s="5"/>
      <c r="AC64" s="5"/>
      <c r="AD64" s="5"/>
      <c r="AE64" s="5"/>
      <c r="AF64" s="5"/>
      <c r="AG64" s="5"/>
      <c r="AH64" s="5"/>
      <c r="AI64" s="5"/>
      <c r="AJ64" s="5"/>
      <c r="AK64" s="5"/>
      <c r="AL64" s="5"/>
    </row>
    <row r="65">
      <c r="A65" s="5" t="str">
        <f>IFERROR(__xludf.DUMMYFUNCTION("""COMPUTED_VALUE"""),"Redfrogss")</f>
        <v>Redfrogss</v>
      </c>
      <c r="B65" s="5">
        <f>IFERROR(__xludf.DUMMYFUNCTION("""COMPUTED_VALUE"""),0.0023255208333333335)</f>
        <v>0.002325520833</v>
      </c>
      <c r="C65" s="5" t="str">
        <f>IFERROR(__xludf.DUMMYFUNCTION("""COMPUTED_VALUE"""),"S13")</f>
        <v>S13</v>
      </c>
      <c r="D65" s="5" t="str">
        <f>IFERROR(__xludf.DUMMYFUNCTION("""COMPUTED_VALUE"""),"PCVR")</f>
        <v>PCVR</v>
      </c>
      <c r="E65" s="5" t="str">
        <f>IFERROR(__xludf.DUMMYFUNCTION("""COMPUTED_VALUE"""),"StarRiver Arts")</f>
        <v>StarRiver Arts</v>
      </c>
      <c r="F65" s="5">
        <f>IFERROR(__xludf.DUMMYFUNCTION("""COMPUTED_VALUE"""),0.0023960300925925924)</f>
        <v>0.002396030093</v>
      </c>
      <c r="G65" s="5" t="str">
        <f>IFERROR(__xludf.DUMMYFUNCTION("""COMPUTED_VALUE"""),"BNR32")</f>
        <v>BNR32</v>
      </c>
      <c r="H65" s="5" t="str">
        <f>IFERROR(__xludf.DUMMYFUNCTION("""COMPUTED_VALUE"""),"PC")</f>
        <v>PC</v>
      </c>
      <c r="I65" s="5" t="str">
        <f>IFERROR(__xludf.DUMMYFUNCTION("""COMPUTED_VALUE"""),"StarRiver Arts")</f>
        <v>StarRiver Arts</v>
      </c>
      <c r="J65" s="5">
        <f>IFERROR(__xludf.DUMMYFUNCTION("""COMPUTED_VALUE"""),0.0016668634259259258)</f>
        <v>0.001666863426</v>
      </c>
      <c r="K65" s="5" t="str">
        <f>IFERROR(__xludf.DUMMYFUNCTION("""COMPUTED_VALUE"""),"sf25(Ferrari)")</f>
        <v>sf25(Ferrari)</v>
      </c>
      <c r="L65" s="5" t="str">
        <f>IFERROR(__xludf.DUMMYFUNCTION("""COMPUTED_VALUE"""),"PC")</f>
        <v>PC</v>
      </c>
      <c r="M65" s="5" t="str">
        <f>IFERROR(__xludf.DUMMYFUNCTION("""COMPUTED_VALUE"""),"Test Driver")</f>
        <v>Test Driver</v>
      </c>
      <c r="N65" s="5">
        <f>IFERROR(__xludf.DUMMYFUNCTION("""COMPUTED_VALUE"""),0.006944444444444444)</f>
        <v>0.006944444444</v>
      </c>
      <c r="O65" s="5" t="str">
        <f>IFERROR(__xludf.DUMMYFUNCTION("""COMPUTED_VALUE"""),"992(911 GT3)")</f>
        <v>992(911 GT3)</v>
      </c>
      <c r="P65" s="5"/>
      <c r="Q65" s="5"/>
      <c r="R65" s="5"/>
      <c r="S65" s="5"/>
      <c r="T65" s="5"/>
      <c r="U65" s="5"/>
      <c r="V65" s="5"/>
      <c r="W65" s="5"/>
      <c r="X65" s="5"/>
      <c r="Y65" s="5"/>
      <c r="Z65" s="5"/>
      <c r="AA65" s="5"/>
      <c r="AB65" s="5"/>
      <c r="AC65" s="5"/>
      <c r="AD65" s="5"/>
      <c r="AE65" s="5"/>
      <c r="AF65" s="5"/>
      <c r="AG65" s="5"/>
      <c r="AH65" s="5"/>
      <c r="AI65" s="5"/>
      <c r="AJ65" s="5"/>
      <c r="AK65" s="5"/>
      <c r="AL65" s="5"/>
    </row>
    <row r="66">
      <c r="A66" s="5" t="str">
        <f>IFERROR(__xludf.DUMMYFUNCTION("""COMPUTED_VALUE"""),"LinWu_05")</f>
        <v>LinWu_05</v>
      </c>
      <c r="B66" s="5">
        <f>IFERROR(__xludf.DUMMYFUNCTION("""COMPUTED_VALUE"""),0.002429976851851852)</f>
        <v>0.002429976852</v>
      </c>
      <c r="C66" s="5" t="str">
        <f>IFERROR(__xludf.DUMMYFUNCTION("""COMPUTED_VALUE"""),"BNR32")</f>
        <v>BNR32</v>
      </c>
      <c r="D66" s="5" t="str">
        <f>IFERROR(__xludf.DUMMYFUNCTION("""COMPUTED_VALUE"""),"PC")</f>
        <v>PC</v>
      </c>
      <c r="E66" s="5" t="str">
        <f>IFERROR(__xludf.DUMMYFUNCTION("""COMPUTED_VALUE"""),"LinWu_05")</f>
        <v>LinWu_05</v>
      </c>
      <c r="F66" s="5">
        <f>IFERROR(__xludf.DUMMYFUNCTION("""COMPUTED_VALUE"""),0.002462384259259259)</f>
        <v>0.002462384259</v>
      </c>
      <c r="G66" s="5" t="str">
        <f>IFERROR(__xludf.DUMMYFUNCTION("""COMPUTED_VALUE"""),"BNR32")</f>
        <v>BNR32</v>
      </c>
      <c r="H66" s="5" t="str">
        <f>IFERROR(__xludf.DUMMYFUNCTION("""COMPUTED_VALUE"""),"PC")</f>
        <v>PC</v>
      </c>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 r="A67" s="5" t="str">
        <f>IFERROR(__xludf.DUMMYFUNCTION("""COMPUTED_VALUE"""),"Test Driver")</f>
        <v>Test Driver</v>
      </c>
      <c r="B67" s="5">
        <f>IFERROR(__xludf.DUMMYFUNCTION("""COMPUTED_VALUE"""),0.006944444444444444)</f>
        <v>0.006944444444</v>
      </c>
      <c r="C67" s="5" t="str">
        <f>IFERROR(__xludf.DUMMYFUNCTION("""COMPUTED_VALUE"""),"180SX")</f>
        <v>180SX</v>
      </c>
      <c r="D67" s="5"/>
      <c r="E67" s="5" t="str">
        <f>IFERROR(__xludf.DUMMYFUNCTION("""COMPUTED_VALUE"""),"Test Driver")</f>
        <v>Test Driver</v>
      </c>
      <c r="F67" s="5">
        <f>IFERROR(__xludf.DUMMYFUNCTION("""COMPUTED_VALUE"""),0.006944444444444444)</f>
        <v>0.006944444444</v>
      </c>
      <c r="G67" s="5" t="str">
        <f>IFERROR(__xludf.DUMMYFUNCTION("""COMPUTED_VALUE"""),"180SX")</f>
        <v>180SX</v>
      </c>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 r="A69" s="5"/>
      <c r="B69" s="5"/>
      <c r="C69" s="5"/>
      <c r="D69" s="5"/>
      <c r="E69" s="5"/>
      <c r="F69" s="5"/>
      <c r="G69" s="5"/>
      <c r="H69" s="5"/>
      <c r="I69" s="5"/>
      <c r="J69" s="5"/>
      <c r="K69" s="5"/>
      <c r="L69" s="5"/>
      <c r="M69" s="5"/>
      <c r="N69" s="5"/>
      <c r="O69" s="5"/>
      <c r="P69" s="5"/>
      <c r="Q69" s="30" t="s">
        <v>37</v>
      </c>
      <c r="Y69" s="5"/>
      <c r="Z69" s="5"/>
      <c r="AA69" s="5"/>
      <c r="AB69" s="5"/>
      <c r="AC69" s="5"/>
      <c r="AD69" s="5"/>
      <c r="AE69" s="5"/>
      <c r="AF69" s="5"/>
      <c r="AG69" s="5"/>
      <c r="AH69" s="5"/>
      <c r="AI69" s="5"/>
      <c r="AJ69" s="5"/>
      <c r="AK69" s="5"/>
      <c r="AL69" s="5"/>
    </row>
    <row r="70">
      <c r="A70" s="31" t="s">
        <v>38</v>
      </c>
      <c r="E70" s="31" t="s">
        <v>39</v>
      </c>
      <c r="I70" s="29" t="s">
        <v>40</v>
      </c>
      <c r="M70" s="5"/>
      <c r="N70" s="5"/>
      <c r="O70" s="5"/>
      <c r="P70" s="5"/>
      <c r="Q70" s="32" t="s">
        <v>41</v>
      </c>
      <c r="U70" s="5"/>
      <c r="V70" s="5"/>
      <c r="W70" s="5"/>
      <c r="X70" s="5"/>
      <c r="Y70" s="5"/>
      <c r="Z70" s="5"/>
      <c r="AA70" s="5"/>
      <c r="AB70" s="5"/>
      <c r="AC70" s="5"/>
      <c r="AD70" s="5"/>
      <c r="AE70" s="5"/>
      <c r="AF70" s="5"/>
      <c r="AG70" s="5"/>
      <c r="AH70" s="5"/>
      <c r="AI70" s="5"/>
      <c r="AJ70" s="5"/>
      <c r="AK70" s="5"/>
      <c r="AL70" s="5"/>
    </row>
    <row r="71">
      <c r="A71" s="11" t="str">
        <f>IFERROR(__xludf.DUMMYFUNCTION("LET(
  賽道, ""Akagi"",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71" s="11" t="str">
        <f>IFERROR(__xludf.DUMMYFUNCTION("""COMPUTED_VALUE"""),"Time時間")</f>
        <v>Time時間</v>
      </c>
      <c r="C71" s="11" t="str">
        <f>IFERROR(__xludf.DUMMYFUNCTION("""COMPUTED_VALUE"""),"Car車種")</f>
        <v>Car車種</v>
      </c>
      <c r="D71" s="11" t="str">
        <f>IFERROR(__xludf.DUMMYFUNCTION("""COMPUTED_VALUE"""),"Platform平台")</f>
        <v>Platform平台</v>
      </c>
      <c r="E71" s="11" t="str">
        <f>IFERROR(__xludf.DUMMYFUNCTION("LET(
  賽道, ""Akagi"",
  路線, ""UH"",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71" s="11" t="str">
        <f>IFERROR(__xludf.DUMMYFUNCTION("""COMPUTED_VALUE"""),"Time時間")</f>
        <v>Time時間</v>
      </c>
      <c r="G71" s="11" t="str">
        <f>IFERROR(__xludf.DUMMYFUNCTION("""COMPUTED_VALUE"""),"Car車種")</f>
        <v>Car車種</v>
      </c>
      <c r="H71" s="11" t="str">
        <f>IFERROR(__xludf.DUMMYFUNCTION("""COMPUTED_VALUE"""),"Platform平台")</f>
        <v>Platform平台</v>
      </c>
      <c r="I71" s="11" t="str">
        <f>IFERROR(__xludf.DUMMYFUNCTION("LET(
  賽道, ""Nurburgring"",
  路線, ""GP"",
  系統, ""CVS"",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J71" s="11" t="str">
        <f>IFERROR(__xludf.DUMMYFUNCTION("""COMPUTED_VALUE"""),"Time時間")</f>
        <v>Time時間</v>
      </c>
      <c r="K71" s="11" t="str">
        <f>IFERROR(__xludf.DUMMYFUNCTION("""COMPUTED_VALUE"""),"Car車種")</f>
        <v>Car車種</v>
      </c>
      <c r="L71" s="11" t="str">
        <f>IFERROR(__xludf.DUMMYFUNCTION("""COMPUTED_VALUE"""),"Platform平台")</f>
        <v>Platform平台</v>
      </c>
      <c r="M71" s="5"/>
      <c r="N71" s="5"/>
      <c r="O71" s="5"/>
      <c r="P71" s="5"/>
      <c r="Q71" s="11" t="str">
        <f>IFERROR(__xludf.DUMMYFUNCTION("LET(
  賽道, ""UsuiDAA"",
  路線, ""CC"",
  系統, ""CVS"",
  原始, FILTER('歷史紀錄'!E50:H1168, '歷史紀錄'!B50:B1168=賽道, '歷史紀錄'!C50:C1168=路線, '歷史紀錄'!I50:I1168=系統),
  排序後, SORT(原始, 2, TRUE),
  玩家, INDEX(排序後,,1),
  唯一玩家, UNIQUE(玩家),
  結果,
    MAP(唯一玩家, LAMBDA(p,
      INDE"&amp;"X(FILTER(排序後, INDEX(排序後,,1)=p),1,0)
    )),
  表頭, {""Player玩家"",""Time時間"",""Car車種"",""Platform平台""},
  VSTACK(表頭, 結果)
)
"),"Player玩家")</f>
        <v>Player玩家</v>
      </c>
      <c r="R71" s="11" t="str">
        <f>IFERROR(__xludf.DUMMYFUNCTION("""COMPUTED_VALUE"""),"Time時間")</f>
        <v>Time時間</v>
      </c>
      <c r="S71" s="11" t="str">
        <f>IFERROR(__xludf.DUMMYFUNCTION("""COMPUTED_VALUE"""),"Car車種")</f>
        <v>Car車種</v>
      </c>
      <c r="T71" s="11" t="str">
        <f>IFERROR(__xludf.DUMMYFUNCTION("""COMPUTED_VALUE"""),"Platform平台")</f>
        <v>Platform平台</v>
      </c>
      <c r="U71" s="5"/>
      <c r="V71" s="5"/>
      <c r="W71" s="5"/>
      <c r="X71" s="5"/>
      <c r="Y71" s="5"/>
      <c r="Z71" s="5"/>
      <c r="AA71" s="5"/>
      <c r="AB71" s="5"/>
      <c r="AC71" s="5"/>
      <c r="AD71" s="5"/>
      <c r="AE71" s="5"/>
      <c r="AF71" s="5"/>
      <c r="AG71" s="5"/>
      <c r="AH71" s="5"/>
      <c r="AI71" s="5"/>
      <c r="AJ71" s="5"/>
      <c r="AK71" s="5"/>
      <c r="AL71" s="5"/>
    </row>
    <row r="72">
      <c r="A72" s="5" t="str">
        <f>IFERROR(__xludf.DUMMYFUNCTION("""COMPUTED_VALUE"""),"Lolidia")</f>
        <v>Lolidia</v>
      </c>
      <c r="B72" s="5">
        <f>IFERROR(__xludf.DUMMYFUNCTION("""COMPUTED_VALUE"""),0.002051909722222222)</f>
        <v>0.002051909722</v>
      </c>
      <c r="C72" s="5" t="str">
        <f>IFERROR(__xludf.DUMMYFUNCTION("""COMPUTED_VALUE"""),"FD3S (RX7) V2")</f>
        <v>FD3S (RX7) V2</v>
      </c>
      <c r="D72" s="5" t="str">
        <f>IFERROR(__xludf.DUMMYFUNCTION("""COMPUTED_VALUE"""),"PCVR")</f>
        <v>PCVR</v>
      </c>
      <c r="E72" s="5" t="str">
        <f>IFERROR(__xludf.DUMMYFUNCTION("""COMPUTED_VALUE"""),"Redfrogss")</f>
        <v>Redfrogss</v>
      </c>
      <c r="F72" s="5">
        <f>IFERROR(__xludf.DUMMYFUNCTION("""COMPUTED_VALUE"""),0.002389363425925926)</f>
        <v>0.002389363426</v>
      </c>
      <c r="G72" s="5" t="str">
        <f>IFERROR(__xludf.DUMMYFUNCTION("""COMPUTED_VALUE"""),"FD3S (RX7) V2                                                 ")</f>
        <v>FD3S (RX7) V2                                                 </v>
      </c>
      <c r="H72" s="5" t="str">
        <f>IFERROR(__xludf.DUMMYFUNCTION("""COMPUTED_VALUE"""),"PCVR")</f>
        <v>PCVR</v>
      </c>
      <c r="I72" s="5" t="str">
        <f>IFERROR(__xludf.DUMMYFUNCTION("""COMPUTED_VALUE"""),"StarRiver Arts")</f>
        <v>StarRiver Arts</v>
      </c>
      <c r="J72" s="5">
        <f>IFERROR(__xludf.DUMMYFUNCTION("""COMPUTED_VALUE"""),0.0016525810185185185)</f>
        <v>0.001652581019</v>
      </c>
      <c r="K72" s="5" t="str">
        <f>IFERROR(__xludf.DUMMYFUNCTION("""COMPUTED_VALUE"""),"R35")</f>
        <v>R35</v>
      </c>
      <c r="L72" s="5" t="str">
        <f>IFERROR(__xludf.DUMMYFUNCTION("""COMPUTED_VALUE"""),"PC")</f>
        <v>PC</v>
      </c>
      <c r="M72" s="5"/>
      <c r="N72" s="5"/>
      <c r="O72" s="5"/>
      <c r="P72" s="5"/>
      <c r="Q72" s="5" t="str">
        <f>IFERROR(__xludf.DUMMYFUNCTION("""COMPUTED_VALUE"""),"ねぎたま")</f>
        <v>ねぎたま</v>
      </c>
      <c r="R72" s="5">
        <f>IFERROR(__xludf.DUMMYFUNCTION("""COMPUTED_VALUE"""),0.0012375578703703704)</f>
        <v>0.00123755787</v>
      </c>
      <c r="S72" s="5" t="str">
        <f>IFERROR(__xludf.DUMMYFUNCTION("""COMPUTED_VALUE"""),"R34")</f>
        <v>R34</v>
      </c>
      <c r="T72" s="5" t="str">
        <f>IFERROR(__xludf.DUMMYFUNCTION("""COMPUTED_VALUE"""),"PCVR")</f>
        <v>PCVR</v>
      </c>
      <c r="U72" s="5"/>
      <c r="V72" s="5"/>
      <c r="W72" s="5"/>
      <c r="X72" s="5"/>
      <c r="Y72" s="5"/>
      <c r="Z72" s="5"/>
      <c r="AA72" s="5"/>
      <c r="AB72" s="5"/>
      <c r="AC72" s="5"/>
      <c r="AD72" s="5"/>
      <c r="AE72" s="5"/>
      <c r="AF72" s="5"/>
      <c r="AG72" s="5"/>
      <c r="AH72" s="5"/>
      <c r="AI72" s="5"/>
      <c r="AJ72" s="5"/>
      <c r="AK72" s="5"/>
      <c r="AL72" s="5"/>
    </row>
    <row r="73">
      <c r="A73" s="5" t="str">
        <f>IFERROR(__xludf.DUMMYFUNCTION("""COMPUTED_VALUE"""),"Redfrogss")</f>
        <v>Redfrogss</v>
      </c>
      <c r="B73" s="5">
        <f>IFERROR(__xludf.DUMMYFUNCTION("""COMPUTED_VALUE"""),0.002204675925925926)</f>
        <v>0.002204675926</v>
      </c>
      <c r="C73" s="5" t="str">
        <f>IFERROR(__xludf.DUMMYFUNCTION("""COMPUTED_VALUE"""),"FD3S (RX7) V2                                                 ")</f>
        <v>FD3S (RX7) V2                                                 </v>
      </c>
      <c r="D73" s="5" t="str">
        <f>IFERROR(__xludf.DUMMYFUNCTION("""COMPUTED_VALUE"""),"PCVR")</f>
        <v>PCVR</v>
      </c>
      <c r="E73" s="5" t="str">
        <f>IFERROR(__xludf.DUMMYFUNCTION("""COMPUTED_VALUE"""),"Test Driver")</f>
        <v>Test Driver</v>
      </c>
      <c r="F73" s="5">
        <f>IFERROR(__xludf.DUMMYFUNCTION("""COMPUTED_VALUE"""),0.006944444444444444)</f>
        <v>0.006944444444</v>
      </c>
      <c r="G73" s="5" t="str">
        <f>IFERROR(__xludf.DUMMYFUNCTION("""COMPUTED_VALUE"""),"FC3S (RX7)")</f>
        <v>FC3S (RX7)</v>
      </c>
      <c r="H73" s="5"/>
      <c r="I73" s="5" t="str">
        <f>IFERROR(__xludf.DUMMYFUNCTION("""COMPUTED_VALUE"""),"Too突突兔To")</f>
        <v>Too突突兔To</v>
      </c>
      <c r="J73" s="5">
        <f>IFERROR(__xludf.DUMMYFUNCTION("""COMPUTED_VALUE"""),0.0018237268518518518)</f>
        <v>0.001823726852</v>
      </c>
      <c r="K73" s="5" t="str">
        <f>IFERROR(__xludf.DUMMYFUNCTION("""COMPUTED_VALUE"""),"992(911 GT3)")</f>
        <v>992(911 GT3)</v>
      </c>
      <c r="L73" s="5" t="str">
        <f>IFERROR(__xludf.DUMMYFUNCTION("""COMPUTED_VALUE"""),"PCVR")</f>
        <v>PCVR</v>
      </c>
      <c r="M73" s="5"/>
      <c r="N73" s="5"/>
      <c r="O73" s="5"/>
      <c r="P73" s="5"/>
      <c r="Q73" s="5" t="str">
        <f>IFERROR(__xludf.DUMMYFUNCTION("""COMPUTED_VALUE"""),"StarRiver Arts")</f>
        <v>StarRiver Arts</v>
      </c>
      <c r="R73" s="5">
        <f>IFERROR(__xludf.DUMMYFUNCTION("""COMPUTED_VALUE"""),0.0012741087962962964)</f>
        <v>0.001274108796</v>
      </c>
      <c r="S73" s="5" t="str">
        <f>IFERROR(__xludf.DUMMYFUNCTION("""COMPUTED_VALUE"""),"BMW CS")</f>
        <v>BMW CS</v>
      </c>
      <c r="T73" s="5" t="str">
        <f>IFERROR(__xludf.DUMMYFUNCTION("""COMPUTED_VALUE"""),"PC")</f>
        <v>PC</v>
      </c>
      <c r="U73" s="5"/>
      <c r="V73" s="5"/>
      <c r="W73" s="5"/>
      <c r="X73" s="5"/>
      <c r="Y73" s="5"/>
      <c r="Z73" s="5"/>
      <c r="AA73" s="5"/>
      <c r="AB73" s="5"/>
      <c r="AC73" s="5"/>
      <c r="AD73" s="5"/>
      <c r="AE73" s="5"/>
      <c r="AF73" s="5"/>
      <c r="AG73" s="5"/>
      <c r="AH73" s="5"/>
      <c r="AI73" s="5"/>
      <c r="AJ73" s="5"/>
      <c r="AK73" s="5"/>
      <c r="AL73" s="5"/>
    </row>
    <row r="74">
      <c r="A74" s="5" t="str">
        <f>IFERROR(__xludf.DUMMYFUNCTION("""COMPUTED_VALUE"""),"ikuhopen")</f>
        <v>ikuhopen</v>
      </c>
      <c r="B74" s="5">
        <f>IFERROR(__xludf.DUMMYFUNCTION("""COMPUTED_VALUE"""),0.002258483796296296)</f>
        <v>0.002258483796</v>
      </c>
      <c r="C74" s="5" t="str">
        <f>IFERROR(__xludf.DUMMYFUNCTION("""COMPUTED_VALUE"""),"FD3S (RX7) V2")</f>
        <v>FD3S (RX7) V2</v>
      </c>
      <c r="D74" s="5" t="str">
        <f>IFERROR(__xludf.DUMMYFUNCTION("""COMPUTED_VALUE"""),"PCVR")</f>
        <v>PCVR</v>
      </c>
      <c r="E74" s="5"/>
      <c r="F74" s="5"/>
      <c r="G74" s="5"/>
      <c r="H74" s="5"/>
      <c r="I74" s="5" t="str">
        <f>IFERROR(__xludf.DUMMYFUNCTION("""COMPUTED_VALUE"""),"Test Driver")</f>
        <v>Test Driver</v>
      </c>
      <c r="J74" s="5">
        <f>IFERROR(__xludf.DUMMYFUNCTION("""COMPUTED_VALUE"""),0.006944444444444444)</f>
        <v>0.006944444444</v>
      </c>
      <c r="K74" s="5" t="str">
        <f>IFERROR(__xludf.DUMMYFUNCTION("""COMPUTED_VALUE"""),"NSX                                                 ")</f>
        <v>NSX                                                 </v>
      </c>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 r="A75" s="5" t="str">
        <f>IFERROR(__xludf.DUMMYFUNCTION("""COMPUTED_VALUE"""),"StarRiver Arts")</f>
        <v>StarRiver Arts</v>
      </c>
      <c r="B75" s="5">
        <f>IFERROR(__xludf.DUMMYFUNCTION("""COMPUTED_VALUE"""),0.0023354513888888886)</f>
        <v>0.002335451389</v>
      </c>
      <c r="C75" s="5" t="str">
        <f>IFERROR(__xludf.DUMMYFUNCTION("""COMPUTED_VALUE"""),"AE86T-V2")</f>
        <v>AE86T-V2</v>
      </c>
      <c r="D75" s="5" t="str">
        <f>IFERROR(__xludf.DUMMYFUNCTION("""COMPUTED_VALUE"""),"PC")</f>
        <v>PC</v>
      </c>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 r="A76" s="5" t="str">
        <f>IFERROR(__xludf.DUMMYFUNCTION("""COMPUTED_VALUE"""),"アビドサスヒカリ")</f>
        <v>アビドサスヒカリ</v>
      </c>
      <c r="B76" s="5">
        <f>IFERROR(__xludf.DUMMYFUNCTION("""COMPUTED_VALUE"""),0.002350821759259259)</f>
        <v>0.002350821759</v>
      </c>
      <c r="C76" s="5" t="str">
        <f>IFERROR(__xludf.DUMMYFUNCTION("""COMPUTED_VALUE"""),"EVOIII/CE9A")</f>
        <v>EVOIII/CE9A</v>
      </c>
      <c r="D76" s="5" t="str">
        <f>IFERROR(__xludf.DUMMYFUNCTION("""COMPUTED_VALUE"""),"PCVR")</f>
        <v>PCVR</v>
      </c>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 r="A77" s="5" t="str">
        <f>IFERROR(__xludf.DUMMYFUNCTION("""COMPUTED_VALUE"""),"Yuanji Deca")</f>
        <v>Yuanji Deca</v>
      </c>
      <c r="B77" s="5">
        <f>IFERROR(__xludf.DUMMYFUNCTION("""COMPUTED_VALUE"""),0.0026181481481481485)</f>
        <v>0.002618148148</v>
      </c>
      <c r="C77" s="5" t="str">
        <f>IFERROR(__xludf.DUMMYFUNCTION("""COMPUTED_VALUE"""),"DB42 (GR Supra)")</f>
        <v>DB42 (GR Supra)</v>
      </c>
      <c r="D77" s="5" t="str">
        <f>IFERROR(__xludf.DUMMYFUNCTION("""COMPUTED_VALUE"""),"PC")</f>
        <v>PC</v>
      </c>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 r="A78" s="5" t="str">
        <f>IFERROR(__xludf.DUMMYFUNCTION("""COMPUTED_VALUE"""),"Sakanakokokoko")</f>
        <v>Sakanakokokoko</v>
      </c>
      <c r="B78" s="5">
        <f>IFERROR(__xludf.DUMMYFUNCTION("""COMPUTED_VALUE"""),0.0028111458333333335)</f>
        <v>0.002811145833</v>
      </c>
      <c r="C78" s="5" t="str">
        <f>IFERROR(__xludf.DUMMYFUNCTION("""COMPUTED_VALUE"""),"S14Q")</f>
        <v>S14Q</v>
      </c>
      <c r="D78" s="5" t="str">
        <f>IFERROR(__xludf.DUMMYFUNCTION("""COMPUTED_VALUE"""),"PC")</f>
        <v>PC</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 r="A79" s="5" t="str">
        <f>IFERROR(__xludf.DUMMYFUNCTION("""COMPUTED_VALUE"""),"Test Driver")</f>
        <v>Test Driver</v>
      </c>
      <c r="B79" s="5">
        <f>IFERROR(__xludf.DUMMYFUNCTION("""COMPUTED_VALUE"""),0.006944444444444444)</f>
        <v>0.006944444444</v>
      </c>
      <c r="C79" s="5" t="str">
        <f>IFERROR(__xludf.DUMMYFUNCTION("""COMPUTED_VALUE"""),"AE86L-V2")</f>
        <v>AE86L-V2</v>
      </c>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 r="A82" s="33" t="s">
        <v>42</v>
      </c>
      <c r="E82" s="33" t="s">
        <v>43</v>
      </c>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 r="A83" s="11" t="str">
        <f>IFERROR(__xludf.DUMMYFUNCTION("LET(
  賽道, ""Lake Akina"",
  路線, ""CW"",
  系統, ""Sacc"",
  原始, FILTER('歷史紀錄'!E25:H1168, '歷史紀錄'!B25:B1168=賽道, '歷史紀錄'!C25:C1168=路線, '歷史紀錄'!I25:I1168=系統),
  排序後, SORT(原始, 2, TRUE),
  玩家, INDEX(排序後,,1),
  唯一玩家, UNIQUE(玩家),
  結果,
    MAP(唯一玩家, LAMBDA(p,
      "&amp;"INDEX(FILTER(排序後, INDEX(排序後,,1)=p),1,0)
    )),
  表頭, {""Player玩家"",""Time時間"",""Car車種"",""Platform平台""},
  VSTACK(表頭, 結果)
)
"),"Player玩家")</f>
        <v>Player玩家</v>
      </c>
      <c r="B83" s="11" t="str">
        <f>IFERROR(__xludf.DUMMYFUNCTION("""COMPUTED_VALUE"""),"Time時間")</f>
        <v>Time時間</v>
      </c>
      <c r="C83" s="11" t="str">
        <f>IFERROR(__xludf.DUMMYFUNCTION("""COMPUTED_VALUE"""),"Car車種")</f>
        <v>Car車種</v>
      </c>
      <c r="D83" s="11" t="str">
        <f>IFERROR(__xludf.DUMMYFUNCTION("""COMPUTED_VALUE"""),"Platform平台")</f>
        <v>Platform平台</v>
      </c>
      <c r="E83" s="11" t="str">
        <f>IFERROR(__xludf.DUMMYFUNCTION("LET(
  賽道, ""Lake Akina"",
  路線, ""CC"",
  系統, ""Sacc"",
  原始, FILTER('歷史紀錄'!E25:H1168, '歷史紀錄'!B25:B1168=賽道, '歷史紀錄'!C25:C1168=路線, '歷史紀錄'!I25:I1168=系統),
  排序後, SORT(原始, 2, TRUE),
  玩家, INDEX(排序後,,1),
  唯一玩家, UNIQUE(玩家),
  結果,
    MAP(唯一玩家, LAMBDA(p,
      "&amp;"INDEX(FILTER(排序後, INDEX(排序後,,1)=p),1,0)
    )),
  表頭, {""Player玩家"",""Time時間"",""Car車種"",""Platform平台""},
  VSTACK(表頭, 結果)
)
"),"Player玩家")</f>
        <v>Player玩家</v>
      </c>
      <c r="F83" s="11" t="str">
        <f>IFERROR(__xludf.DUMMYFUNCTION("""COMPUTED_VALUE"""),"Time時間")</f>
        <v>Time時間</v>
      </c>
      <c r="G83" s="11" t="str">
        <f>IFERROR(__xludf.DUMMYFUNCTION("""COMPUTED_VALUE"""),"Car車種")</f>
        <v>Car車種</v>
      </c>
      <c r="H83" s="11" t="str">
        <f>IFERROR(__xludf.DUMMYFUNCTION("""COMPUTED_VALUE"""),"Platform平台")</f>
        <v>Platform平台</v>
      </c>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 r="A84" s="5" t="str">
        <f>IFERROR(__xludf.DUMMYFUNCTION("""COMPUTED_VALUE"""),"Kinokono_Tenka")</f>
        <v>Kinokono_Tenka</v>
      </c>
      <c r="B84" s="5">
        <f>IFERROR(__xludf.DUMMYFUNCTION("""COMPUTED_VALUE"""),0.0023247800925925923)</f>
        <v>0.002324780093</v>
      </c>
      <c r="C84" s="5" t="str">
        <f>IFERROR(__xludf.DUMMYFUNCTION("""COMPUTED_VALUE"""),"GC8-F (Impreza)")</f>
        <v>GC8-F (Impreza)</v>
      </c>
      <c r="D84" s="5" t="str">
        <f>IFERROR(__xludf.DUMMYFUNCTION("""COMPUTED_VALUE"""),"PCVR")</f>
        <v>PCVR</v>
      </c>
      <c r="E84" s="5" t="str">
        <f>IFERROR(__xludf.DUMMYFUNCTION("""COMPUTED_VALUE"""),"Kinokono_Tenka")</f>
        <v>Kinokono_Tenka</v>
      </c>
      <c r="F84" s="5">
        <f>IFERROR(__xludf.DUMMYFUNCTION("""COMPUTED_VALUE"""),0.0023247800925925923)</f>
        <v>0.002324780093</v>
      </c>
      <c r="G84" s="5" t="str">
        <f>IFERROR(__xludf.DUMMYFUNCTION("""COMPUTED_VALUE"""),"GC8-F (Impreza)")</f>
        <v>GC8-F (Impreza)</v>
      </c>
      <c r="H84" s="5" t="str">
        <f>IFERROR(__xludf.DUMMYFUNCTION("""COMPUTED_VALUE"""),"PCVR")</f>
        <v>PCVR</v>
      </c>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 r="A85" s="5" t="str">
        <f>IFERROR(__xludf.DUMMYFUNCTION("""COMPUTED_VALUE"""),"RedFrogss")</f>
        <v>RedFrogss</v>
      </c>
      <c r="B85" s="5">
        <f>IFERROR(__xludf.DUMMYFUNCTION("""COMPUTED_VALUE"""),0.002391400462962963)</f>
        <v>0.002391400463</v>
      </c>
      <c r="C85" s="5" t="str">
        <f>IFERROR(__xludf.DUMMYFUNCTION("""COMPUTED_VALUE"""),"S15")</f>
        <v>S15</v>
      </c>
      <c r="D85" s="5" t="str">
        <f>IFERROR(__xludf.DUMMYFUNCTION("""COMPUTED_VALUE"""),"PCVR")</f>
        <v>PCVR</v>
      </c>
      <c r="E85" s="5" t="str">
        <f>IFERROR(__xludf.DUMMYFUNCTION("""COMPUTED_VALUE"""),"RedFrogss")</f>
        <v>RedFrogss</v>
      </c>
      <c r="F85" s="5">
        <f>IFERROR(__xludf.DUMMYFUNCTION("""COMPUTED_VALUE"""),0.002409733796296296)</f>
        <v>0.002409733796</v>
      </c>
      <c r="G85" s="5" t="str">
        <f>IFERROR(__xludf.DUMMYFUNCTION("""COMPUTED_VALUE"""),"GC8-F (Impreza)")</f>
        <v>GC8-F (Impreza)</v>
      </c>
      <c r="H85" s="5" t="str">
        <f>IFERROR(__xludf.DUMMYFUNCTION("""COMPUTED_VALUE"""),"PCVR")</f>
        <v>PCVR</v>
      </c>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 r="A86" s="5" t="str">
        <f>IFERROR(__xludf.DUMMYFUNCTION("""COMPUTED_VALUE"""),"StarRiver Arts")</f>
        <v>StarRiver Arts</v>
      </c>
      <c r="B86" s="5">
        <f>IFERROR(__xludf.DUMMYFUNCTION("""COMPUTED_VALUE"""),0.0024396180555555556)</f>
        <v>0.002439618056</v>
      </c>
      <c r="C86" s="5" t="str">
        <f>IFERROR(__xludf.DUMMYFUNCTION("""COMPUTED_VALUE"""),"GC8-F (Impreza)")</f>
        <v>GC8-F (Impreza)</v>
      </c>
      <c r="D86" s="5" t="str">
        <f>IFERROR(__xludf.DUMMYFUNCTION("""COMPUTED_VALUE"""),"PC")</f>
        <v>PC</v>
      </c>
      <c r="E86" s="5" t="str">
        <f>IFERROR(__xludf.DUMMYFUNCTION("""COMPUTED_VALUE"""),"StarRiver Arts")</f>
        <v>StarRiver Arts</v>
      </c>
      <c r="F86" s="5">
        <f>IFERROR(__xludf.DUMMYFUNCTION("""COMPUTED_VALUE"""),0.0030210300925925925)</f>
        <v>0.003021030093</v>
      </c>
      <c r="G86" s="5" t="str">
        <f>IFERROR(__xludf.DUMMYFUNCTION("""COMPUTED_VALUE"""),"AE86T-V2")</f>
        <v>AE86T-V2</v>
      </c>
      <c r="H86" s="5" t="str">
        <f>IFERROR(__xludf.DUMMYFUNCTION("""COMPUTED_VALUE"""),"PC")</f>
        <v>PC</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 r="A87" s="5" t="str">
        <f>IFERROR(__xludf.DUMMYFUNCTION("""COMPUTED_VALUE"""),"Test Driver")</f>
        <v>Test Driver</v>
      </c>
      <c r="B87" s="5">
        <f>IFERROR(__xludf.DUMMYFUNCTION("""COMPUTED_VALUE"""),0.006944444444444444)</f>
        <v>0.006944444444</v>
      </c>
      <c r="C87" s="5" t="str">
        <f>IFERROR(__xludf.DUMMYFUNCTION("""COMPUTED_VALUE"""),"AE85")</f>
        <v>AE85</v>
      </c>
      <c r="D87" s="5"/>
      <c r="E87" s="5" t="str">
        <f>IFERROR(__xludf.DUMMYFUNCTION("""COMPUTED_VALUE"""),"Test Driver")</f>
        <v>Test Driver</v>
      </c>
      <c r="F87" s="5">
        <f>IFERROR(__xludf.DUMMYFUNCTION("""COMPUTED_VALUE"""),0.006944444444444444)</f>
        <v>0.006944444444</v>
      </c>
      <c r="G87" s="5" t="str">
        <f>IFERROR(__xludf.DUMMYFUNCTION("""COMPUTED_VALUE"""),"FD3S (RX7)")</f>
        <v>FD3S (RX7)</v>
      </c>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 r="A93" s="5"/>
      <c r="B93" s="5"/>
      <c r="C93" s="5"/>
      <c r="D93" s="5"/>
      <c r="E93" s="5"/>
      <c r="F93" s="5"/>
      <c r="G93" s="5"/>
      <c r="H93" s="5"/>
      <c r="I93" s="34" t="s">
        <v>44</v>
      </c>
      <c r="Q93" s="35" t="s">
        <v>45</v>
      </c>
      <c r="Y93" s="5"/>
      <c r="Z93" s="5"/>
      <c r="AA93" s="5"/>
      <c r="AB93" s="5"/>
      <c r="AC93" s="5"/>
      <c r="AD93" s="5"/>
      <c r="AE93" s="5"/>
      <c r="AF93" s="5"/>
      <c r="AG93" s="5"/>
      <c r="AH93" s="5"/>
      <c r="AI93" s="5"/>
      <c r="AJ93" s="5"/>
      <c r="AK93" s="5"/>
      <c r="AL93" s="5"/>
    </row>
    <row r="94">
      <c r="A94" s="5"/>
      <c r="B94" s="5"/>
      <c r="C94" s="5"/>
      <c r="D94" s="5"/>
      <c r="E94" s="5"/>
      <c r="F94" s="5"/>
      <c r="G94" s="5"/>
      <c r="H94" s="5"/>
      <c r="I94" s="22" t="s">
        <v>46</v>
      </c>
      <c r="M94" s="22" t="s">
        <v>47</v>
      </c>
      <c r="Q94" s="22" t="s">
        <v>48</v>
      </c>
      <c r="U94" s="22"/>
      <c r="Y94" s="5"/>
      <c r="Z94" s="5"/>
      <c r="AA94" s="5"/>
      <c r="AB94" s="5"/>
      <c r="AC94" s="5"/>
      <c r="AD94" s="5"/>
      <c r="AE94" s="5"/>
      <c r="AF94" s="5"/>
      <c r="AG94" s="5"/>
      <c r="AH94" s="5"/>
      <c r="AI94" s="5"/>
      <c r="AJ94" s="5"/>
      <c r="AK94" s="5"/>
      <c r="AL94" s="5"/>
    </row>
    <row r="95">
      <c r="A95" s="36" t="s">
        <v>49</v>
      </c>
      <c r="E95" s="36" t="s">
        <v>50</v>
      </c>
      <c r="I95" s="11" t="str">
        <f>IFERROR(__xludf.DUMMYFUNCTION("LET(
  賽道, ""Kamidomarizaka"",
  路線, ""DH"",
  系統, ""CVS"",
  原始, FILTER('歷史紀錄'!$E$2:$H1168, '歷史紀錄'!$B$2:$B1168=賽道, '歷史紀錄'!$C$2:$C1168=路線, '歷史紀錄'!$I$2:$I1168=系統),
  排序後, SORT(原始, 2, TRUE),
  玩家, INDEX(排序後,,1),
  唯一玩家, UNIQUE(玩家),
  結果,
    MAP(唯一玩家, LAMBD"&amp;"A(p,
      INDEX(FILTER(排序後, INDEX(排序後,,1)=p),1,0)
    )),
  表頭, {""Player玩家"",""Time時間"",""Car車種"",""Platform平台""},
  VSTACK(表頭, 結果)
)
"),"Player玩家")</f>
        <v>Player玩家</v>
      </c>
      <c r="J95" s="11" t="str">
        <f>IFERROR(__xludf.DUMMYFUNCTION("""COMPUTED_VALUE"""),"Time時間")</f>
        <v>Time時間</v>
      </c>
      <c r="K95" s="11" t="str">
        <f>IFERROR(__xludf.DUMMYFUNCTION("""COMPUTED_VALUE"""),"Car車種")</f>
        <v>Car車種</v>
      </c>
      <c r="L95" s="11" t="str">
        <f>IFERROR(__xludf.DUMMYFUNCTION("""COMPUTED_VALUE"""),"Platform平台")</f>
        <v>Platform平台</v>
      </c>
      <c r="M95" s="11" t="str">
        <f>IFERROR(__xludf.DUMMYFUNCTION("LET(
  賽道, ""Futatsukane"",
  路線, ""CC"",
  系統, ""CVS"",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N95" s="11" t="str">
        <f>IFERROR(__xludf.DUMMYFUNCTION("""COMPUTED_VALUE"""),"Time時間")</f>
        <v>Time時間</v>
      </c>
      <c r="O95" s="11" t="str">
        <f>IFERROR(__xludf.DUMMYFUNCTION("""COMPUTED_VALUE"""),"Car車種")</f>
        <v>Car車種</v>
      </c>
      <c r="P95" s="11" t="str">
        <f>IFERROR(__xludf.DUMMYFUNCTION("""COMPUTED_VALUE"""),"Platform平台")</f>
        <v>Platform平台</v>
      </c>
      <c r="Q95" s="5"/>
      <c r="R95" s="5"/>
      <c r="S95" s="5"/>
      <c r="T95" s="5"/>
      <c r="U95" s="5"/>
      <c r="V95" s="5"/>
      <c r="W95" s="5"/>
      <c r="X95" s="5"/>
      <c r="Y95" s="5"/>
      <c r="Z95" s="5"/>
      <c r="AA95" s="5"/>
      <c r="AB95" s="5"/>
      <c r="AC95" s="5"/>
      <c r="AD95" s="5"/>
      <c r="AE95" s="5"/>
      <c r="AF95" s="5"/>
      <c r="AG95" s="5"/>
      <c r="AH95" s="5"/>
      <c r="AI95" s="5"/>
      <c r="AJ95" s="5"/>
      <c r="AK95" s="5"/>
      <c r="AL95" s="5"/>
    </row>
    <row r="96">
      <c r="A96" s="11" t="str">
        <f>IFERROR(__xludf.DUMMYFUNCTION("LET(
  賽道, ""Usui V1"",
  路線, ""CW"",
  系統, ""Sacc"",
  原始, FILTER('歷史紀錄'!E21:H1168, '歷史紀錄'!B21:B1168=賽道, '歷史紀錄'!C21:C1168=路線, '歷史紀錄'!I21:I1168=系統),
  排序後, SORT(原始, 2, TRUE),
  玩家, INDEX(排序後,,1),
  唯一玩家, UNIQUE(玩家),
  結果,
    MAP(唯一玩家, LAMBDA(p,
      IND"&amp;"EX(FILTER(排序後, INDEX(排序後,,1)=p),1,0)
    )),
  表頭, {""Player玩家"",""Time時間"",""Car車種"",""Platform平台""},
  VSTACK(表頭, 結果)
)
"),"Player玩家")</f>
        <v>Player玩家</v>
      </c>
      <c r="B96" s="11" t="str">
        <f>IFERROR(__xludf.DUMMYFUNCTION("""COMPUTED_VALUE"""),"Time時間")</f>
        <v>Time時間</v>
      </c>
      <c r="C96" s="11" t="str">
        <f>IFERROR(__xludf.DUMMYFUNCTION("""COMPUTED_VALUE"""),"Car車種")</f>
        <v>Car車種</v>
      </c>
      <c r="D96" s="11" t="str">
        <f>IFERROR(__xludf.DUMMYFUNCTION("""COMPUTED_VALUE"""),"Platform平台")</f>
        <v>Platform平台</v>
      </c>
      <c r="E96" s="11" t="str">
        <f>IFERROR(__xludf.DUMMYFUNCTION("LET(
  賽道, ""Usui V1"",
  路線, ""CC"",
  系統, ""Sacc"",
  原始, FILTER('歷史紀錄'!E21:H1168, '歷史紀錄'!B21:B1168=賽道, '歷史紀錄'!C21:C1168=路線, '歷史紀錄'!I21:I1168=系統),
  排序後, SORT(原始, 2, TRUE),
  玩家, INDEX(排序後,,1),
  唯一玩家, UNIQUE(玩家),
  結果,
    MAP(唯一玩家, LAMBDA(p,
      IND"&amp;"EX(FILTER(排序後, INDEX(排序後,,1)=p),1,0)
    )),
  表頭, {""Player玩家"",""Time時間"",""Car車種"",""Platform平台""},
  VSTACK(表頭, 結果)
)
"),"Player玩家")</f>
        <v>Player玩家</v>
      </c>
      <c r="F96" s="11" t="str">
        <f>IFERROR(__xludf.DUMMYFUNCTION("""COMPUTED_VALUE"""),"Time時間")</f>
        <v>Time時間</v>
      </c>
      <c r="G96" s="11" t="str">
        <f>IFERROR(__xludf.DUMMYFUNCTION("""COMPUTED_VALUE"""),"Car車種")</f>
        <v>Car車種</v>
      </c>
      <c r="H96" s="11" t="str">
        <f>IFERROR(__xludf.DUMMYFUNCTION("""COMPUTED_VALUE"""),"Platform平台")</f>
        <v>Platform平台</v>
      </c>
      <c r="I96" s="5" t="str">
        <f>IFERROR(__xludf.DUMMYFUNCTION("""COMPUTED_VALUE"""),"BannRaven")</f>
        <v>BannRaven</v>
      </c>
      <c r="J96" s="5">
        <f>IFERROR(__xludf.DUMMYFUNCTION("""COMPUTED_VALUE"""),0.0015639004629629631)</f>
        <v>0.001563900463</v>
      </c>
      <c r="K96" s="5" t="str">
        <f>IFERROR(__xludf.DUMMYFUNCTION("""COMPUTED_VALUE"""),"NSX")</f>
        <v>NSX</v>
      </c>
      <c r="L96" s="5" t="str">
        <f>IFERROR(__xludf.DUMMYFUNCTION("""COMPUTED_VALUE"""),"PCVR")</f>
        <v>PCVR</v>
      </c>
      <c r="M96" s="5" t="str">
        <f>IFERROR(__xludf.DUMMYFUNCTION("""COMPUTED_VALUE"""),"redfrogss")</f>
        <v>redfrogss</v>
      </c>
      <c r="N96" s="5">
        <f>IFERROR(__xludf.DUMMYFUNCTION("""COMPUTED_VALUE"""),0.0032091087962962963)</f>
        <v>0.003209108796</v>
      </c>
      <c r="O96" s="5" t="str">
        <f>IFERROR(__xludf.DUMMYFUNCTION("""COMPUTED_VALUE"""),"Wonder-ATTACK-1")</f>
        <v>Wonder-ATTACK-1</v>
      </c>
      <c r="P96" s="5" t="str">
        <f>IFERROR(__xludf.DUMMYFUNCTION("""COMPUTED_VALUE"""),"PCVR")</f>
        <v>PCVR</v>
      </c>
      <c r="Q96" s="5"/>
      <c r="R96" s="5"/>
      <c r="S96" s="5"/>
      <c r="T96" s="5"/>
      <c r="U96" s="5"/>
      <c r="V96" s="5"/>
      <c r="W96" s="5"/>
      <c r="X96" s="5"/>
      <c r="Y96" s="5"/>
      <c r="Z96" s="5"/>
      <c r="AA96" s="5"/>
      <c r="AB96" s="5"/>
      <c r="AC96" s="5"/>
      <c r="AD96" s="5"/>
      <c r="AE96" s="5"/>
      <c r="AF96" s="5"/>
      <c r="AG96" s="5"/>
      <c r="AH96" s="5"/>
      <c r="AI96" s="5"/>
      <c r="AJ96" s="5"/>
      <c r="AK96" s="5"/>
      <c r="AL96" s="5"/>
    </row>
    <row r="97">
      <c r="A97" s="5" t="str">
        <f>IFERROR(__xludf.DUMMYFUNCTION("""COMPUTED_VALUE"""),"Lolidia")</f>
        <v>Lolidia</v>
      </c>
      <c r="B97" s="5">
        <f>IFERROR(__xludf.DUMMYFUNCTION("""COMPUTED_VALUE"""),0.002216678240740741)</f>
        <v>0.002216678241</v>
      </c>
      <c r="C97" s="5" t="str">
        <f>IFERROR(__xludf.DUMMYFUNCTION("""COMPUTED_VALUE"""),"ER34")</f>
        <v>ER34</v>
      </c>
      <c r="D97" s="5" t="str">
        <f>IFERROR(__xludf.DUMMYFUNCTION("""COMPUTED_VALUE"""),"PCVR")</f>
        <v>PCVR</v>
      </c>
      <c r="E97" s="5" t="str">
        <f>IFERROR(__xludf.DUMMYFUNCTION("""COMPUTED_VALUE"""),"Test Driver")</f>
        <v>Test Driver</v>
      </c>
      <c r="F97" s="5">
        <f>IFERROR(__xludf.DUMMYFUNCTION("""COMPUTED_VALUE"""),0.006944444444444444)</f>
        <v>0.006944444444</v>
      </c>
      <c r="G97" s="5" t="str">
        <f>IFERROR(__xludf.DUMMYFUNCTION("""COMPUTED_VALUE"""),"EA11R (Cappuccino)")</f>
        <v>EA11R (Cappuccino)</v>
      </c>
      <c r="H97" s="5"/>
      <c r="I97" s="5"/>
      <c r="J97" s="5"/>
      <c r="K97" s="5"/>
      <c r="L97" s="5"/>
      <c r="M97" s="5" t="str">
        <f>IFERROR(__xludf.DUMMYFUNCTION("""COMPUTED_VALUE"""),"BannRaven")</f>
        <v>BannRaven</v>
      </c>
      <c r="N97" s="5">
        <f>IFERROR(__xludf.DUMMYFUNCTION("""COMPUTED_VALUE"""),0.003347800925925926)</f>
        <v>0.003347800926</v>
      </c>
      <c r="O97" s="5" t="str">
        <f>IFERROR(__xludf.DUMMYFUNCTION("""COMPUTED_VALUE"""),"NSX")</f>
        <v>NSX</v>
      </c>
      <c r="P97" s="5" t="str">
        <f>IFERROR(__xludf.DUMMYFUNCTION("""COMPUTED_VALUE"""),"PCVR")</f>
        <v>PCVR</v>
      </c>
      <c r="Q97" s="5"/>
      <c r="R97" s="5"/>
      <c r="S97" s="5"/>
      <c r="T97" s="5"/>
      <c r="U97" s="5"/>
      <c r="V97" s="5"/>
      <c r="W97" s="5"/>
      <c r="X97" s="5"/>
      <c r="Y97" s="5"/>
      <c r="Z97" s="5"/>
      <c r="AA97" s="5"/>
      <c r="AB97" s="5"/>
      <c r="AC97" s="5"/>
      <c r="AD97" s="5"/>
      <c r="AE97" s="5"/>
      <c r="AF97" s="5"/>
      <c r="AG97" s="5"/>
      <c r="AH97" s="5"/>
      <c r="AI97" s="5"/>
      <c r="AJ97" s="5"/>
      <c r="AK97" s="5"/>
      <c r="AL97" s="5"/>
    </row>
    <row r="98">
      <c r="A98" s="5" t="str">
        <f>IFERROR(__xludf.DUMMYFUNCTION("""COMPUTED_VALUE"""),"ikuhopen")</f>
        <v>ikuhopen</v>
      </c>
      <c r="B98" s="5">
        <f>IFERROR(__xludf.DUMMYFUNCTION("""COMPUTED_VALUE"""),0.0024279282407407405)</f>
        <v>0.002427928241</v>
      </c>
      <c r="C98" s="5" t="str">
        <f>IFERROR(__xludf.DUMMYFUNCTION("""COMPUTED_VALUE"""),"SilEighty")</f>
        <v>SilEighty</v>
      </c>
      <c r="D98" s="5" t="str">
        <f>IFERROR(__xludf.DUMMYFUNCTION("""COMPUTED_VALUE"""),"PCVR")</f>
        <v>PCVR</v>
      </c>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 r="A99" s="5" t="str">
        <f>IFERROR(__xludf.DUMMYFUNCTION("""COMPUTED_VALUE"""),"アビドサスヒカリ")</f>
        <v>アビドサスヒカリ</v>
      </c>
      <c r="B99" s="5">
        <f>IFERROR(__xludf.DUMMYFUNCTION("""COMPUTED_VALUE"""),0.0025139467592592596)</f>
        <v>0.002513946759</v>
      </c>
      <c r="C99" s="5" t="str">
        <f>IFERROR(__xludf.DUMMYFUNCTION("""COMPUTED_VALUE"""),"FD3S (RX7)")</f>
        <v>FD3S (RX7)</v>
      </c>
      <c r="D99" s="5" t="str">
        <f>IFERROR(__xludf.DUMMYFUNCTION("""COMPUTED_VALUE"""),"PC")</f>
        <v>PC</v>
      </c>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 r="A100" s="5" t="str">
        <f>IFERROR(__xludf.DUMMYFUNCTION("""COMPUTED_VALUE"""),"StarRiver Arts")</f>
        <v>StarRiver Arts</v>
      </c>
      <c r="B100" s="5">
        <f>IFERROR(__xludf.DUMMYFUNCTION("""COMPUTED_VALUE"""),0.0026026273148148146)</f>
        <v>0.002602627315</v>
      </c>
      <c r="C100" s="5" t="str">
        <f>IFERROR(__xludf.DUMMYFUNCTION("""COMPUTED_VALUE"""),"ER34 (R34 23GT Turbo)")</f>
        <v>ER34 (R34 23GT Turbo)</v>
      </c>
      <c r="D100" s="5" t="str">
        <f>IFERROR(__xludf.DUMMYFUNCTION("""COMPUTED_VALUE"""),"PC")</f>
        <v>PC</v>
      </c>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 r="A101" s="5" t="str">
        <f>IFERROR(__xludf.DUMMYFUNCTION("""COMPUTED_VALUE"""),"Yuanji Deca")</f>
        <v>Yuanji Deca</v>
      </c>
      <c r="B101" s="5">
        <f>IFERROR(__xludf.DUMMYFUNCTION("""COMPUTED_VALUE"""),0.0026473263888888887)</f>
        <v>0.002647326389</v>
      </c>
      <c r="C101" s="5" t="str">
        <f>IFERROR(__xludf.DUMMYFUNCTION("""COMPUTED_VALUE"""),"SilEighty")</f>
        <v>SilEighty</v>
      </c>
      <c r="D101" s="5" t="str">
        <f>IFERROR(__xludf.DUMMYFUNCTION("""COMPUTED_VALUE"""),"PC")</f>
        <v>PC</v>
      </c>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 r="A102" s="5" t="str">
        <f>IFERROR(__xludf.DUMMYFUNCTION("""COMPUTED_VALUE"""),"Sakanakokokoko")</f>
        <v>Sakanakokokoko</v>
      </c>
      <c r="B102" s="5">
        <f>IFERROR(__xludf.DUMMYFUNCTION("""COMPUTED_VALUE"""),0.002955243055555555)</f>
        <v>0.002955243056</v>
      </c>
      <c r="C102" s="5" t="str">
        <f>IFERROR(__xludf.DUMMYFUNCTION("""COMPUTED_VALUE"""),"NA6CE (Mx5 Roadster)")</f>
        <v>NA6CE (Mx5 Roadster)</v>
      </c>
      <c r="D102" s="5" t="str">
        <f>IFERROR(__xludf.DUMMYFUNCTION("""COMPUTED_VALUE"""),"PC")</f>
        <v>PC</v>
      </c>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 r="A103" s="5" t="str">
        <f>IFERROR(__xludf.DUMMYFUNCTION("""COMPUTED_VALUE"""),"Test Driver")</f>
        <v>Test Driver</v>
      </c>
      <c r="B103" s="5">
        <f>IFERROR(__xludf.DUMMYFUNCTION("""COMPUTED_VALUE"""),0.006944444444444444)</f>
        <v>0.006944444444</v>
      </c>
      <c r="C103" s="5" t="str">
        <f>IFERROR(__xludf.DUMMYFUNCTION("""COMPUTED_VALUE"""),"AE86L")</f>
        <v>AE86L</v>
      </c>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 r="A104" s="36" t="s">
        <v>51</v>
      </c>
      <c r="E104" s="36" t="s">
        <v>52</v>
      </c>
      <c r="I104" s="22" t="s">
        <v>53</v>
      </c>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 r="A105" s="11" t="str">
        <f>IFERROR(__xludf.DUMMYFUNCTION("LET(
  賽道, ""Usui V2"",
  路線, ""CW"",
  系統, ""Sacc"",
  原始, FILTER('歷史紀錄'!E21:H1168, '歷史紀錄'!B21:B1168=賽道, '歷史紀錄'!C21:C1168=路線, '歷史紀錄'!I21:I1168=系統),
  排序後, SORT(原始, 2, TRUE),
  玩家, INDEX(排序後,,1),
  唯一玩家, UNIQUE(玩家),
  結果,
    MAP(唯一玩家, LAMBDA(p,
      IND"&amp;"EX(FILTER(排序後, INDEX(排序後,,1)=p),1,0)
    )),
  表頭, {""Player玩家"",""Time時間"",""Car車種"",""Platform平台""},
  VSTACK(表頭, 結果)
)
"),"Player玩家")</f>
        <v>Player玩家</v>
      </c>
      <c r="B105" s="11" t="str">
        <f>IFERROR(__xludf.DUMMYFUNCTION("""COMPUTED_VALUE"""),"Time時間")</f>
        <v>Time時間</v>
      </c>
      <c r="C105" s="11" t="str">
        <f>IFERROR(__xludf.DUMMYFUNCTION("""COMPUTED_VALUE"""),"Car車種")</f>
        <v>Car車種</v>
      </c>
      <c r="D105" s="11" t="str">
        <f>IFERROR(__xludf.DUMMYFUNCTION("""COMPUTED_VALUE"""),"Platform平台")</f>
        <v>Platform平台</v>
      </c>
      <c r="E105" s="11" t="str">
        <f>IFERROR(__xludf.DUMMYFUNCTION("LET(
  賽道, ""Usui V2"",
  路線, ""CC"",
  系統, ""Sacc"",
  原始, FILTER('歷史紀錄'!E21:H1168, '歷史紀錄'!B21:B1168=賽道, '歷史紀錄'!C21:C1168=路線, '歷史紀錄'!I21:I1168=系統),
  排序後, SORT(原始, 2, TRUE),
  玩家, INDEX(排序後,,1),
  唯一玩家, UNIQUE(玩家),
  結果,
    MAP(唯一玩家, LAMBDA(p,
      IND"&amp;"EX(FILTER(排序後, INDEX(排序後,,1)=p),1,0)
    )),
  表頭, {""Player玩家"",""Time時間"",""Car車種"",""Platform平台""},
  VSTACK(表頭, 結果)
)
"),"Player玩家")</f>
        <v>Player玩家</v>
      </c>
      <c r="F105" s="11" t="str">
        <f>IFERROR(__xludf.DUMMYFUNCTION("""COMPUTED_VALUE"""),"Time時間")</f>
        <v>Time時間</v>
      </c>
      <c r="G105" s="11" t="str">
        <f>IFERROR(__xludf.DUMMYFUNCTION("""COMPUTED_VALUE"""),"Car車種")</f>
        <v>Car車種</v>
      </c>
      <c r="H105" s="11" t="str">
        <f>IFERROR(__xludf.DUMMYFUNCTION("""COMPUTED_VALUE"""),"Platform平台")</f>
        <v>Platform平台</v>
      </c>
      <c r="I105" s="11" t="str">
        <f>IFERROR(__xludf.DUMMYFUNCTION("LET(
  賽道, ""Ryuoukouzan"",
  路線, ""DH"",
  系統, ""CVS"",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J105" s="11" t="str">
        <f>IFERROR(__xludf.DUMMYFUNCTION("""COMPUTED_VALUE"""),"Time時間")</f>
        <v>Time時間</v>
      </c>
      <c r="K105" s="11" t="str">
        <f>IFERROR(__xludf.DUMMYFUNCTION("""COMPUTED_VALUE"""),"Car車種")</f>
        <v>Car車種</v>
      </c>
      <c r="L105" s="11" t="str">
        <f>IFERROR(__xludf.DUMMYFUNCTION("""COMPUTED_VALUE"""),"Platform平台")</f>
        <v>Platform平台</v>
      </c>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 r="A106" s="5" t="str">
        <f>IFERROR(__xludf.DUMMYFUNCTION("""COMPUTED_VALUE"""),"StarRiver Arts")</f>
        <v>StarRiver Arts</v>
      </c>
      <c r="B106" s="5">
        <f>IFERROR(__xludf.DUMMYFUNCTION("""COMPUTED_VALUE"""),0.002518703703703704)</f>
        <v>0.002518703704</v>
      </c>
      <c r="C106" s="5" t="str">
        <f>IFERROR(__xludf.DUMMYFUNCTION("""COMPUTED_VALUE"""),"SilEighty")</f>
        <v>SilEighty</v>
      </c>
      <c r="D106" s="5" t="str">
        <f>IFERROR(__xludf.DUMMYFUNCTION("""COMPUTED_VALUE"""),"PC")</f>
        <v>PC</v>
      </c>
      <c r="E106" s="5" t="str">
        <f>IFERROR(__xludf.DUMMYFUNCTION("""COMPUTED_VALUE"""),"StarRiver Arts")</f>
        <v>StarRiver Arts</v>
      </c>
      <c r="F106" s="5">
        <f>IFERROR(__xludf.DUMMYFUNCTION("""COMPUTED_VALUE"""),0.0025381944444444445)</f>
        <v>0.002538194444</v>
      </c>
      <c r="G106" s="5" t="str">
        <f>IFERROR(__xludf.DUMMYFUNCTION("""COMPUTED_VALUE"""),"EVOX/CZ4A")</f>
        <v>EVOX/CZ4A</v>
      </c>
      <c r="H106" s="5" t="str">
        <f>IFERROR(__xludf.DUMMYFUNCTION("""COMPUTED_VALUE"""),"PC")</f>
        <v>PC</v>
      </c>
      <c r="I106" s="5" t="str">
        <f>IFERROR(__xludf.DUMMYFUNCTION("""COMPUTED_VALUE"""),"Lolidia")</f>
        <v>Lolidia</v>
      </c>
      <c r="J106" s="5">
        <f>IFERROR(__xludf.DUMMYFUNCTION("""COMPUTED_VALUE"""),0.0012001041666666666)</f>
        <v>0.001200104167</v>
      </c>
      <c r="K106" s="5" t="str">
        <f>IFERROR(__xludf.DUMMYFUNCTION("""COMPUTED_VALUE"""),"GC8-Attack")</f>
        <v>GC8-Attack</v>
      </c>
      <c r="L106" s="5" t="str">
        <f>IFERROR(__xludf.DUMMYFUNCTION("""COMPUTED_VALUE"""),"PCVR")</f>
        <v>PCVR</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 r="A107" s="5" t="str">
        <f>IFERROR(__xludf.DUMMYFUNCTION("""COMPUTED_VALUE"""),"LinWu_05")</f>
        <v>LinWu_05</v>
      </c>
      <c r="B107" s="5">
        <f>IFERROR(__xludf.DUMMYFUNCTION("""COMPUTED_VALUE"""),0.0026306018518518514)</f>
        <v>0.002630601852</v>
      </c>
      <c r="C107" s="5" t="str">
        <f>IFERROR(__xludf.DUMMYFUNCTION("""COMPUTED_VALUE"""),"380SX")</f>
        <v>380SX</v>
      </c>
      <c r="D107" s="5" t="str">
        <f>IFERROR(__xludf.DUMMYFUNCTION("""COMPUTED_VALUE"""),"PC")</f>
        <v>PC</v>
      </c>
      <c r="E107" s="5" t="str">
        <f>IFERROR(__xludf.DUMMYFUNCTION("""COMPUTED_VALUE"""),"LinWu_05")</f>
        <v>LinWu_05</v>
      </c>
      <c r="F107" s="5">
        <f>IFERROR(__xludf.DUMMYFUNCTION("""COMPUTED_VALUE"""),0.0026084143518518518)</f>
        <v>0.002608414352</v>
      </c>
      <c r="G107" s="5" t="str">
        <f>IFERROR(__xludf.DUMMYFUNCTION("""COMPUTED_VALUE"""),"380SX")</f>
        <v>380SX</v>
      </c>
      <c r="H107" s="5" t="str">
        <f>IFERROR(__xludf.DUMMYFUNCTION("""COMPUTED_VALUE"""),"PC")</f>
        <v>PC</v>
      </c>
      <c r="I107" s="5" t="str">
        <f>IFERROR(__xludf.DUMMYFUNCTION("""COMPUTED_VALUE"""),"菲娜 希琉絲")</f>
        <v>菲娜 希琉絲</v>
      </c>
      <c r="J107" s="5">
        <f>IFERROR(__xludf.DUMMYFUNCTION("""COMPUTED_VALUE"""),0.0012993865740740741)</f>
        <v>0.001299386574</v>
      </c>
      <c r="K107" s="5" t="str">
        <f>IFERROR(__xludf.DUMMYFUNCTION("""COMPUTED_VALUE"""),"SuptokaV80B-Attack")</f>
        <v>SuptokaV80B-Attack</v>
      </c>
      <c r="L107" s="5" t="str">
        <f>IFERROR(__xludf.DUMMYFUNCTION("""COMPUTED_VALUE"""),"PCVR")</f>
        <v>PCVR</v>
      </c>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 r="A108" s="5" t="str">
        <f>IFERROR(__xludf.DUMMYFUNCTION("""COMPUTED_VALUE"""),"アビドサスヒカリ")</f>
        <v>アビドサスヒカリ</v>
      </c>
      <c r="B108" s="5">
        <f>IFERROR(__xludf.DUMMYFUNCTION("""COMPUTED_VALUE"""),0.0026407291666666667)</f>
        <v>0.002640729167</v>
      </c>
      <c r="C108" s="5" t="str">
        <f>IFERROR(__xludf.DUMMYFUNCTION("""COMPUTED_VALUE"""),"GR86/ZN8")</f>
        <v>GR86/ZN8</v>
      </c>
      <c r="D108" s="5" t="str">
        <f>IFERROR(__xludf.DUMMYFUNCTION("""COMPUTED_VALUE"""),"PC")</f>
        <v>PC</v>
      </c>
      <c r="E108" s="5" t="str">
        <f>IFERROR(__xludf.DUMMYFUNCTION("""COMPUTED_VALUE"""),"Test Driver")</f>
        <v>Test Driver</v>
      </c>
      <c r="F108" s="5">
        <f>IFERROR(__xludf.DUMMYFUNCTION("""COMPUTED_VALUE"""),0.006944444444444444)</f>
        <v>0.006944444444</v>
      </c>
      <c r="G108" s="5" t="str">
        <f>IFERROR(__xludf.DUMMYFUNCTION("""COMPUTED_VALUE"""),"GR86/ZN8")</f>
        <v>GR86/ZN8</v>
      </c>
      <c r="H108" s="5"/>
      <c r="I108" s="5" t="str">
        <f>IFERROR(__xludf.DUMMYFUNCTION("""COMPUTED_VALUE"""),"Yukira雪夜")</f>
        <v>Yukira雪夜</v>
      </c>
      <c r="J108" s="5">
        <f>IFERROR(__xludf.DUMMYFUNCTION("""COMPUTED_VALUE"""),0.0013045949074074073)</f>
        <v>0.001304594907</v>
      </c>
      <c r="K108" s="5" t="str">
        <f>IFERROR(__xludf.DUMMYFUNCTION("""COMPUTED_VALUE"""),"LE8-Attack")</f>
        <v>LE8-Attack</v>
      </c>
      <c r="L108" s="5" t="str">
        <f>IFERROR(__xludf.DUMMYFUNCTION("""COMPUTED_VALUE"""),"PCVR")</f>
        <v>PCVR</v>
      </c>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 r="A109" s="5" t="str">
        <f>IFERROR(__xludf.DUMMYFUNCTION("""COMPUTED_VALUE"""),"Test Driver")</f>
        <v>Test Driver</v>
      </c>
      <c r="B109" s="5">
        <f>IFERROR(__xludf.DUMMYFUNCTION("""COMPUTED_VALUE"""),0.006944444444444444)</f>
        <v>0.006944444444</v>
      </c>
      <c r="C109" s="5" t="str">
        <f>IFERROR(__xludf.DUMMYFUNCTION("""COMPUTED_VALUE"""),"EVOX/CZ4A")</f>
        <v>EVOX/CZ4A</v>
      </c>
      <c r="D109" s="5"/>
      <c r="E109" s="5"/>
      <c r="F109" s="5"/>
      <c r="G109" s="5"/>
      <c r="H109" s="5"/>
      <c r="I109" s="5" t="str">
        <f>IFERROR(__xludf.DUMMYFUNCTION("""COMPUTED_VALUE"""),"夜者")</f>
        <v>夜者</v>
      </c>
      <c r="J109" s="5">
        <f>IFERROR(__xludf.DUMMYFUNCTION("""COMPUTED_VALUE"""),0.0013298611111111113)</f>
        <v>0.001329861111</v>
      </c>
      <c r="K109" s="5" t="str">
        <f>IFERROR(__xludf.DUMMYFUNCTION("""COMPUTED_VALUE"""),"GtR34-Attack")</f>
        <v>GtR34-Attack</v>
      </c>
      <c r="L109" s="5" t="str">
        <f>IFERROR(__xludf.DUMMYFUNCTION("""COMPUTED_VALUE"""),"PCVR")</f>
        <v>PCVR</v>
      </c>
      <c r="M109" s="12"/>
      <c r="N109" s="5"/>
      <c r="O109" s="5"/>
      <c r="P109" s="5"/>
      <c r="Q109" s="35" t="s">
        <v>54</v>
      </c>
      <c r="Y109" s="5"/>
      <c r="Z109" s="5"/>
      <c r="AA109" s="5"/>
      <c r="AB109" s="5"/>
      <c r="AC109" s="5"/>
      <c r="AD109" s="5"/>
      <c r="AE109" s="5"/>
      <c r="AF109" s="5"/>
      <c r="AG109" s="5"/>
      <c r="AH109" s="5"/>
      <c r="AI109" s="5"/>
      <c r="AJ109" s="5"/>
      <c r="AK109" s="5"/>
      <c r="AL109" s="5"/>
    </row>
    <row r="110">
      <c r="A110" s="5"/>
      <c r="B110" s="5"/>
      <c r="C110" s="5"/>
      <c r="D110" s="5"/>
      <c r="E110" s="12"/>
      <c r="F110" s="12"/>
      <c r="G110" s="12"/>
      <c r="H110" s="12"/>
      <c r="I110" s="5" t="str">
        <f>IFERROR(__xludf.DUMMYFUNCTION("""COMPUTED_VALUE"""),"Yang路人")</f>
        <v>Yang路人</v>
      </c>
      <c r="J110" s="5">
        <f>IFERROR(__xludf.DUMMYFUNCTION("""COMPUTED_VALUE"""),0.0013755092592592593)</f>
        <v>0.001375509259</v>
      </c>
      <c r="K110" s="5" t="str">
        <f>IFERROR(__xludf.DUMMYFUNCTION("""COMPUTED_VALUE"""),"FD3S-Aspec")</f>
        <v>FD3S-Aspec</v>
      </c>
      <c r="L110" s="5" t="str">
        <f>IFERROR(__xludf.DUMMYFUNCTION("""COMPUTED_VALUE"""),"PCVR")</f>
        <v>PCVR</v>
      </c>
      <c r="M110" s="5"/>
      <c r="N110" s="5"/>
      <c r="O110" s="5"/>
      <c r="P110" s="5"/>
      <c r="Q110" s="37" t="s">
        <v>55</v>
      </c>
      <c r="V110" s="5"/>
      <c r="W110" s="5"/>
      <c r="X110" s="5"/>
      <c r="Y110" s="5"/>
      <c r="Z110" s="5"/>
      <c r="AA110" s="5"/>
      <c r="AB110" s="5"/>
      <c r="AC110" s="5"/>
      <c r="AD110" s="5"/>
      <c r="AE110" s="5"/>
      <c r="AF110" s="5"/>
      <c r="AG110" s="5"/>
      <c r="AH110" s="5"/>
      <c r="AI110" s="5"/>
      <c r="AJ110" s="5"/>
      <c r="AK110" s="5"/>
      <c r="AL110" s="5"/>
    </row>
    <row r="111">
      <c r="A111" s="5"/>
      <c r="B111" s="5"/>
      <c r="C111" s="5"/>
      <c r="D111" s="5"/>
      <c r="E111" s="5"/>
      <c r="F111" s="5"/>
      <c r="G111" s="5"/>
      <c r="H111" s="5"/>
      <c r="I111" s="5" t="str">
        <f>IFERROR(__xludf.DUMMYFUNCTION("""COMPUTED_VALUE"""),"熾花")</f>
        <v>熾花</v>
      </c>
      <c r="J111" s="5">
        <f>IFERROR(__xludf.DUMMYFUNCTION("""COMPUTED_VALUE"""),0.001391585648148148)</f>
        <v>0.001391585648</v>
      </c>
      <c r="K111" s="5" t="str">
        <f>IFERROR(__xludf.DUMMYFUNCTION("""COMPUTED_VALUE"""),"LE8-Attack")</f>
        <v>LE8-Attack</v>
      </c>
      <c r="L111" s="5" t="str">
        <f>IFERROR(__xludf.DUMMYFUNCTION("""COMPUTED_VALUE"""),"PCVR")</f>
        <v>PCVR</v>
      </c>
      <c r="M111" s="5"/>
      <c r="N111" s="5"/>
      <c r="O111" s="5"/>
      <c r="P111" s="5"/>
      <c r="Q111" s="11" t="str">
        <f>IFERROR(__xludf.DUMMYFUNCTION("LET(
  賽道, ""Chikuyasan"",
  路線, """",
  系統, ""CVS"",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R111" s="5" t="str">
        <f>IFERROR(__xludf.DUMMYFUNCTION("""COMPUTED_VALUE"""),"Time時間")</f>
        <v>Time時間</v>
      </c>
      <c r="S111" s="5" t="str">
        <f>IFERROR(__xludf.DUMMYFUNCTION("""COMPUTED_VALUE"""),"Car車種")</f>
        <v>Car車種</v>
      </c>
      <c r="T111" s="5" t="str">
        <f>IFERROR(__xludf.DUMMYFUNCTION("""COMPUTED_VALUE"""),"Platform平台")</f>
        <v>Platform平台</v>
      </c>
      <c r="U111" s="5"/>
      <c r="V111" s="5"/>
      <c r="W111" s="5"/>
      <c r="X111" s="5"/>
      <c r="Y111" s="5"/>
      <c r="Z111" s="5"/>
      <c r="AA111" s="5"/>
      <c r="AB111" s="5"/>
      <c r="AC111" s="5"/>
      <c r="AD111" s="5"/>
      <c r="AE111" s="5"/>
      <c r="AF111" s="5"/>
      <c r="AG111" s="5"/>
      <c r="AH111" s="5"/>
      <c r="AI111" s="5"/>
      <c r="AJ111" s="5"/>
      <c r="AK111" s="5"/>
      <c r="AL111" s="5"/>
    </row>
    <row r="112">
      <c r="A112" s="38" t="s">
        <v>56</v>
      </c>
      <c r="E112" s="38" t="s">
        <v>57</v>
      </c>
      <c r="I112" s="5" t="str">
        <f>IFERROR(__xludf.DUMMYFUNCTION("""COMPUTED_VALUE"""),"windnight5")</f>
        <v>windnight5</v>
      </c>
      <c r="J112" s="5">
        <f>IFERROR(__xludf.DUMMYFUNCTION("""COMPUTED_VALUE"""),0.0013940277777777779)</f>
        <v>0.001394027778</v>
      </c>
      <c r="K112" s="5" t="str">
        <f>IFERROR(__xludf.DUMMYFUNCTION("""COMPUTED_VALUE"""),"PachirokuGT-Attack")</f>
        <v>PachirokuGT-Attack</v>
      </c>
      <c r="L112" s="5" t="str">
        <f>IFERROR(__xludf.DUMMYFUNCTION("""COMPUTED_VALUE"""),"PCVR")</f>
        <v>PCVR</v>
      </c>
      <c r="M112" s="5"/>
      <c r="N112" s="5"/>
      <c r="O112" s="5"/>
      <c r="P112" s="5"/>
      <c r="Q112" s="5" t="str">
        <f>IFERROR(__xludf.DUMMYFUNCTION("""COMPUTED_VALUE"""),"BannRaven")</f>
        <v>BannRaven</v>
      </c>
      <c r="R112" s="5">
        <f>IFERROR(__xludf.DUMMYFUNCTION("""COMPUTED_VALUE"""),0.0017595833333333333)</f>
        <v>0.001759583333</v>
      </c>
      <c r="S112" s="5" t="str">
        <f>IFERROR(__xludf.DUMMYFUNCTION("""COMPUTED_VALUE"""),"VRR250R")</f>
        <v>VRR250R</v>
      </c>
      <c r="T112" s="5" t="str">
        <f>IFERROR(__xludf.DUMMYFUNCTION("""COMPUTED_VALUE"""),"PC")</f>
        <v>PC</v>
      </c>
      <c r="U112" s="5"/>
      <c r="V112" s="5"/>
      <c r="W112" s="5"/>
      <c r="X112" s="5"/>
      <c r="Y112" s="5"/>
      <c r="Z112" s="5"/>
      <c r="AA112" s="5"/>
      <c r="AB112" s="5"/>
      <c r="AC112" s="5"/>
      <c r="AD112" s="5"/>
      <c r="AE112" s="5"/>
      <c r="AF112" s="5"/>
      <c r="AG112" s="5"/>
      <c r="AH112" s="5"/>
      <c r="AI112" s="5"/>
      <c r="AJ112" s="5"/>
      <c r="AK112" s="5"/>
      <c r="AL112" s="5"/>
    </row>
    <row r="113">
      <c r="A113" s="11" t="str">
        <f>IFERROR(__xludf.DUMMYFUNCTION("LET(
  賽道, ""Odawara"",
  路線, ""CW"",
  系統, ""Sacc"",
  原始, FILTER('歷史紀錄'!E29:H1168, '歷史紀錄'!B29:B1168=賽道, '歷史紀錄'!C29:C1168=路線, '歷史紀錄'!I29:I1168=系統),
  排序後, SORT(原始, 2, TRUE),
  玩家, INDEX(排序後,,1),
  唯一玩家, UNIQUE(玩家),
  結果,
    MAP(唯一玩家, LAMBDA(p,
      IND"&amp;"EX(FILTER(排序後, INDEX(排序後,,1)=p),1,0)
    )),
  表頭, {""Player玩家"",""Time時間"",""Car車種"",""Platform平台""},
  VSTACK(表頭, 結果)
)
"),"Player玩家")</f>
        <v>Player玩家</v>
      </c>
      <c r="B113" s="11" t="str">
        <f>IFERROR(__xludf.DUMMYFUNCTION("""COMPUTED_VALUE"""),"Time時間")</f>
        <v>Time時間</v>
      </c>
      <c r="C113" s="11" t="str">
        <f>IFERROR(__xludf.DUMMYFUNCTION("""COMPUTED_VALUE"""),"Car車種")</f>
        <v>Car車種</v>
      </c>
      <c r="D113" s="11" t="str">
        <f>IFERROR(__xludf.DUMMYFUNCTION("""COMPUTED_VALUE"""),"Platform平台")</f>
        <v>Platform平台</v>
      </c>
      <c r="E113" s="11" t="str">
        <f>IFERROR(__xludf.DUMMYFUNCTION("LET(
  賽道, ""Odawara"",
  路線, ""CC"",
  系統, ""Sacc"",
  原始, FILTER('歷史紀錄'!E29:H1168, '歷史紀錄'!B29:B1168=賽道, '歷史紀錄'!C29:C1168=路線, '歷史紀錄'!I29:I1168=系統),
  排序後, SORT(原始, 2, TRUE),
  玩家, INDEX(排序後,,1),
  唯一玩家, UNIQUE(玩家),
  結果,
    MAP(唯一玩家, LAMBDA(p,
      IND"&amp;"EX(FILTER(排序後, INDEX(排序後,,1)=p),1,0)
    )),
  表頭, {""Player玩家"",""Time時間"",""Car車種"",""Platform平台""},
  VSTACK(表頭, 結果)
)
"),"Player玩家")</f>
        <v>Player玩家</v>
      </c>
      <c r="F113" s="11" t="str">
        <f>IFERROR(__xludf.DUMMYFUNCTION("""COMPUTED_VALUE"""),"Time時間")</f>
        <v>Time時間</v>
      </c>
      <c r="G113" s="11" t="str">
        <f>IFERROR(__xludf.DUMMYFUNCTION("""COMPUTED_VALUE"""),"Car車種")</f>
        <v>Car車種</v>
      </c>
      <c r="H113" s="11" t="str">
        <f>IFERROR(__xludf.DUMMYFUNCTION("""COMPUTED_VALUE"""),"Platform平台")</f>
        <v>Platform平台</v>
      </c>
      <c r="I113" s="5" t="str">
        <f>IFERROR(__xludf.DUMMYFUNCTION("""COMPUTED_VALUE"""),"StarRiver Arts")</f>
        <v>StarRiver Arts</v>
      </c>
      <c r="J113" s="5">
        <f>IFERROR(__xludf.DUMMYFUNCTION("""COMPUTED_VALUE"""),0.0014724189814814815)</f>
        <v>0.001472418981</v>
      </c>
      <c r="K113" s="5" t="str">
        <f>IFERROR(__xludf.DUMMYFUNCTION("""COMPUTED_VALUE"""),"LE6-Attack")</f>
        <v>LE6-Attack</v>
      </c>
      <c r="L113" s="5" t="str">
        <f>IFERROR(__xludf.DUMMYFUNCTION("""COMPUTED_VALUE"""),"PC")</f>
        <v>PC</v>
      </c>
      <c r="M113" s="5"/>
      <c r="N113" s="5"/>
      <c r="O113" s="5"/>
      <c r="P113" s="5"/>
      <c r="Q113" s="5" t="str">
        <f>IFERROR(__xludf.DUMMYFUNCTION("""COMPUTED_VALUE"""),"Kurotsuki.")</f>
        <v>Kurotsuki.</v>
      </c>
      <c r="R113" s="5">
        <f>IFERROR(__xludf.DUMMYFUNCTION("""COMPUTED_VALUE"""),0.0020860648148148145)</f>
        <v>0.002086064815</v>
      </c>
      <c r="S113" s="5" t="str">
        <f>IFERROR(__xludf.DUMMYFUNCTION("""COMPUTED_VALUE"""),"VRR250R")</f>
        <v>VRR250R</v>
      </c>
      <c r="T113" s="5" t="str">
        <f>IFERROR(__xludf.DUMMYFUNCTION("""COMPUTED_VALUE"""),"PC")</f>
        <v>PC</v>
      </c>
      <c r="U113" s="5"/>
      <c r="V113" s="5"/>
      <c r="W113" s="5"/>
      <c r="X113" s="5"/>
      <c r="Y113" s="5"/>
      <c r="Z113" s="5"/>
      <c r="AA113" s="5"/>
      <c r="AB113" s="5"/>
      <c r="AC113" s="5"/>
      <c r="AD113" s="5"/>
      <c r="AE113" s="5"/>
      <c r="AF113" s="5"/>
      <c r="AG113" s="5"/>
      <c r="AH113" s="5"/>
      <c r="AI113" s="5"/>
      <c r="AJ113" s="5"/>
      <c r="AK113" s="5"/>
      <c r="AL113" s="5"/>
    </row>
    <row r="114">
      <c r="A114" s="5" t="str">
        <f>IFERROR(__xludf.DUMMYFUNCTION("""COMPUTED_VALUE"""),"Lolidia")</f>
        <v>Lolidia</v>
      </c>
      <c r="B114" s="5">
        <f>IFERROR(__xludf.DUMMYFUNCTION("""COMPUTED_VALUE"""),0.0026103472222222222)</f>
        <v>0.002610347222</v>
      </c>
      <c r="C114" s="5" t="str">
        <f>IFERROR(__xludf.DUMMYFUNCTION("""COMPUTED_VALUE"""),"991(911 GT3)")</f>
        <v>991(911 GT3)</v>
      </c>
      <c r="D114" s="5" t="str">
        <f>IFERROR(__xludf.DUMMYFUNCTION("""COMPUTED_VALUE"""),"PCVR")</f>
        <v>PCVR</v>
      </c>
      <c r="E114" s="5" t="str">
        <f>IFERROR(__xludf.DUMMYFUNCTION("""COMPUTED_VALUE"""),"Redfrogss")</f>
        <v>Redfrogss</v>
      </c>
      <c r="F114" s="5">
        <f>IFERROR(__xludf.DUMMYFUNCTION("""COMPUTED_VALUE"""),0.0028285069444444447)</f>
        <v>0.002828506944</v>
      </c>
      <c r="G114" s="5" t="str">
        <f>IFERROR(__xludf.DUMMYFUNCTION("""COMPUTED_VALUE"""),"R35N2")</f>
        <v>R35N2</v>
      </c>
      <c r="H114" s="5" t="str">
        <f>IFERROR(__xludf.DUMMYFUNCTION("""COMPUTED_VALUE"""),"PCVR")</f>
        <v>PCVR</v>
      </c>
      <c r="I114" s="5" t="str">
        <f>IFERROR(__xludf.DUMMYFUNCTION("""COMPUTED_VALUE"""),"アビドサスヒカリ")</f>
        <v>アビドサスヒカリ</v>
      </c>
      <c r="J114" s="5">
        <f>IFERROR(__xludf.DUMMYFUNCTION("""COMPUTED_VALUE"""),0.0015149768518518518)</f>
        <v>0.001514976852</v>
      </c>
      <c r="K114" s="5" t="str">
        <f>IFERROR(__xludf.DUMMYFUNCTION("""COMPUTED_VALUE"""),"FD3S-Aspec")</f>
        <v>FD3S-Aspec</v>
      </c>
      <c r="L114" s="5" t="str">
        <f>IFERROR(__xludf.DUMMYFUNCTION("""COMPUTED_VALUE"""),"PCVR")</f>
        <v>PCVR</v>
      </c>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 r="A115" s="5" t="str">
        <f>IFERROR(__xludf.DUMMYFUNCTION("""COMPUTED_VALUE"""),"ikuhopen")</f>
        <v>ikuhopen</v>
      </c>
      <c r="B115" s="5">
        <f>IFERROR(__xludf.DUMMYFUNCTION("""COMPUTED_VALUE"""),0.0026873032407407405)</f>
        <v>0.002687303241</v>
      </c>
      <c r="C115" s="5" t="str">
        <f>IFERROR(__xludf.DUMMYFUNCTION("""COMPUTED_VALUE"""),"991(911 GT3)")</f>
        <v>991(911 GT3)</v>
      </c>
      <c r="D115" s="5" t="str">
        <f>IFERROR(__xludf.DUMMYFUNCTION("""COMPUTED_VALUE"""),"PCVR")</f>
        <v>PCVR</v>
      </c>
      <c r="E115" s="5" t="str">
        <f>IFERROR(__xludf.DUMMYFUNCTION("""COMPUTED_VALUE"""),"LinWu_05")</f>
        <v>LinWu_05</v>
      </c>
      <c r="F115" s="5">
        <f>IFERROR(__xludf.DUMMYFUNCTION("""COMPUTED_VALUE"""),0.0029292013888888887)</f>
        <v>0.002929201389</v>
      </c>
      <c r="G115" s="5" t="str">
        <f>IFERROR(__xludf.DUMMYFUNCTION("""COMPUTED_VALUE"""),"R35N2")</f>
        <v>R35N2</v>
      </c>
      <c r="H115" s="5" t="str">
        <f>IFERROR(__xludf.DUMMYFUNCTION("""COMPUTED_VALUE"""),"PC")</f>
        <v>PC</v>
      </c>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 r="A116" s="5" t="str">
        <f>IFERROR(__xludf.DUMMYFUNCTION("""COMPUTED_VALUE"""),"菲娜 希琉絲")</f>
        <v>菲娜 希琉絲</v>
      </c>
      <c r="B116" s="5">
        <f>IFERROR(__xludf.DUMMYFUNCTION("""COMPUTED_VALUE"""),0.0027121874999999998)</f>
        <v>0.0027121875</v>
      </c>
      <c r="C116" s="5" t="str">
        <f>IFERROR(__xludf.DUMMYFUNCTION("""COMPUTED_VALUE"""),"GT86/ZN6")</f>
        <v>GT86/ZN6</v>
      </c>
      <c r="D116" s="5" t="str">
        <f>IFERROR(__xludf.DUMMYFUNCTION("""COMPUTED_VALUE"""),"PCVR")</f>
        <v>PCVR</v>
      </c>
      <c r="E116" s="5" t="str">
        <f>IFERROR(__xludf.DUMMYFUNCTION("""COMPUTED_VALUE"""),"StarRiver Arts")</f>
        <v>StarRiver Arts</v>
      </c>
      <c r="F116" s="5">
        <f>IFERROR(__xludf.DUMMYFUNCTION("""COMPUTED_VALUE"""),0.003107060185185185)</f>
        <v>0.003107060185</v>
      </c>
      <c r="G116" s="5" t="str">
        <f>IFERROR(__xludf.DUMMYFUNCTION("""COMPUTED_VALUE"""),"R35N2")</f>
        <v>R35N2</v>
      </c>
      <c r="H116" s="5" t="str">
        <f>IFERROR(__xludf.DUMMYFUNCTION("""COMPUTED_VALUE"""),"PC")</f>
        <v>PC</v>
      </c>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 r="A117" s="5" t="str">
        <f>IFERROR(__xludf.DUMMYFUNCTION("""COMPUTED_VALUE"""),"Redfrogss")</f>
        <v>Redfrogss</v>
      </c>
      <c r="B117" s="5">
        <f>IFERROR(__xludf.DUMMYFUNCTION("""COMPUTED_VALUE"""),0.0027641782407407407)</f>
        <v>0.002764178241</v>
      </c>
      <c r="C117" s="5" t="str">
        <f>IFERROR(__xludf.DUMMYFUNCTION("""COMPUTED_VALUE"""),"R35N3")</f>
        <v>R35N3</v>
      </c>
      <c r="D117" s="5" t="str">
        <f>IFERROR(__xludf.DUMMYFUNCTION("""COMPUTED_VALUE"""),"PCVR")</f>
        <v>PCVR</v>
      </c>
      <c r="E117" s="5" t="str">
        <f>IFERROR(__xludf.DUMMYFUNCTION("""COMPUTED_VALUE"""),"Kinokono_Tenka")</f>
        <v>Kinokono_Tenka</v>
      </c>
      <c r="F117" s="5">
        <f>IFERROR(__xludf.DUMMYFUNCTION("""COMPUTED_VALUE"""),0.0032278819444444447)</f>
        <v>0.003227881944</v>
      </c>
      <c r="G117" s="5" t="str">
        <f>IFERROR(__xludf.DUMMYFUNCTION("""COMPUTED_VALUE"""),"GT86/ZN6 ")</f>
        <v>GT86/ZN6 </v>
      </c>
      <c r="H117" s="5" t="str">
        <f>IFERROR(__xludf.DUMMYFUNCTION("""COMPUTED_VALUE"""),"PCVR")</f>
        <v>PCVR</v>
      </c>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 r="A118" s="27" t="str">
        <f>IFERROR(__xludf.DUMMYFUNCTION("""COMPUTED_VALUE"""),"ZihChin")</f>
        <v>ZihChin</v>
      </c>
      <c r="B118" s="5">
        <f>IFERROR(__xludf.DUMMYFUNCTION("""COMPUTED_VALUE"""),0.002791319444444444)</f>
        <v>0.002791319444</v>
      </c>
      <c r="C118" s="5" t="str">
        <f>IFERROR(__xludf.DUMMYFUNCTION("""COMPUTED_VALUE"""),"GT86/ZN6")</f>
        <v>GT86/ZN6</v>
      </c>
      <c r="D118" s="5" t="str">
        <f>IFERROR(__xludf.DUMMYFUNCTION("""COMPUTED_VALUE"""),"PC")</f>
        <v>PC</v>
      </c>
      <c r="E118" s="5" t="str">
        <f>IFERROR(__xludf.DUMMYFUNCTION("""COMPUTED_VALUE"""),"アビドサスヒカリ")</f>
        <v>アビドサスヒカリ</v>
      </c>
      <c r="F118" s="5">
        <f>IFERROR(__xludf.DUMMYFUNCTION("""COMPUTED_VALUE"""),0.0032572800925925924)</f>
        <v>0.003257280093</v>
      </c>
      <c r="G118" s="5" t="str">
        <f>IFERROR(__xludf.DUMMYFUNCTION("""COMPUTED_VALUE"""),"GT86/ZN6 V2")</f>
        <v>GT86/ZN6 V2</v>
      </c>
      <c r="H118" s="5" t="str">
        <f>IFERROR(__xludf.DUMMYFUNCTION("""COMPUTED_VALUE"""),"PC")</f>
        <v>PC</v>
      </c>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 r="A119" s="27" t="str">
        <f>IFERROR(__xludf.DUMMYFUNCTION("""COMPUTED_VALUE"""),"江柚凝")</f>
        <v>江柚凝</v>
      </c>
      <c r="B119" s="5">
        <f>IFERROR(__xludf.DUMMYFUNCTION("""COMPUTED_VALUE"""),0.0028057523148148147)</f>
        <v>0.002805752315</v>
      </c>
      <c r="C119" s="5" t="str">
        <f>IFERROR(__xludf.DUMMYFUNCTION("""COMPUTED_VALUE"""),"R35N3")</f>
        <v>R35N3</v>
      </c>
      <c r="D119" s="5" t="str">
        <f>IFERROR(__xludf.DUMMYFUNCTION("""COMPUTED_VALUE"""),"PCVR")</f>
        <v>PCVR</v>
      </c>
      <c r="E119" s="5" t="str">
        <f>IFERROR(__xludf.DUMMYFUNCTION("""COMPUTED_VALUE"""),"Sakanakokokoko")</f>
        <v>Sakanakokokoko</v>
      </c>
      <c r="F119" s="5">
        <f>IFERROR(__xludf.DUMMYFUNCTION("""COMPUTED_VALUE"""),0.003304976851851852)</f>
        <v>0.003304976852</v>
      </c>
      <c r="G119" s="5" t="str">
        <f>IFERROR(__xludf.DUMMYFUNCTION("""COMPUTED_VALUE"""),"R35N3")</f>
        <v>R35N3</v>
      </c>
      <c r="H119" s="5" t="str">
        <f>IFERROR(__xludf.DUMMYFUNCTION("""COMPUTED_VALUE"""),"PC")</f>
        <v>PC</v>
      </c>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 r="A120" s="27" t="str">
        <f>IFERROR(__xludf.DUMMYFUNCTION("""COMPUTED_VALUE"""),"Yune")</f>
        <v>Yune</v>
      </c>
      <c r="B120" s="5">
        <f>IFERROR(__xludf.DUMMYFUNCTION("""COMPUTED_VALUE"""),0.0028289814814814814)</f>
        <v>0.002828981481</v>
      </c>
      <c r="C120" s="5" t="str">
        <f>IFERROR(__xludf.DUMMYFUNCTION("""COMPUTED_VALUE"""),"GT86/ZN6")</f>
        <v>GT86/ZN6</v>
      </c>
      <c r="D120" s="5" t="str">
        <f>IFERROR(__xludf.DUMMYFUNCTION("""COMPUTED_VALUE"""),"PC")</f>
        <v>PC</v>
      </c>
      <c r="E120" s="5" t="str">
        <f>IFERROR(__xludf.DUMMYFUNCTION("""COMPUTED_VALUE"""),"Yuanji Deca")</f>
        <v>Yuanji Deca</v>
      </c>
      <c r="F120" s="5">
        <f>IFERROR(__xludf.DUMMYFUNCTION("""COMPUTED_VALUE"""),0.003983738425925926)</f>
        <v>0.003983738426</v>
      </c>
      <c r="G120" s="5" t="str">
        <f>IFERROR(__xludf.DUMMYFUNCTION("""COMPUTED_VALUE"""),"DB42 (GR Supra)")</f>
        <v>DB42 (GR Supra)</v>
      </c>
      <c r="H120" s="5" t="str">
        <f>IFERROR(__xludf.DUMMYFUNCTION("""COMPUTED_VALUE"""),"PC")</f>
        <v>PC</v>
      </c>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 r="A121" s="5" t="str">
        <f>IFERROR(__xludf.DUMMYFUNCTION("""COMPUTED_VALUE"""),"LinWu_05")</f>
        <v>LinWu_05</v>
      </c>
      <c r="B121" s="5">
        <f>IFERROR(__xludf.DUMMYFUNCTION("""COMPUTED_VALUE"""),0.0028620833333333332)</f>
        <v>0.002862083333</v>
      </c>
      <c r="C121" s="5" t="str">
        <f>IFERROR(__xludf.DUMMYFUNCTION("""COMPUTED_VALUE"""),"R35N3")</f>
        <v>R35N3</v>
      </c>
      <c r="D121" s="5" t="str">
        <f>IFERROR(__xludf.DUMMYFUNCTION("""COMPUTED_VALUE"""),"PC")</f>
        <v>PC</v>
      </c>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c r="A122" s="5" t="str">
        <f>IFERROR(__xludf.DUMMYFUNCTION("""COMPUTED_VALUE"""),"StarRiver Arts")</f>
        <v>StarRiver Arts</v>
      </c>
      <c r="B122" s="5">
        <f>IFERROR(__xludf.DUMMYFUNCTION("""COMPUTED_VALUE"""),0.0028996875)</f>
        <v>0.0028996875</v>
      </c>
      <c r="C122" s="5" t="str">
        <f>IFERROR(__xludf.DUMMYFUNCTION("""COMPUTED_VALUE"""),"GT86/ZN6")</f>
        <v>GT86/ZN6</v>
      </c>
      <c r="D122" s="5" t="str">
        <f>IFERROR(__xludf.DUMMYFUNCTION("""COMPUTED_VALUE"""),"PC")</f>
        <v>PC</v>
      </c>
      <c r="E122" s="12"/>
      <c r="F122" s="12"/>
      <c r="G122" s="12"/>
      <c r="H122" s="12"/>
      <c r="I122" s="39" t="s">
        <v>58</v>
      </c>
      <c r="Q122" s="5"/>
      <c r="R122" s="5"/>
      <c r="S122" s="5"/>
      <c r="T122" s="5"/>
      <c r="U122" s="5"/>
      <c r="V122" s="5"/>
      <c r="W122" s="5"/>
      <c r="X122" s="5"/>
      <c r="Y122" s="5"/>
      <c r="Z122" s="5"/>
      <c r="AA122" s="5"/>
      <c r="AB122" s="5"/>
      <c r="AC122" s="5"/>
      <c r="AD122" s="5"/>
      <c r="AE122" s="5"/>
      <c r="AF122" s="5"/>
      <c r="AG122" s="5"/>
      <c r="AH122" s="5"/>
      <c r="AI122" s="5"/>
      <c r="AJ122" s="5"/>
      <c r="AK122" s="5"/>
      <c r="AL122" s="5"/>
    </row>
    <row r="123">
      <c r="A123" s="5" t="str">
        <f>IFERROR(__xludf.DUMMYFUNCTION("""COMPUTED_VALUE"""),"Kinokono_Tenka")</f>
        <v>Kinokono_Tenka</v>
      </c>
      <c r="B123" s="5">
        <f>IFERROR(__xludf.DUMMYFUNCTION("""COMPUTED_VALUE"""),0.0029235763888888888)</f>
        <v>0.002923576389</v>
      </c>
      <c r="C123" s="5" t="str">
        <f>IFERROR(__xludf.DUMMYFUNCTION("""COMPUTED_VALUE"""),"R35N3")</f>
        <v>R35N3</v>
      </c>
      <c r="D123" s="5" t="str">
        <f>IFERROR(__xludf.DUMMYFUNCTION("""COMPUTED_VALUE"""),"PCVR")</f>
        <v>PCVR</v>
      </c>
      <c r="E123" s="12"/>
      <c r="F123" s="12"/>
      <c r="G123" s="12"/>
      <c r="H123" s="12"/>
      <c r="I123" s="22" t="s">
        <v>59</v>
      </c>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row>
    <row r="124">
      <c r="A124" s="5" t="str">
        <f>IFERROR(__xludf.DUMMYFUNCTION("""COMPUTED_VALUE"""),"アビドサスヒカリ")</f>
        <v>アビドサスヒカリ</v>
      </c>
      <c r="B124" s="5">
        <f>IFERROR(__xludf.DUMMYFUNCTION("""COMPUTED_VALUE"""),0.002932465277777778)</f>
        <v>0.002932465278</v>
      </c>
      <c r="C124" s="5" t="str">
        <f>IFERROR(__xludf.DUMMYFUNCTION("""COMPUTED_VALUE"""),"982(718Cayman)")</f>
        <v>982(718Cayman)</v>
      </c>
      <c r="D124" s="5" t="str">
        <f>IFERROR(__xludf.DUMMYFUNCTION("""COMPUTED_VALUE"""),"PC")</f>
        <v>PC</v>
      </c>
      <c r="E124" s="12"/>
      <c r="F124" s="12"/>
      <c r="G124" s="12"/>
      <c r="H124" s="12"/>
      <c r="I124" s="11" t="str">
        <f>IFERROR(__xludf.DUMMYFUNCTION("LET(
  賽道, ""@Kart"",
  路線, """",
  系統, ""CVS"",
  原始, FILTER('歷史紀錄'!$E$2:$H1168, '歷史紀錄'!$B$2:$B1168=賽道, '歷史紀錄'!$C$2:$C1168=路線, '歷史紀錄'!$I$2:$I1168=系統),
  排序後, SORT(原始, 2, TRUE),
  玩家, INDEX(排序後,,1),
  唯一玩家, UNIQUE(玩家),
  結果,
    MAP(唯一玩家, LAMBDA(p,
      "&amp;"INDEX(FILTER(排序後, INDEX(排序後,,1)=p),1,0)
    )),
  表頭, {""Player玩家"",""Time時間"",""Car車種"",""Platform平台""},
  VSTACK(表頭, 結果)
)
"),"Player玩家")</f>
        <v>Player玩家</v>
      </c>
      <c r="J124" s="11" t="str">
        <f>IFERROR(__xludf.DUMMYFUNCTION("""COMPUTED_VALUE"""),"Time時間")</f>
        <v>Time時間</v>
      </c>
      <c r="K124" s="11" t="str">
        <f>IFERROR(__xludf.DUMMYFUNCTION("""COMPUTED_VALUE"""),"Car車種")</f>
        <v>Car車種</v>
      </c>
      <c r="L124" s="11" t="str">
        <f>IFERROR(__xludf.DUMMYFUNCTION("""COMPUTED_VALUE"""),"Platform平台")</f>
        <v>Platform平台</v>
      </c>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row>
    <row r="125">
      <c r="A125" s="27" t="str">
        <f>IFERROR(__xludf.DUMMYFUNCTION("""COMPUTED_VALUE"""),"Sakanakokokoko")</f>
        <v>Sakanakokokoko</v>
      </c>
      <c r="B125" s="5">
        <f>IFERROR(__xludf.DUMMYFUNCTION("""COMPUTED_VALUE"""),0.0031462152777777777)</f>
        <v>0.003146215278</v>
      </c>
      <c r="C125" s="27" t="str">
        <f>IFERROR(__xludf.DUMMYFUNCTION("""COMPUTED_VALUE"""),"R35N3")</f>
        <v>R35N3</v>
      </c>
      <c r="D125" s="5" t="str">
        <f>IFERROR(__xludf.DUMMYFUNCTION("""COMPUTED_VALUE"""),"PC")</f>
        <v>PC</v>
      </c>
      <c r="E125" s="12"/>
      <c r="F125" s="12"/>
      <c r="G125" s="12"/>
      <c r="H125" s="12"/>
      <c r="I125" s="5" t="str">
        <f>IFERROR(__xludf.DUMMYFUNCTION("""COMPUTED_VALUE"""),"夜者")</f>
        <v>夜者</v>
      </c>
      <c r="J125" s="5">
        <f>IFERROR(__xludf.DUMMYFUNCTION("""COMPUTED_VALUE"""),1.963773148148148E-4)</f>
        <v>0.0001963773148</v>
      </c>
      <c r="K125" s="5" t="str">
        <f>IFERROR(__xludf.DUMMYFUNCTION("""COMPUTED_VALUE"""),"AdvancedKart")</f>
        <v>AdvancedKart</v>
      </c>
      <c r="L125" s="5" t="str">
        <f>IFERROR(__xludf.DUMMYFUNCTION("""COMPUTED_VALUE"""),"PCVR")</f>
        <v>PCVR</v>
      </c>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row>
    <row r="126">
      <c r="A126" s="27" t="str">
        <f>IFERROR(__xludf.DUMMYFUNCTION("""COMPUTED_VALUE"""),"-Zaten-")</f>
        <v>-Zaten-</v>
      </c>
      <c r="B126" s="5">
        <f>IFERROR(__xludf.DUMMYFUNCTION("""COMPUTED_VALUE"""),0.003465625)</f>
        <v>0.003465625</v>
      </c>
      <c r="C126" s="27" t="str">
        <f>IFERROR(__xludf.DUMMYFUNCTION("""COMPUTED_VALUE"""),"R35N2")</f>
        <v>R35N2</v>
      </c>
      <c r="D126" s="5" t="str">
        <f>IFERROR(__xludf.DUMMYFUNCTION("""COMPUTED_VALUE"""),"PC")</f>
        <v>PC</v>
      </c>
      <c r="E126" s="12"/>
      <c r="F126" s="12"/>
      <c r="G126" s="12"/>
      <c r="H126" s="12"/>
      <c r="I126" s="5" t="str">
        <f>IFERROR(__xludf.DUMMYFUNCTION("""COMPUTED_VALUE"""),"Jerry205")</f>
        <v>Jerry205</v>
      </c>
      <c r="J126" s="5">
        <f>IFERROR(__xludf.DUMMYFUNCTION("""COMPUTED_VALUE"""),2.3172453703703704E-4)</f>
        <v>0.000231724537</v>
      </c>
      <c r="K126" s="5" t="str">
        <f>IFERROR(__xludf.DUMMYFUNCTION("""COMPUTED_VALUE"""),"AdvancedKart")</f>
        <v>AdvancedKart</v>
      </c>
      <c r="L126" s="5" t="str">
        <f>IFERROR(__xludf.DUMMYFUNCTION("""COMPUTED_VALUE"""),"PCVR")</f>
        <v>PCVR</v>
      </c>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row>
    <row r="127">
      <c r="D127" s="5"/>
      <c r="E127" s="12"/>
      <c r="F127" s="12"/>
      <c r="G127" s="12"/>
      <c r="H127" s="12"/>
      <c r="I127" s="5" t="str">
        <f>IFERROR(__xludf.DUMMYFUNCTION("""COMPUTED_VALUE"""),"Chrno_C")</f>
        <v>Chrno_C</v>
      </c>
      <c r="J127" s="5">
        <f>IFERROR(__xludf.DUMMYFUNCTION("""COMPUTED_VALUE"""),2.34525462962963E-4)</f>
        <v>0.000234525463</v>
      </c>
      <c r="K127" s="5" t="str">
        <f>IFERROR(__xludf.DUMMYFUNCTION("""COMPUTED_VALUE"""),"AdvancedKart")</f>
        <v>AdvancedKart</v>
      </c>
      <c r="L127" s="5" t="str">
        <f>IFERROR(__xludf.DUMMYFUNCTION("""COMPUTED_VALUE"""),"PCVR")</f>
        <v>PCVR</v>
      </c>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row>
    <row r="128">
      <c r="D128" s="5"/>
      <c r="E128" s="12"/>
      <c r="F128" s="12"/>
      <c r="G128" s="12"/>
      <c r="H128" s="12"/>
      <c r="I128" s="5" t="str">
        <f>IFERROR(__xludf.DUMMYFUNCTION("""COMPUTED_VALUE"""),"Yang路人")</f>
        <v>Yang路人</v>
      </c>
      <c r="J128" s="5">
        <f>IFERROR(__xludf.DUMMYFUNCTION("""COMPUTED_VALUE"""),2.3520833333333334E-4)</f>
        <v>0.0002352083333</v>
      </c>
      <c r="K128" s="5" t="str">
        <f>IFERROR(__xludf.DUMMYFUNCTION("""COMPUTED_VALUE"""),"AdvancedKart")</f>
        <v>AdvancedKart</v>
      </c>
      <c r="L128" s="5" t="str">
        <f>IFERROR(__xludf.DUMMYFUNCTION("""COMPUTED_VALUE"""),"PCVR")</f>
        <v>PCVR</v>
      </c>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row>
    <row r="129">
      <c r="D129" s="5"/>
      <c r="E129" s="12"/>
      <c r="F129" s="12"/>
      <c r="G129" s="12"/>
      <c r="H129" s="12"/>
      <c r="I129" s="5" t="str">
        <f>IFERROR(__xludf.DUMMYFUNCTION("""COMPUTED_VALUE"""),"VRCGPaul")</f>
        <v>VRCGPaul</v>
      </c>
      <c r="J129" s="5">
        <f>IFERROR(__xludf.DUMMYFUNCTION("""COMPUTED_VALUE"""),2.3565972222222225E-4)</f>
        <v>0.0002356597222</v>
      </c>
      <c r="K129" s="5" t="str">
        <f>IFERROR(__xludf.DUMMYFUNCTION("""COMPUTED_VALUE"""),"AdvancedKart")</f>
        <v>AdvancedKart</v>
      </c>
      <c r="L129" s="5" t="str">
        <f>IFERROR(__xludf.DUMMYFUNCTION("""COMPUTED_VALUE"""),"PCVR")</f>
        <v>PCVR</v>
      </c>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row>
    <row r="130">
      <c r="D130" s="5"/>
      <c r="E130" s="12"/>
      <c r="F130" s="12"/>
      <c r="G130" s="12"/>
      <c r="H130" s="12"/>
      <c r="I130" s="5" t="str">
        <f>IFERROR(__xludf.DUMMYFUNCTION("""COMPUTED_VALUE"""),"Redfrogss")</f>
        <v>Redfrogss</v>
      </c>
      <c r="J130" s="5">
        <f>IFERROR(__xludf.DUMMYFUNCTION("""COMPUTED_VALUE"""),2.3623842592592595E-4)</f>
        <v>0.0002362384259</v>
      </c>
      <c r="K130" s="5" t="str">
        <f>IFERROR(__xludf.DUMMYFUNCTION("""COMPUTED_VALUE"""),"AdvancedKart")</f>
        <v>AdvancedKart</v>
      </c>
      <c r="L130" s="5" t="str">
        <f>IFERROR(__xludf.DUMMYFUNCTION("""COMPUTED_VALUE"""),"PCVR")</f>
        <v>PCVR</v>
      </c>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D131" s="5"/>
      <c r="E131" s="12"/>
      <c r="F131" s="12"/>
      <c r="G131" s="12"/>
      <c r="H131" s="12"/>
      <c r="I131" s="5" t="str">
        <f>IFERROR(__xludf.DUMMYFUNCTION("""COMPUTED_VALUE"""),"菲娜 希琉絲")</f>
        <v>菲娜 希琉絲</v>
      </c>
      <c r="J131" s="5">
        <f>IFERROR(__xludf.DUMMYFUNCTION("""COMPUTED_VALUE"""),2.3784722222222222E-4)</f>
        <v>0.0002378472222</v>
      </c>
      <c r="K131" s="5" t="str">
        <f>IFERROR(__xludf.DUMMYFUNCTION("""COMPUTED_VALUE"""),"AdvancedKart")</f>
        <v>AdvancedKart</v>
      </c>
      <c r="L131" s="5" t="str">
        <f>IFERROR(__xludf.DUMMYFUNCTION("""COMPUTED_VALUE"""),"PCVR")</f>
        <v>PCVR</v>
      </c>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row>
    <row r="132">
      <c r="A132" s="40" t="s">
        <v>60</v>
      </c>
      <c r="E132" s="40" t="s">
        <v>61</v>
      </c>
      <c r="I132" s="5" t="str">
        <f>IFERROR(__xludf.DUMMYFUNCTION("""COMPUTED_VALUE"""),"StarRiver Arts")</f>
        <v>StarRiver Arts</v>
      </c>
      <c r="J132" s="5">
        <f>IFERROR(__xludf.DUMMYFUNCTION("""COMPUTED_VALUE"""),2.8125E-4)</f>
        <v>0.00028125</v>
      </c>
      <c r="K132" s="5" t="str">
        <f>IFERROR(__xludf.DUMMYFUNCTION("""COMPUTED_VALUE"""),"AdvancedKart")</f>
        <v>AdvancedKart</v>
      </c>
      <c r="L132" s="5" t="str">
        <f>IFERROR(__xludf.DUMMYFUNCTION("""COMPUTED_VALUE"""),"PC")</f>
        <v>PC</v>
      </c>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row>
    <row r="133">
      <c r="A133" s="11" t="str">
        <f>IFERROR(__xludf.DUMMYFUNCTION("LET(
  賽道, ""Tsubaki"",
  路線, ""DH"",
  系統, ""Sacc"",
  原始, FILTER('歷史紀錄'!E29:H1168, '歷史紀錄'!B29:B1168=賽道, '歷史紀錄'!C29:C1168=路線, '歷史紀錄'!I29:I1168=系統),
  排序後, SORT(原始, 2, TRUE),
  玩家, INDEX(排序後,,1),
  唯一玩家, UNIQUE(玩家),
  結果,
    MAP(唯一玩家, LAMBDA(p,
      IND"&amp;"EX(FILTER(排序後, INDEX(排序後,,1)=p),1,0)
    )),
  表頭, {""Player玩家"",""Time時間"",""Car車種"",""Platform平台""},
  VSTACK(表頭, 結果)
)
"),"Player玩家")</f>
        <v>Player玩家</v>
      </c>
      <c r="B133" s="11" t="str">
        <f>IFERROR(__xludf.DUMMYFUNCTION("""COMPUTED_VALUE"""),"Time時間")</f>
        <v>Time時間</v>
      </c>
      <c r="C133" s="11" t="str">
        <f>IFERROR(__xludf.DUMMYFUNCTION("""COMPUTED_VALUE"""),"Car車種")</f>
        <v>Car車種</v>
      </c>
      <c r="D133" s="11" t="str">
        <f>IFERROR(__xludf.DUMMYFUNCTION("""COMPUTED_VALUE"""),"Platform平台")</f>
        <v>Platform平台</v>
      </c>
      <c r="E133" s="11" t="str">
        <f>IFERROR(__xludf.DUMMYFUNCTION("LET(
  賽道, ""Tsubaki"",
  路線, ""UH"",
  系統, ""Sacc"",
  原始, FILTER('歷史紀錄'!E29:H1168, '歷史紀錄'!B29:B1168=賽道, '歷史紀錄'!C29:C1168=路線, '歷史紀錄'!I29:I1168=系統),
  排序後, SORT(原始, 2, TRUE),
  玩家, INDEX(排序後,,1),
  唯一玩家, UNIQUE(玩家),
  結果,
    MAP(唯一玩家, LAMBDA(p,
      IND"&amp;"EX(FILTER(排序後, INDEX(排序後,,1)=p),1,0)
    )),
  表頭, {""Player玩家"",""Time時間"",""Car車種"",""Platform平台""},
  VSTACK(表頭, 結果)
)
"),"Player玩家")</f>
        <v>Player玩家</v>
      </c>
      <c r="F133" s="11" t="str">
        <f>IFERROR(__xludf.DUMMYFUNCTION("""COMPUTED_VALUE"""),"Time時間")</f>
        <v>Time時間</v>
      </c>
      <c r="G133" s="11" t="str">
        <f>IFERROR(__xludf.DUMMYFUNCTION("""COMPUTED_VALUE"""),"Car車種")</f>
        <v>Car車種</v>
      </c>
      <c r="H133" s="11" t="str">
        <f>IFERROR(__xludf.DUMMYFUNCTION("""COMPUTED_VALUE"""),"Platform平台")</f>
        <v>Platform平台</v>
      </c>
      <c r="I133" s="5" t="str">
        <f>IFERROR(__xludf.DUMMYFUNCTION("""COMPUTED_VALUE"""),"猹猹猹猹")</f>
        <v>猹猹猹猹</v>
      </c>
      <c r="J133" s="5">
        <f>IFERROR(__xludf.DUMMYFUNCTION("""COMPUTED_VALUE"""),2.817708333333333E-4)</f>
        <v>0.0002817708333</v>
      </c>
      <c r="K133" s="5" t="str">
        <f>IFERROR(__xludf.DUMMYFUNCTION("""COMPUTED_VALUE"""),"AdvancedKart")</f>
        <v>AdvancedKart</v>
      </c>
      <c r="L133" s="5" t="str">
        <f>IFERROR(__xludf.DUMMYFUNCTION("""COMPUTED_VALUE"""),"PCVR")</f>
        <v>PCVR</v>
      </c>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row>
    <row r="134">
      <c r="A134" s="5" t="str">
        <f>IFERROR(__xludf.DUMMYFUNCTION("""COMPUTED_VALUE"""),"Lolidia")</f>
        <v>Lolidia</v>
      </c>
      <c r="B134" s="12">
        <f>IFERROR(__xludf.DUMMYFUNCTION("""COMPUTED_VALUE"""),0.002457175925925926)</f>
        <v>0.002457175926</v>
      </c>
      <c r="C134" s="5" t="str">
        <f>IFERROR(__xludf.DUMMYFUNCTION("""COMPUTED_VALUE"""),"AE86T2")</f>
        <v>AE86T2</v>
      </c>
      <c r="D134" s="5" t="str">
        <f>IFERROR(__xludf.DUMMYFUNCTION("""COMPUTED_VALUE"""),"PCVR")</f>
        <v>PCVR</v>
      </c>
      <c r="E134" s="5" t="str">
        <f>IFERROR(__xludf.DUMMYFUNCTION("""COMPUTED_VALUE"""),"LinWu_05")</f>
        <v>LinWu_05</v>
      </c>
      <c r="F134" s="5">
        <f>IFERROR(__xludf.DUMMYFUNCTION("""COMPUTED_VALUE"""),0.0029220717592592597)</f>
        <v>0.002922071759</v>
      </c>
      <c r="G134" s="5" t="str">
        <f>IFERROR(__xludf.DUMMYFUNCTION("""COMPUTED_VALUE"""),"NA1 (NSX)")</f>
        <v>NA1 (NSX)</v>
      </c>
      <c r="H134" s="5" t="str">
        <f>IFERROR(__xludf.DUMMYFUNCTION("""COMPUTED_VALUE"""),"PC")</f>
        <v>PC</v>
      </c>
      <c r="I134" s="5" t="str">
        <f>IFERROR(__xludf.DUMMYFUNCTION("""COMPUTED_VALUE"""),"Lai00")</f>
        <v>Lai00</v>
      </c>
      <c r="J134" s="5">
        <f>IFERROR(__xludf.DUMMYFUNCTION("""COMPUTED_VALUE"""),3.1025462962962967E-4)</f>
        <v>0.0003102546296</v>
      </c>
      <c r="K134" s="5" t="str">
        <f>IFERROR(__xludf.DUMMYFUNCTION("""COMPUTED_VALUE"""),"AdvancedKart")</f>
        <v>AdvancedKart</v>
      </c>
      <c r="L134" s="5" t="str">
        <f>IFERROR(__xludf.DUMMYFUNCTION("""COMPUTED_VALUE"""),"PCVR")</f>
        <v>PCVR</v>
      </c>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row>
    <row r="135">
      <c r="A135" s="5" t="str">
        <f>IFERROR(__xludf.DUMMYFUNCTION("""COMPUTED_VALUE"""),"菲娜 希琉絲")</f>
        <v>菲娜 希琉絲</v>
      </c>
      <c r="B135" s="12">
        <f>IFERROR(__xludf.DUMMYFUNCTION("""COMPUTED_VALUE"""),0.002554976851851852)</f>
        <v>0.002554976852</v>
      </c>
      <c r="C135" s="5" t="str">
        <f>IFERROR(__xludf.DUMMYFUNCTION("""COMPUTED_VALUE"""),"FD3S (RX7)")</f>
        <v>FD3S (RX7)</v>
      </c>
      <c r="D135" s="5" t="str">
        <f>IFERROR(__xludf.DUMMYFUNCTION("""COMPUTED_VALUE"""),"PC")</f>
        <v>PC</v>
      </c>
      <c r="E135" s="5" t="str">
        <f>IFERROR(__xludf.DUMMYFUNCTION("""COMPUTED_VALUE"""),"StarRiver Arts")</f>
        <v>StarRiver Arts</v>
      </c>
      <c r="F135" s="5">
        <f>IFERROR(__xludf.DUMMYFUNCTION("""COMPUTED_VALUE"""),0.0029947916666666664)</f>
        <v>0.002994791667</v>
      </c>
      <c r="G135" s="5" t="str">
        <f>IFERROR(__xludf.DUMMYFUNCTION("""COMPUTED_VALUE"""),"FL5 (Civic Type-R)")</f>
        <v>FL5 (Civic Type-R)</v>
      </c>
      <c r="H135" s="5" t="str">
        <f>IFERROR(__xludf.DUMMYFUNCTION("""COMPUTED_VALUE"""),"PC")</f>
        <v>PC</v>
      </c>
      <c r="I135" s="5" t="str">
        <f>IFERROR(__xludf.DUMMYFUNCTION("""COMPUTED_VALUE"""),"unreal")</f>
        <v>unreal</v>
      </c>
      <c r="J135" s="5">
        <f>IFERROR(__xludf.DUMMYFUNCTION("""COMPUTED_VALUE"""),3.105671296296296E-4)</f>
        <v>0.0003105671296</v>
      </c>
      <c r="K135" s="5" t="str">
        <f>IFERROR(__xludf.DUMMYFUNCTION("""COMPUTED_VALUE"""),"AdvancedKart")</f>
        <v>AdvancedKart</v>
      </c>
      <c r="L135" s="5" t="str">
        <f>IFERROR(__xludf.DUMMYFUNCTION("""COMPUTED_VALUE"""),"PCVR")</f>
        <v>PCVR</v>
      </c>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row>
    <row r="136">
      <c r="A136" s="5" t="str">
        <f>IFERROR(__xludf.DUMMYFUNCTION("""COMPUTED_VALUE"""),"ikuhopen")</f>
        <v>ikuhopen</v>
      </c>
      <c r="B136" s="5">
        <f>IFERROR(__xludf.DUMMYFUNCTION("""COMPUTED_VALUE"""),0.002570150462962963)</f>
        <v>0.002570150463</v>
      </c>
      <c r="C136" s="5" t="str">
        <f>IFERROR(__xludf.DUMMYFUNCTION("""COMPUTED_VALUE"""),"AE86T2")</f>
        <v>AE86T2</v>
      </c>
      <c r="D136" s="5" t="str">
        <f>IFERROR(__xludf.DUMMYFUNCTION("""COMPUTED_VALUE"""),"PCVR")</f>
        <v>PCVR</v>
      </c>
      <c r="E136" s="5" t="str">
        <f>IFERROR(__xludf.DUMMYFUNCTION("""COMPUTED_VALUE"""),"Redfrogss")</f>
        <v>Redfrogss</v>
      </c>
      <c r="F136" s="5">
        <f>IFERROR(__xludf.DUMMYFUNCTION("""COMPUTED_VALUE"""),0.0029959375)</f>
        <v>0.0029959375</v>
      </c>
      <c r="G136" s="5" t="str">
        <f>IFERROR(__xludf.DUMMYFUNCTION("""COMPUTED_VALUE"""),"NA1 (NSX)")</f>
        <v>NA1 (NSX)</v>
      </c>
      <c r="H136" s="5" t="str">
        <f>IFERROR(__xludf.DUMMYFUNCTION("""COMPUTED_VALUE"""),"PCVR")</f>
        <v>PCVR</v>
      </c>
      <c r="I136" s="5" t="str">
        <f>IFERROR(__xludf.DUMMYFUNCTION("""COMPUTED_VALUE"""),"松前緒花")</f>
        <v>松前緒花</v>
      </c>
      <c r="J136" s="5">
        <f>IFERROR(__xludf.DUMMYFUNCTION("""COMPUTED_VALUE"""),3.386342592592592E-4)</f>
        <v>0.0003386342593</v>
      </c>
      <c r="K136" s="5" t="str">
        <f>IFERROR(__xludf.DUMMYFUNCTION("""COMPUTED_VALUE"""),"AdvancedKart")</f>
        <v>AdvancedKart</v>
      </c>
      <c r="L136" s="5" t="str">
        <f>IFERROR(__xludf.DUMMYFUNCTION("""COMPUTED_VALUE"""),"PCVR")</f>
        <v>PCVR</v>
      </c>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row>
    <row r="137">
      <c r="A137" s="5" t="str">
        <f>IFERROR(__xludf.DUMMYFUNCTION("""COMPUTED_VALUE"""),"LinWu_05")</f>
        <v>LinWu_05</v>
      </c>
      <c r="B137" s="5">
        <f>IFERROR(__xludf.DUMMYFUNCTION("""COMPUTED_VALUE"""),0.002626550925925926)</f>
        <v>0.002626550926</v>
      </c>
      <c r="C137" s="5" t="str">
        <f>IFERROR(__xludf.DUMMYFUNCTION("""COMPUTED_VALUE"""),"NA1 (NSX)")</f>
        <v>NA1 (NSX)</v>
      </c>
      <c r="D137" s="5" t="str">
        <f>IFERROR(__xludf.DUMMYFUNCTION("""COMPUTED_VALUE"""),"PC")</f>
        <v>PC</v>
      </c>
      <c r="E137" s="5" t="str">
        <f>IFERROR(__xludf.DUMMYFUNCTION("""COMPUTED_VALUE"""),"Test Driver")</f>
        <v>Test Driver</v>
      </c>
      <c r="F137" s="5">
        <f>IFERROR(__xludf.DUMMYFUNCTION("""COMPUTED_VALUE"""),0.006944444444444444)</f>
        <v>0.006944444444</v>
      </c>
      <c r="G137" s="5" t="str">
        <f>IFERROR(__xludf.DUMMYFUNCTION("""COMPUTED_VALUE"""),"NA1 (NSX)")</f>
        <v>NA1 (NSX)</v>
      </c>
      <c r="H137" s="5"/>
      <c r="I137" s="5" t="str">
        <f>IFERROR(__xludf.DUMMYFUNCTION("""COMPUTED_VALUE"""),"panjingye333")</f>
        <v>panjingye333</v>
      </c>
      <c r="J137" s="5">
        <f>IFERROR(__xludf.DUMMYFUNCTION("""COMPUTED_VALUE"""),3.869560185185185E-4)</f>
        <v>0.0003869560185</v>
      </c>
      <c r="K137" s="5" t="str">
        <f>IFERROR(__xludf.DUMMYFUNCTION("""COMPUTED_VALUE"""),"AdvancedKart")</f>
        <v>AdvancedKart</v>
      </c>
      <c r="L137" s="5" t="str">
        <f>IFERROR(__xludf.DUMMYFUNCTION("""COMPUTED_VALUE"""),"PCVR")</f>
        <v>PCVR</v>
      </c>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row>
    <row r="138">
      <c r="A138" s="5" t="str">
        <f>IFERROR(__xludf.DUMMYFUNCTION("""COMPUTED_VALUE"""),"『Sigma』")</f>
        <v>『Sigma』</v>
      </c>
      <c r="B138" s="5">
        <f>IFERROR(__xludf.DUMMYFUNCTION("""COMPUTED_VALUE"""),0.0026316203703703705)</f>
        <v>0.00263162037</v>
      </c>
      <c r="C138" s="5" t="str">
        <f>IFERROR(__xludf.DUMMYFUNCTION("""COMPUTED_VALUE"""),"FL5 (Civic Type-R)")</f>
        <v>FL5 (Civic Type-R)</v>
      </c>
      <c r="D138" s="5" t="str">
        <f>IFERROR(__xludf.DUMMYFUNCTION("""COMPUTED_VALUE"""),"PC")</f>
        <v>PC</v>
      </c>
      <c r="E138" s="5"/>
      <c r="F138" s="5"/>
      <c r="G138" s="5"/>
      <c r="H138" s="5"/>
      <c r="I138" s="5" t="str">
        <f>IFERROR(__xludf.DUMMYFUNCTION("""COMPUTED_VALUE"""),"Undead desu")</f>
        <v>Undead desu</v>
      </c>
      <c r="J138" s="5">
        <f>IFERROR(__xludf.DUMMYFUNCTION("""COMPUTED_VALUE"""),3.886921296296296E-4)</f>
        <v>0.0003886921296</v>
      </c>
      <c r="K138" s="5" t="str">
        <f>IFERROR(__xludf.DUMMYFUNCTION("""COMPUTED_VALUE"""),"AdvancedKart")</f>
        <v>AdvancedKart</v>
      </c>
      <c r="L138" s="5" t="str">
        <f>IFERROR(__xludf.DUMMYFUNCTION("""COMPUTED_VALUE"""),"PCVR")</f>
        <v>PCVR</v>
      </c>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row>
    <row r="139">
      <c r="A139" s="5" t="str">
        <f>IFERROR(__xludf.DUMMYFUNCTION("""COMPUTED_VALUE"""),"StarRiver Arts")</f>
        <v>StarRiver Arts</v>
      </c>
      <c r="B139" s="5">
        <f>IFERROR(__xludf.DUMMYFUNCTION("""COMPUTED_VALUE"""),0.002683449074074074)</f>
        <v>0.002683449074</v>
      </c>
      <c r="C139" s="5" t="str">
        <f>IFERROR(__xludf.DUMMYFUNCTION("""COMPUTED_VALUE"""),"FL5 (Civic Type-R)")</f>
        <v>FL5 (Civic Type-R)</v>
      </c>
      <c r="D139" s="5" t="str">
        <f>IFERROR(__xludf.DUMMYFUNCTION("""COMPUTED_VALUE"""),"PC")</f>
        <v>PC</v>
      </c>
      <c r="E139" s="5"/>
      <c r="F139" s="5"/>
      <c r="G139" s="5"/>
      <c r="H139" s="5"/>
      <c r="I139" s="5" t="str">
        <f>IFERROR(__xludf.DUMMYFUNCTION("""COMPUTED_VALUE"""),"Miku-ATRI")</f>
        <v>Miku-ATRI</v>
      </c>
      <c r="J139" s="5">
        <f>IFERROR(__xludf.DUMMYFUNCTION("""COMPUTED_VALUE"""),4.0292824074074075E-4)</f>
        <v>0.0004029282407</v>
      </c>
      <c r="K139" s="5" t="str">
        <f>IFERROR(__xludf.DUMMYFUNCTION("""COMPUTED_VALUE"""),"AdvancedKart")</f>
        <v>AdvancedKart</v>
      </c>
      <c r="L139" s="5" t="str">
        <f>IFERROR(__xludf.DUMMYFUNCTION("""COMPUTED_VALUE"""),"PCVR")</f>
        <v>PCVR</v>
      </c>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row>
    <row r="140">
      <c r="A140" s="5" t="str">
        <f>IFERROR(__xludf.DUMMYFUNCTION("""COMPUTED_VALUE"""),"Yune")</f>
        <v>Yune</v>
      </c>
      <c r="B140" s="5">
        <f>IFERROR(__xludf.DUMMYFUNCTION("""COMPUTED_VALUE"""),0.002697986111111111)</f>
        <v>0.002697986111</v>
      </c>
      <c r="C140" s="5" t="str">
        <f>IFERROR(__xludf.DUMMYFUNCTION("""COMPUTED_VALUE"""),"FD3S (RX7)")</f>
        <v>FD3S (RX7)</v>
      </c>
      <c r="D140" s="5" t="str">
        <f>IFERROR(__xludf.DUMMYFUNCTION("""COMPUTED_VALUE"""),"PC")</f>
        <v>PC</v>
      </c>
      <c r="E140" s="5"/>
      <c r="F140" s="5"/>
      <c r="G140" s="5"/>
      <c r="H140" s="5"/>
      <c r="I140" s="5" t="str">
        <f>IFERROR(__xludf.DUMMYFUNCTION("""COMPUTED_VALUE"""),"Momo_Yun")</f>
        <v>Momo_Yun</v>
      </c>
      <c r="J140" s="5">
        <f>IFERROR(__xludf.DUMMYFUNCTION("""COMPUTED_VALUE"""),4.702893518518519E-4)</f>
        <v>0.0004702893519</v>
      </c>
      <c r="K140" s="5" t="str">
        <f>IFERROR(__xludf.DUMMYFUNCTION("""COMPUTED_VALUE"""),"AdvancedKart")</f>
        <v>AdvancedKart</v>
      </c>
      <c r="L140" s="5" t="str">
        <f>IFERROR(__xludf.DUMMYFUNCTION("""COMPUTED_VALUE"""),"PCVR")</f>
        <v>PCVR</v>
      </c>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row>
    <row r="141">
      <c r="A141" s="5" t="str">
        <f>IFERROR(__xludf.DUMMYFUNCTION("""COMPUTED_VALUE"""),"Kinokono_Tenka")</f>
        <v>Kinokono_Tenka</v>
      </c>
      <c r="B141" s="5">
        <f>IFERROR(__xludf.DUMMYFUNCTION("""COMPUTED_VALUE"""),0.002700451388888889)</f>
        <v>0.002700451389</v>
      </c>
      <c r="C141" s="5" t="str">
        <f>IFERROR(__xludf.DUMMYFUNCTION("""COMPUTED_VALUE"""),"R35N3")</f>
        <v>R35N3</v>
      </c>
      <c r="D141" s="5" t="str">
        <f>IFERROR(__xludf.DUMMYFUNCTION("""COMPUTED_VALUE"""),"PCVR")</f>
        <v>PCVR</v>
      </c>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row>
    <row r="142">
      <c r="A142" s="5" t="str">
        <f>IFERROR(__xludf.DUMMYFUNCTION("""COMPUTED_VALUE"""),"Redfrogss")</f>
        <v>Redfrogss</v>
      </c>
      <c r="B142" s="5">
        <f>IFERROR(__xludf.DUMMYFUNCTION("""COMPUTED_VALUE"""),0.002733287037037037)</f>
        <v>0.002733287037</v>
      </c>
      <c r="C142" s="5" t="str">
        <f>IFERROR(__xludf.DUMMYFUNCTION("""COMPUTED_VALUE"""),"R35N3")</f>
        <v>R35N3</v>
      </c>
      <c r="D142" s="5" t="str">
        <f>IFERROR(__xludf.DUMMYFUNCTION("""COMPUTED_VALUE"""),"PCVR")</f>
        <v>PCVR</v>
      </c>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c r="A143" s="5" t="str">
        <f>IFERROR(__xludf.DUMMYFUNCTION("""COMPUTED_VALUE"""),"wasdwa")</f>
        <v>wasdwa</v>
      </c>
      <c r="B143" s="5">
        <f>IFERROR(__xludf.DUMMYFUNCTION("""COMPUTED_VALUE"""),0.0028647800925925924)</f>
        <v>0.002864780093</v>
      </c>
      <c r="C143" s="5" t="str">
        <f>IFERROR(__xludf.DUMMYFUNCTION("""COMPUTED_VALUE"""),"AE86T")</f>
        <v>AE86T</v>
      </c>
      <c r="D143" s="5" t="str">
        <f>IFERROR(__xludf.DUMMYFUNCTION("""COMPUTED_VALUE"""),"PC")</f>
        <v>PC</v>
      </c>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row>
    <row r="144">
      <c r="A144" s="5" t="str">
        <f>IFERROR(__xludf.DUMMYFUNCTION("""COMPUTED_VALUE"""),"Test Driver")</f>
        <v>Test Driver</v>
      </c>
      <c r="B144" s="5">
        <f>IFERROR(__xludf.DUMMYFUNCTION("""COMPUTED_VALUE"""),0.006944444444444444)</f>
        <v>0.006944444444</v>
      </c>
      <c r="C144" s="5" t="str">
        <f>IFERROR(__xludf.DUMMYFUNCTION("""COMPUTED_VALUE"""),"GT86/ZN6")</f>
        <v>GT86/ZN6</v>
      </c>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c r="A147" s="41" t="s">
        <v>62</v>
      </c>
      <c r="E147" s="41" t="s">
        <v>63</v>
      </c>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row>
    <row r="148">
      <c r="A148" s="11" t="str">
        <f>IFERROR(__xludf.DUMMYFUNCTION("LET(
  賽道, ""Tsuchisaka"",
  路線, ""DH"",
  系統, ""Sacc"",
  原始, FILTER('歷史紀錄'!E29:H1168, '歷史紀錄'!B29:B1168=賽道, '歷史紀錄'!C29:C1168=路線, '歷史紀錄'!I29:I1168=系統),
  排序後, SORT(原始, 2, TRUE),
  玩家, INDEX(排序後,,1),
  唯一玩家, UNIQUE(玩家),
  結果,
    MAP(唯一玩家, LAMBDA(p,
      "&amp;"INDEX(FILTER(排序後, INDEX(排序後,,1)=p),1,0)
    )),
  表頭, {""Player玩家"",""Time時間"",""Car車種"",""Platform平台""},
  VSTACK(表頭, 結果)
)
"),"Player玩家")</f>
        <v>Player玩家</v>
      </c>
      <c r="B148" s="11" t="str">
        <f>IFERROR(__xludf.DUMMYFUNCTION("""COMPUTED_VALUE"""),"Time時間")</f>
        <v>Time時間</v>
      </c>
      <c r="C148" s="11" t="str">
        <f>IFERROR(__xludf.DUMMYFUNCTION("""COMPUTED_VALUE"""),"Car車種")</f>
        <v>Car車種</v>
      </c>
      <c r="D148" s="11" t="str">
        <f>IFERROR(__xludf.DUMMYFUNCTION("""COMPUTED_VALUE"""),"Platform平台")</f>
        <v>Platform平台</v>
      </c>
      <c r="E148" s="11" t="str">
        <f>IFERROR(__xludf.DUMMYFUNCTION("LET(
  賽道, ""Tsuchisaka"",
  路線, ""UH"",
  系統, ""Sacc"",
  原始, FILTER('歷史紀錄'!E29:H1168, '歷史紀錄'!B29:B1168=賽道, '歷史紀錄'!C29:C1168=路線, '歷史紀錄'!I29:I1168=系統),
  排序後, SORT(原始, 2, TRUE),
  玩家, INDEX(排序後,,1),
  唯一玩家, UNIQUE(玩家),
  結果,
    MAP(唯一玩家, LAMBDA(p,
      "&amp;"INDEX(FILTER(排序後, INDEX(排序後,,1)=p),1,0)
    )),
  表頭, {""Player玩家"",""Time時間"",""Car車種"",""Platform平台""},
  VSTACK(表頭, 結果)
)
"),"Player玩家")</f>
        <v>Player玩家</v>
      </c>
      <c r="F148" s="11" t="str">
        <f>IFERROR(__xludf.DUMMYFUNCTION("""COMPUTED_VALUE"""),"Time時間")</f>
        <v>Time時間</v>
      </c>
      <c r="G148" s="11" t="str">
        <f>IFERROR(__xludf.DUMMYFUNCTION("""COMPUTED_VALUE"""),"Car車種")</f>
        <v>Car車種</v>
      </c>
      <c r="H148" s="11" t="str">
        <f>IFERROR(__xludf.DUMMYFUNCTION("""COMPUTED_VALUE"""),"Platform平台")</f>
        <v>Platform平台</v>
      </c>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row>
    <row r="149">
      <c r="A149" s="5" t="str">
        <f>IFERROR(__xludf.DUMMYFUNCTION("""COMPUTED_VALUE"""),"StarRiver Arts")</f>
        <v>StarRiver Arts</v>
      </c>
      <c r="B149" s="5">
        <f>IFERROR(__xludf.DUMMYFUNCTION("""COMPUTED_VALUE"""),0.001505787037037037)</f>
        <v>0.001505787037</v>
      </c>
      <c r="C149" s="5" t="str">
        <f>IFERROR(__xludf.DUMMYFUNCTION("""COMPUTED_VALUE"""),"EVOVI/CP9A")</f>
        <v>EVOVI/CP9A</v>
      </c>
      <c r="D149" s="5" t="str">
        <f>IFERROR(__xludf.DUMMYFUNCTION("""COMPUTED_VALUE"""),"PC")</f>
        <v>PC</v>
      </c>
      <c r="E149" s="5" t="str">
        <f>IFERROR(__xludf.DUMMYFUNCTION("""COMPUTED_VALUE"""),"StarRiver Arts")</f>
        <v>StarRiver Arts</v>
      </c>
      <c r="F149" s="5">
        <f>IFERROR(__xludf.DUMMYFUNCTION("""COMPUTED_VALUE"""),0.0017542476851851853)</f>
        <v>0.001754247685</v>
      </c>
      <c r="G149" s="5" t="str">
        <f>IFERROR(__xludf.DUMMYFUNCTION("""COMPUTED_VALUE"""),"EVOVI/CP9A")</f>
        <v>EVOVI/CP9A</v>
      </c>
      <c r="H149" s="5" t="str">
        <f>IFERROR(__xludf.DUMMYFUNCTION("""COMPUTED_VALUE"""),"PC")</f>
        <v>PC</v>
      </c>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row>
    <row r="150">
      <c r="A150" s="5" t="str">
        <f>IFERROR(__xludf.DUMMYFUNCTION("""COMPUTED_VALUE"""),"Test Driver")</f>
        <v>Test Driver</v>
      </c>
      <c r="B150" s="5">
        <f>IFERROR(__xludf.DUMMYFUNCTION("""COMPUTED_VALUE"""),0.006944444444444444)</f>
        <v>0.006944444444</v>
      </c>
      <c r="C150" s="5" t="str">
        <f>IFERROR(__xludf.DUMMYFUNCTION("""COMPUTED_VALUE"""),"AE86T")</f>
        <v>AE86T</v>
      </c>
      <c r="D150" s="5"/>
      <c r="E150" s="5" t="str">
        <f>IFERROR(__xludf.DUMMYFUNCTION("""COMPUTED_VALUE"""),"Test Driver")</f>
        <v>Test Driver</v>
      </c>
      <c r="F150" s="5">
        <f>IFERROR(__xludf.DUMMYFUNCTION("""COMPUTED_VALUE"""),0.006944444444444444)</f>
        <v>0.006944444444</v>
      </c>
      <c r="G150" s="5" t="str">
        <f>IFERROR(__xludf.DUMMYFUNCTION("""COMPUTED_VALUE"""),"AE86T")</f>
        <v>AE86T</v>
      </c>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row>
    <row r="152">
      <c r="A152" s="41" t="s">
        <v>64</v>
      </c>
      <c r="E152" s="41" t="s">
        <v>65</v>
      </c>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row>
    <row r="153">
      <c r="A153" s="11" t="str">
        <f>IFERROR(__xludf.DUMMYFUNCTION("LET(
  賽道, ""Tsuchisaka"",
  路線, ""IB"",
  系統, ""Sacc"",
  原始, FILTER('歷史紀錄'!$E$10:$H1168, '歷史紀錄'!$B$10:$B1168=賽道, '歷史紀錄'!$C$10:$C1168=路線, '歷史紀錄'!$I$10:$I1168=系統),
  排序後, SORT(原始, 2, TRUE),
  玩家, INDEX(排序後,,1),
  唯一玩家, UNIQUE(玩家),
  結果,
    MAP(唯一玩家, LAMB"&amp;"DA(p,
      INDEX(FILTER(排序後, INDEX(排序後,,1)=p),1,0)
    )),
  表頭, {""Player玩家"",""Time時間"",""Car車種"",""Platform平台""},
  VSTACK(表頭, 結果)
)
"),"Player玩家")</f>
        <v>Player玩家</v>
      </c>
      <c r="B153" s="11" t="str">
        <f>IFERROR(__xludf.DUMMYFUNCTION("""COMPUTED_VALUE"""),"Time時間")</f>
        <v>Time時間</v>
      </c>
      <c r="C153" s="11" t="str">
        <f>IFERROR(__xludf.DUMMYFUNCTION("""COMPUTED_VALUE"""),"Car車種")</f>
        <v>Car車種</v>
      </c>
      <c r="D153" s="11" t="str">
        <f>IFERROR(__xludf.DUMMYFUNCTION("""COMPUTED_VALUE"""),"Platform平台")</f>
        <v>Platform平台</v>
      </c>
      <c r="E153" s="11" t="str">
        <f>IFERROR(__xludf.DUMMYFUNCTION("LET(
  賽道, ""Tsuchisaka"",
  路線, ""OB"",
  系統, ""Sacc"",
  原始, FILTER('歷史紀錄'!$E$10:$H1168, '歷史紀錄'!$B$10:$B1168=賽道, '歷史紀錄'!$C$10:$C1168=路線, '歷史紀錄'!$I$10:$I1168=系統),
  排序後, SORT(原始, 2, TRUE),
  玩家, INDEX(排序後,,1),
  唯一玩家, UNIQUE(玩家),
  結果,
    MAP(唯一玩家, LAMB"&amp;"DA(p,
      INDEX(FILTER(排序後, INDEX(排序後,,1)=p),1,0)
    )),
  表頭, {""Player玩家"",""Time時間"",""Car車種"",""Platform平台""},
  VSTACK(表頭, 結果)
)
"),"Player玩家")</f>
        <v>Player玩家</v>
      </c>
      <c r="F153" s="11" t="str">
        <f>IFERROR(__xludf.DUMMYFUNCTION("""COMPUTED_VALUE"""),"Time時間")</f>
        <v>Time時間</v>
      </c>
      <c r="G153" s="11" t="str">
        <f>IFERROR(__xludf.DUMMYFUNCTION("""COMPUTED_VALUE"""),"Car車種")</f>
        <v>Car車種</v>
      </c>
      <c r="H153" s="11" t="str">
        <f>IFERROR(__xludf.DUMMYFUNCTION("""COMPUTED_VALUE"""),"Platform平台")</f>
        <v>Platform平台</v>
      </c>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c r="A154" s="5" t="str">
        <f>IFERROR(__xludf.DUMMYFUNCTION("""COMPUTED_VALUE"""),"StarRiver Arts")</f>
        <v>StarRiver Arts</v>
      </c>
      <c r="B154" s="5">
        <f>IFERROR(__xludf.DUMMYFUNCTION("""COMPUTED_VALUE"""),0.0027189351851851853)</f>
        <v>0.002718935185</v>
      </c>
      <c r="C154" s="5" t="str">
        <f>IFERROR(__xludf.DUMMYFUNCTION("""COMPUTED_VALUE"""),"EVOVI/CP9A")</f>
        <v>EVOVI/CP9A</v>
      </c>
      <c r="D154" s="5" t="str">
        <f>IFERROR(__xludf.DUMMYFUNCTION("""COMPUTED_VALUE"""),"PC")</f>
        <v>PC</v>
      </c>
      <c r="E154" s="5" t="str">
        <f>IFERROR(__xludf.DUMMYFUNCTION("""COMPUTED_VALUE"""),"StarRiver Arts")</f>
        <v>StarRiver Arts</v>
      </c>
      <c r="F154" s="5">
        <f>IFERROR(__xludf.DUMMYFUNCTION("""COMPUTED_VALUE"""),0.00256693287037037)</f>
        <v>0.00256693287</v>
      </c>
      <c r="G154" s="5" t="str">
        <f>IFERROR(__xludf.DUMMYFUNCTION("""COMPUTED_VALUE"""),"EVOVI/CP9A")</f>
        <v>EVOVI/CP9A</v>
      </c>
      <c r="H154" s="5" t="str">
        <f>IFERROR(__xludf.DUMMYFUNCTION("""COMPUTED_VALUE"""),"PC")</f>
        <v>PC</v>
      </c>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row>
    <row r="155">
      <c r="A155" s="5" t="str">
        <f>IFERROR(__xludf.DUMMYFUNCTION("""COMPUTED_VALUE"""),"Test Driver")</f>
        <v>Test Driver</v>
      </c>
      <c r="B155" s="5">
        <f>IFERROR(__xludf.DUMMYFUNCTION("""COMPUTED_VALUE"""),0.006944444444444444)</f>
        <v>0.006944444444</v>
      </c>
      <c r="C155" s="5" t="str">
        <f>IFERROR(__xludf.DUMMYFUNCTION("""COMPUTED_VALUE"""),"AE86T")</f>
        <v>AE86T</v>
      </c>
      <c r="D155" s="5"/>
      <c r="E155" s="5" t="str">
        <f>IFERROR(__xludf.DUMMYFUNCTION("""COMPUTED_VALUE"""),"Test Driver")</f>
        <v>Test Driver</v>
      </c>
      <c r="F155" s="5">
        <f>IFERROR(__xludf.DUMMYFUNCTION("""COMPUTED_VALUE"""),0.006944444444444444)</f>
        <v>0.006944444444</v>
      </c>
      <c r="G155" s="5" t="str">
        <f>IFERROR(__xludf.DUMMYFUNCTION("""COMPUTED_VALUE"""),"AE86T")</f>
        <v>AE86T</v>
      </c>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row>
    <row r="157">
      <c r="A157" s="42" t="s">
        <v>66</v>
      </c>
      <c r="E157" s="42" t="s">
        <v>67</v>
      </c>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row>
    <row r="158">
      <c r="A158" s="11" t="str">
        <f>IFERROR(__xludf.DUMMYFUNCTION("LET(
  賽道, ""Sadamine"",
  路線, ""FCDH"",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158" s="11" t="str">
        <f>IFERROR(__xludf.DUMMYFUNCTION("""COMPUTED_VALUE"""),"Time時間")</f>
        <v>Time時間</v>
      </c>
      <c r="C158" s="11" t="str">
        <f>IFERROR(__xludf.DUMMYFUNCTION("""COMPUTED_VALUE"""),"Car車種")</f>
        <v>Car車種</v>
      </c>
      <c r="D158" s="11" t="str">
        <f>IFERROR(__xludf.DUMMYFUNCTION("""COMPUTED_VALUE"""),"Platform平台")</f>
        <v>Platform平台</v>
      </c>
      <c r="E158" s="11" t="str">
        <f>IFERROR(__xludf.DUMMYFUNCTION("LET(
  賽道, ""Sadamine"",
  路線, ""FCUH"",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158" s="11" t="str">
        <f>IFERROR(__xludf.DUMMYFUNCTION("""COMPUTED_VALUE"""),"Time時間")</f>
        <v>Time時間</v>
      </c>
      <c r="G158" s="11" t="str">
        <f>IFERROR(__xludf.DUMMYFUNCTION("""COMPUTED_VALUE"""),"Car車種")</f>
        <v>Car車種</v>
      </c>
      <c r="H158" s="11" t="str">
        <f>IFERROR(__xludf.DUMMYFUNCTION("""COMPUTED_VALUE"""),"Platform平台")</f>
        <v>Platform平台</v>
      </c>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row>
    <row r="159">
      <c r="A159" s="5" t="str">
        <f>IFERROR(__xludf.DUMMYFUNCTION("""COMPUTED_VALUE"""),"Lolidia")</f>
        <v>Lolidia</v>
      </c>
      <c r="B159" s="5">
        <f>IFERROR(__xludf.DUMMYFUNCTION("""COMPUTED_VALUE"""),0.002249224537037037)</f>
        <v>0.002249224537</v>
      </c>
      <c r="C159" s="5" t="str">
        <f>IFERROR(__xludf.DUMMYFUNCTION("""COMPUTED_VALUE"""),"FD3S (RX7)(ST)")</f>
        <v>FD3S (RX7)(ST)</v>
      </c>
      <c r="D159" s="5" t="str">
        <f>IFERROR(__xludf.DUMMYFUNCTION("""COMPUTED_VALUE"""),"PCVR")</f>
        <v>PCVR</v>
      </c>
      <c r="E159" s="5" t="str">
        <f>IFERROR(__xludf.DUMMYFUNCTION("""COMPUTED_VALUE"""),"StarRiver Arts")</f>
        <v>StarRiver Arts</v>
      </c>
      <c r="F159" s="5">
        <f>IFERROR(__xludf.DUMMYFUNCTION("""COMPUTED_VALUE"""),0.002911076388888889)</f>
        <v>0.002911076389</v>
      </c>
      <c r="G159" s="5" t="str">
        <f>IFERROR(__xludf.DUMMYFUNCTION("""COMPUTED_VALUE"""),"FD3S (RX7)(TT)")</f>
        <v>FD3S (RX7)(TT)</v>
      </c>
      <c r="H159" s="5" t="str">
        <f>IFERROR(__xludf.DUMMYFUNCTION("""COMPUTED_VALUE"""),"PC")</f>
        <v>PC</v>
      </c>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row>
    <row r="160">
      <c r="A160" s="5" t="str">
        <f>IFERROR(__xludf.DUMMYFUNCTION("""COMPUTED_VALUE"""),"Doyakyon")</f>
        <v>Doyakyon</v>
      </c>
      <c r="B160" s="5">
        <f>IFERROR(__xludf.DUMMYFUNCTION("""COMPUTED_VALUE"""),0.002383101851851852)</f>
        <v>0.002383101852</v>
      </c>
      <c r="C160" s="5" t="str">
        <f>IFERROR(__xludf.DUMMYFUNCTION("""COMPUTED_VALUE"""),"AE86T")</f>
        <v>AE86T</v>
      </c>
      <c r="D160" s="5" t="str">
        <f>IFERROR(__xludf.DUMMYFUNCTION("""COMPUTED_VALUE"""),"PCVR")</f>
        <v>PCVR</v>
      </c>
      <c r="E160" s="5" t="str">
        <f>IFERROR(__xludf.DUMMYFUNCTION("""COMPUTED_VALUE"""),"Kinokono_Tenka")</f>
        <v>Kinokono_Tenka</v>
      </c>
      <c r="F160" s="5">
        <f>IFERROR(__xludf.DUMMYFUNCTION("""COMPUTED_VALUE"""),0.003041087962962963)</f>
        <v>0.003041087963</v>
      </c>
      <c r="G160" s="5" t="str">
        <f>IFERROR(__xludf.DUMMYFUNCTION("""COMPUTED_VALUE"""),"EG6 (civic)")</f>
        <v>EG6 (civic)</v>
      </c>
      <c r="H160" s="5" t="str">
        <f>IFERROR(__xludf.DUMMYFUNCTION("""COMPUTED_VALUE"""),"PCVR")</f>
        <v>PCVR</v>
      </c>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row>
    <row r="161">
      <c r="A161" s="5" t="str">
        <f>IFERROR(__xludf.DUMMYFUNCTION("""COMPUTED_VALUE"""),"StarRiver Arts")</f>
        <v>StarRiver Arts</v>
      </c>
      <c r="B161" s="5">
        <f>IFERROR(__xludf.DUMMYFUNCTION("""COMPUTED_VALUE"""),0.0025293171296296296)</f>
        <v>0.00252931713</v>
      </c>
      <c r="C161" s="5" t="str">
        <f>IFERROR(__xludf.DUMMYFUNCTION("""COMPUTED_VALUE"""),"SXE10 (Altezza)")</f>
        <v>SXE10 (Altezza)</v>
      </c>
      <c r="D161" s="5" t="str">
        <f>IFERROR(__xludf.DUMMYFUNCTION("""COMPUTED_VALUE"""),"PC")</f>
        <v>PC</v>
      </c>
      <c r="E161" s="5" t="str">
        <f>IFERROR(__xludf.DUMMYFUNCTION("""COMPUTED_VALUE"""),"Test Driver")</f>
        <v>Test Driver</v>
      </c>
      <c r="F161" s="5">
        <f>IFERROR(__xludf.DUMMYFUNCTION("""COMPUTED_VALUE"""),0.006944444444444444)</f>
        <v>0.006944444444</v>
      </c>
      <c r="G161" s="5" t="str">
        <f>IFERROR(__xludf.DUMMYFUNCTION("""COMPUTED_VALUE"""),"FD3S (RX7)(ST)")</f>
        <v>FD3S (RX7)(ST)</v>
      </c>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row>
    <row r="162">
      <c r="A162" s="5" t="str">
        <f>IFERROR(__xludf.DUMMYFUNCTION("""COMPUTED_VALUE"""),"Kinokono_Tenka")</f>
        <v>Kinokono_Tenka</v>
      </c>
      <c r="B162" s="5">
        <f>IFERROR(__xludf.DUMMYFUNCTION("""COMPUTED_VALUE"""),0.0025498263888888892)</f>
        <v>0.002549826389</v>
      </c>
      <c r="C162" s="5" t="str">
        <f>IFERROR(__xludf.DUMMYFUNCTION("""COMPUTED_VALUE"""),"EG6 (civic)")</f>
        <v>EG6 (civic)</v>
      </c>
      <c r="D162" s="5" t="str">
        <f>IFERROR(__xludf.DUMMYFUNCTION("""COMPUTED_VALUE"""),"PCVR")</f>
        <v>PCVR</v>
      </c>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row>
    <row r="163">
      <c r="A163" s="5" t="str">
        <f>IFERROR(__xludf.DUMMYFUNCTION("""COMPUTED_VALUE"""),"Test Driver")</f>
        <v>Test Driver</v>
      </c>
      <c r="B163" s="5">
        <f>IFERROR(__xludf.DUMMYFUNCTION("""COMPUTED_VALUE"""),0.006944444444444444)</f>
        <v>0.006944444444</v>
      </c>
      <c r="C163" s="5" t="str">
        <f>IFERROR(__xludf.DUMMYFUNCTION("""COMPUTED_VALUE"""),"Fake Trueno")</f>
        <v>Fake Trueno</v>
      </c>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row>
    <row r="166">
      <c r="A166" s="42" t="s">
        <v>68</v>
      </c>
      <c r="E166" s="42" t="s">
        <v>69</v>
      </c>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row>
    <row r="167">
      <c r="A167" s="11" t="str">
        <f>IFERROR(__xludf.DUMMYFUNCTION("LET(
  賽道, ""Sadamine"",
  路線, ""OCDH"",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167" s="11" t="str">
        <f>IFERROR(__xludf.DUMMYFUNCTION("""COMPUTED_VALUE"""),"Time時間")</f>
        <v>Time時間</v>
      </c>
      <c r="C167" s="11" t="str">
        <f>IFERROR(__xludf.DUMMYFUNCTION("""COMPUTED_VALUE"""),"Car車種")</f>
        <v>Car車種</v>
      </c>
      <c r="D167" s="11" t="str">
        <f>IFERROR(__xludf.DUMMYFUNCTION("""COMPUTED_VALUE"""),"Platform平台")</f>
        <v>Platform平台</v>
      </c>
      <c r="E167" s="11" t="str">
        <f>IFERROR(__xludf.DUMMYFUNCTION("LET(
  賽道, ""Sadamine"",
  路線, ""OCUH"",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167" s="11" t="str">
        <f>IFERROR(__xludf.DUMMYFUNCTION("""COMPUTED_VALUE"""),"Time時間")</f>
        <v>Time時間</v>
      </c>
      <c r="G167" s="11" t="str">
        <f>IFERROR(__xludf.DUMMYFUNCTION("""COMPUTED_VALUE"""),"Car車種")</f>
        <v>Car車種</v>
      </c>
      <c r="H167" s="11" t="str">
        <f>IFERROR(__xludf.DUMMYFUNCTION("""COMPUTED_VALUE"""),"Platform平台")</f>
        <v>Platform平台</v>
      </c>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row>
    <row r="168">
      <c r="A168" s="5" t="str">
        <f>IFERROR(__xludf.DUMMYFUNCTION("""COMPUTED_VALUE"""),"StarRiver Arts")</f>
        <v>StarRiver Arts</v>
      </c>
      <c r="B168" s="5">
        <f>IFERROR(__xludf.DUMMYFUNCTION("""COMPUTED_VALUE"""),0.0017935995370370371)</f>
        <v>0.001793599537</v>
      </c>
      <c r="C168" s="5" t="str">
        <f>IFERROR(__xludf.DUMMYFUNCTION("""COMPUTED_VALUE"""),"AE86T")</f>
        <v>AE86T</v>
      </c>
      <c r="D168" s="5" t="str">
        <f>IFERROR(__xludf.DUMMYFUNCTION("""COMPUTED_VALUE"""),"PC")</f>
        <v>PC</v>
      </c>
      <c r="E168" s="5" t="str">
        <f>IFERROR(__xludf.DUMMYFUNCTION("""COMPUTED_VALUE"""),"StarRiver Arts")</f>
        <v>StarRiver Arts</v>
      </c>
      <c r="F168" s="5">
        <f>IFERROR(__xludf.DUMMYFUNCTION("""COMPUTED_VALUE"""),0.0021378587962962966)</f>
        <v>0.002137858796</v>
      </c>
      <c r="G168" s="5" t="str">
        <f>IFERROR(__xludf.DUMMYFUNCTION("""COMPUTED_VALUE"""),"EG6 (civic)")</f>
        <v>EG6 (civic)</v>
      </c>
      <c r="H168" s="5" t="str">
        <f>IFERROR(__xludf.DUMMYFUNCTION("""COMPUTED_VALUE"""),"PC")</f>
        <v>PC</v>
      </c>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row>
    <row r="169">
      <c r="A169" s="5" t="str">
        <f>IFERROR(__xludf.DUMMYFUNCTION("""COMPUTED_VALUE"""),"Kinokono_Tenka")</f>
        <v>Kinokono_Tenka</v>
      </c>
      <c r="B169" s="5">
        <f>IFERROR(__xludf.DUMMYFUNCTION("""COMPUTED_VALUE"""),0.0018724189814814812)</f>
        <v>0.001872418981</v>
      </c>
      <c r="C169" s="5" t="str">
        <f>IFERROR(__xludf.DUMMYFUNCTION("""COMPUTED_VALUE"""),"EG6 (civic)")</f>
        <v>EG6 (civic)</v>
      </c>
      <c r="D169" s="5" t="str">
        <f>IFERROR(__xludf.DUMMYFUNCTION("""COMPUTED_VALUE"""),"PCVR")</f>
        <v>PCVR</v>
      </c>
      <c r="E169" s="5" t="str">
        <f>IFERROR(__xludf.DUMMYFUNCTION("""COMPUTED_VALUE"""),"Test Driver")</f>
        <v>Test Driver</v>
      </c>
      <c r="F169" s="12">
        <f>IFERROR(__xludf.DUMMYFUNCTION("""COMPUTED_VALUE"""),0.006944444444444444)</f>
        <v>0.006944444444</v>
      </c>
      <c r="G169" s="5" t="str">
        <f>IFERROR(__xludf.DUMMYFUNCTION("""COMPUTED_VALUE"""),"FD3S (RX7)(ST)")</f>
        <v>FD3S (RX7)(ST)</v>
      </c>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row>
    <row r="170">
      <c r="A170" s="5" t="str">
        <f>IFERROR(__xludf.DUMMYFUNCTION("""COMPUTED_VALUE"""),"Test Driver")</f>
        <v>Test Driver</v>
      </c>
      <c r="B170" s="5">
        <f>IFERROR(__xludf.DUMMYFUNCTION("""COMPUTED_VALUE"""),0.006944444444444444)</f>
        <v>0.006944444444</v>
      </c>
      <c r="C170" s="5" t="str">
        <f>IFERROR(__xludf.DUMMYFUNCTION("""COMPUTED_VALUE"""),"FD3S (RX7)(TT)")</f>
        <v>FD3S (RX7)(TT)</v>
      </c>
      <c r="D170" s="5"/>
      <c r="E170" s="5"/>
      <c r="F170" s="12"/>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5"/>
      <c r="C171" s="5"/>
      <c r="D171" s="5"/>
      <c r="E171" s="5"/>
      <c r="F171" s="12"/>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5"/>
      <c r="C172" s="5"/>
      <c r="D172" s="5"/>
      <c r="E172" s="5"/>
      <c r="F172" s="12"/>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5"/>
      <c r="C173" s="5"/>
      <c r="D173" s="5"/>
      <c r="E173" s="5"/>
      <c r="F173" s="12"/>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5"/>
      <c r="C174" s="5"/>
      <c r="D174" s="5"/>
      <c r="E174" s="5"/>
      <c r="F174" s="12"/>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5"/>
      <c r="C175" s="5"/>
      <c r="D175" s="5"/>
      <c r="E175" s="5"/>
      <c r="F175" s="12"/>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5"/>
      <c r="C176" s="5"/>
      <c r="D176" s="5"/>
      <c r="E176" s="5"/>
      <c r="F176" s="12"/>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5"/>
      <c r="C177" s="5"/>
      <c r="D177" s="5"/>
      <c r="E177" s="5"/>
      <c r="F177" s="12"/>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5"/>
      <c r="C178" s="5"/>
      <c r="D178" s="5"/>
      <c r="E178" s="5"/>
      <c r="F178" s="12"/>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5"/>
      <c r="C179" s="5"/>
      <c r="D179" s="5"/>
      <c r="E179" s="5"/>
      <c r="F179" s="12"/>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row>
    <row r="180">
      <c r="A180" s="6" t="s">
        <v>70</v>
      </c>
      <c r="E180" s="6" t="s">
        <v>71</v>
      </c>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row>
    <row r="181">
      <c r="A181" s="11" t="str">
        <f>IFERROR(__xludf.DUMMYFUNCTION("LET(
  賽道, ""Mt.Talkan"",
  路線, ""DH"",
  系統, ""Sacc"",
  原始, FILTER('歷史紀錄'!E43:H1168, '歷史紀錄'!B43:B1168=賽道, '歷史紀錄'!C43:C1168=路線, '歷史紀錄'!I43:I1168=系統),
  排序後, SORT(原始, 2, TRUE),
  玩家, INDEX(排序後,,1),
  唯一玩家, UNIQUE(玩家),
  結果,
    MAP(唯一玩家, LAMBDA(p,
      I"&amp;"NDEX(FILTER(排序後, INDEX(排序後,,1)=p),1,0)
    )),
  表頭, {""Player玩家"",""Time時間"",""Car車種"",""Platform平台""},
  VSTACK(表頭, 結果)
)
"),"Player玩家")</f>
        <v>Player玩家</v>
      </c>
      <c r="B181" s="11" t="str">
        <f>IFERROR(__xludf.DUMMYFUNCTION("""COMPUTED_VALUE"""),"Time時間")</f>
        <v>Time時間</v>
      </c>
      <c r="C181" s="11" t="str">
        <f>IFERROR(__xludf.DUMMYFUNCTION("""COMPUTED_VALUE"""),"Car車種")</f>
        <v>Car車種</v>
      </c>
      <c r="D181" s="11" t="str">
        <f>IFERROR(__xludf.DUMMYFUNCTION("""COMPUTED_VALUE"""),"Platform平台")</f>
        <v>Platform平台</v>
      </c>
      <c r="E181" s="11" t="str">
        <f>IFERROR(__xludf.DUMMYFUNCTION("LET(
  賽道, ""Mt.Talkan"",
  路線, ""UH"",
  系統, ""Sacc"",
  原始, FILTER('歷史紀錄'!E43:H1168, '歷史紀錄'!B43:B1168=賽道, '歷史紀錄'!C43:C1168=路線, '歷史紀錄'!I43:I1168=系統),
  排序後, SORT(原始, 2, TRUE),
  玩家, INDEX(排序後,,1),
  唯一玩家, UNIQUE(玩家),
  結果,
    MAP(唯一玩家, LAMBDA(p,
      I"&amp;"NDEX(FILTER(排序後, INDEX(排序後,,1)=p),1,0)
    )),
  表頭, {""Player玩家"",""Time時間"",""Car車種"",""Platform平台""},
  VSTACK(表頭, 結果)
)
"),"Player玩家")</f>
        <v>Player玩家</v>
      </c>
      <c r="F181" s="11" t="str">
        <f>IFERROR(__xludf.DUMMYFUNCTION("""COMPUTED_VALUE"""),"Time時間")</f>
        <v>Time時間</v>
      </c>
      <c r="G181" s="11" t="str">
        <f>IFERROR(__xludf.DUMMYFUNCTION("""COMPUTED_VALUE"""),"Car車種")</f>
        <v>Car車種</v>
      </c>
      <c r="H181" s="11" t="str">
        <f>IFERROR(__xludf.DUMMYFUNCTION("""COMPUTED_VALUE"""),"Platform平台")</f>
        <v>Platform平台</v>
      </c>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row>
    <row r="182">
      <c r="A182" s="5" t="str">
        <f>IFERROR(__xludf.DUMMYFUNCTION("""COMPUTED_VALUE"""),"LinWu_05")</f>
        <v>LinWu_05</v>
      </c>
      <c r="B182" s="5">
        <f>IFERROR(__xludf.DUMMYFUNCTION("""COMPUTED_VALUE"""),0.0025902777777777777)</f>
        <v>0.002590277778</v>
      </c>
      <c r="C182" s="5" t="str">
        <f>IFERROR(__xludf.DUMMYFUNCTION("""COMPUTED_VALUE"""),"BMW M1")</f>
        <v>BMW M1</v>
      </c>
      <c r="D182" s="5" t="str">
        <f>IFERROR(__xludf.DUMMYFUNCTION("""COMPUTED_VALUE"""),"PC")</f>
        <v>PC</v>
      </c>
      <c r="E182" s="5" t="str">
        <f>IFERROR(__xludf.DUMMYFUNCTION("""COMPUTED_VALUE"""),"LinWu_05")</f>
        <v>LinWu_05</v>
      </c>
      <c r="F182" s="5">
        <f>IFERROR(__xludf.DUMMYFUNCTION("""COMPUTED_VALUE"""),0.002331412037037037)</f>
        <v>0.002331412037</v>
      </c>
      <c r="G182" s="5" t="str">
        <f>IFERROR(__xludf.DUMMYFUNCTION("""COMPUTED_VALUE"""),"BMW M1")</f>
        <v>BMW M1</v>
      </c>
      <c r="H182" s="5" t="str">
        <f>IFERROR(__xludf.DUMMYFUNCTION("""COMPUTED_VALUE"""),"PC")</f>
        <v>PC</v>
      </c>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row>
    <row r="183">
      <c r="A183" s="12" t="str">
        <f>IFERROR(__xludf.DUMMYFUNCTION("""COMPUTED_VALUE"""),"Test Driver")</f>
        <v>Test Driver</v>
      </c>
      <c r="B183" s="12">
        <f>IFERROR(__xludf.DUMMYFUNCTION("""COMPUTED_VALUE"""),0.006944444444444444)</f>
        <v>0.006944444444</v>
      </c>
      <c r="C183" s="5" t="str">
        <f>IFERROR(__xludf.DUMMYFUNCTION("""COMPUTED_VALUE"""),"SLS")</f>
        <v>SLS</v>
      </c>
      <c r="D183" s="5"/>
      <c r="E183" s="5" t="str">
        <f>IFERROR(__xludf.DUMMYFUNCTION("""COMPUTED_VALUE"""),"Redfrogss")</f>
        <v>Redfrogss</v>
      </c>
      <c r="F183" s="5">
        <f>IFERROR(__xludf.DUMMYFUNCTION("""COMPUTED_VALUE"""),0.0024704050925925926)</f>
        <v>0.002470405093</v>
      </c>
      <c r="G183" s="5" t="str">
        <f>IFERROR(__xludf.DUMMYFUNCTION("""COMPUTED_VALUE"""),"Z4")</f>
        <v>Z4</v>
      </c>
      <c r="H183" s="5" t="str">
        <f>IFERROR(__xludf.DUMMYFUNCTION("""COMPUTED_VALUE"""),"PCVR")</f>
        <v>PCVR</v>
      </c>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row>
    <row r="184">
      <c r="A184" s="12"/>
      <c r="B184" s="12"/>
      <c r="C184" s="5"/>
      <c r="D184" s="5"/>
      <c r="E184" s="5" t="str">
        <f>IFERROR(__xludf.DUMMYFUNCTION("""COMPUTED_VALUE"""),"StarRiver Arts")</f>
        <v>StarRiver Arts</v>
      </c>
      <c r="F184" s="5">
        <f>IFERROR(__xludf.DUMMYFUNCTION("""COMPUTED_VALUE"""),0.003848460648148148)</f>
        <v>0.003848460648</v>
      </c>
      <c r="G184" s="5" t="str">
        <f>IFERROR(__xludf.DUMMYFUNCTION("""COMPUTED_VALUE"""),"SLS")</f>
        <v>SLS</v>
      </c>
      <c r="H184" s="5" t="str">
        <f>IFERROR(__xludf.DUMMYFUNCTION("""COMPUTED_VALUE"""),"PC")</f>
        <v>PC</v>
      </c>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row>
    <row r="185">
      <c r="A185" s="12"/>
      <c r="B185" s="12"/>
      <c r="C185" s="5"/>
      <c r="D185" s="5"/>
      <c r="E185" s="5" t="str">
        <f>IFERROR(__xludf.DUMMYFUNCTION("""COMPUTED_VALUE"""),"Test Driver")</f>
        <v>Test Driver</v>
      </c>
      <c r="F185" s="5">
        <f>IFERROR(__xludf.DUMMYFUNCTION("""COMPUTED_VALUE"""),0.006944444444444444)</f>
        <v>0.006944444444</v>
      </c>
      <c r="G185" s="5" t="str">
        <f>IFERROR(__xludf.DUMMYFUNCTION("""COMPUTED_VALUE"""),"Z4")</f>
        <v>Z4</v>
      </c>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row>
    <row r="187">
      <c r="A187" s="43" t="s">
        <v>72</v>
      </c>
      <c r="E187" s="43" t="s">
        <v>73</v>
      </c>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row>
    <row r="188">
      <c r="A188" s="11" t="str">
        <f>IFERROR(__xludf.DUMMYFUNCTION("LET(
  賽道, ""Mt.Hakone"",
  路線, ""OB"",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188" s="11" t="str">
        <f>IFERROR(__xludf.DUMMYFUNCTION("""COMPUTED_VALUE"""),"Time時間")</f>
        <v>Time時間</v>
      </c>
      <c r="C188" s="11" t="str">
        <f>IFERROR(__xludf.DUMMYFUNCTION("""COMPUTED_VALUE"""),"Car車種")</f>
        <v>Car車種</v>
      </c>
      <c r="D188" s="11" t="str">
        <f>IFERROR(__xludf.DUMMYFUNCTION("""COMPUTED_VALUE"""),"Platform平台")</f>
        <v>Platform平台</v>
      </c>
      <c r="E188" s="11" t="str">
        <f>IFERROR(__xludf.DUMMYFUNCTION("LET(
  賽道, ""Mt.Hakone"",
  路線, ""IB"",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188" s="5" t="str">
        <f>IFERROR(__xludf.DUMMYFUNCTION("""COMPUTED_VALUE"""),"Time時間")</f>
        <v>Time時間</v>
      </c>
      <c r="G188" s="5" t="str">
        <f>IFERROR(__xludf.DUMMYFUNCTION("""COMPUTED_VALUE"""),"Car車種")</f>
        <v>Car車種</v>
      </c>
      <c r="H188" s="5" t="str">
        <f>IFERROR(__xludf.DUMMYFUNCTION("""COMPUTED_VALUE"""),"Platform平台")</f>
        <v>Platform平台</v>
      </c>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row>
    <row r="189">
      <c r="A189" s="5" t="str">
        <f>IFERROR(__xludf.DUMMYFUNCTION("""COMPUTED_VALUE"""),"Test Driver")</f>
        <v>Test Driver</v>
      </c>
      <c r="B189" s="5">
        <f>IFERROR(__xludf.DUMMYFUNCTION("""COMPUTED_VALUE"""),0.006944444444444444)</f>
        <v>0.006944444444</v>
      </c>
      <c r="C189" s="5" t="str">
        <f>IFERROR(__xludf.DUMMYFUNCTION("""COMPUTED_VALUE"""),"FD3S (RX7)")</f>
        <v>FD3S (RX7)</v>
      </c>
      <c r="D189" s="5"/>
      <c r="E189" s="5" t="str">
        <f>IFERROR(__xludf.DUMMYFUNCTION("""COMPUTED_VALUE"""),"StarRiver Arts")</f>
        <v>StarRiver Arts</v>
      </c>
      <c r="F189" s="5">
        <f>IFERROR(__xludf.DUMMYFUNCTION("""COMPUTED_VALUE"""),0.003980324074074074)</f>
        <v>0.003980324074</v>
      </c>
      <c r="G189" s="5" t="str">
        <f>IFERROR(__xludf.DUMMYFUNCTION("""COMPUTED_VALUE"""),"FD3S (RX7)")</f>
        <v>FD3S (RX7)</v>
      </c>
      <c r="H189" s="5" t="str">
        <f>IFERROR(__xludf.DUMMYFUNCTION("""COMPUTED_VALUE"""),"PC")</f>
        <v>PC</v>
      </c>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5"/>
      <c r="C190" s="5"/>
      <c r="D190" s="5"/>
      <c r="E190" s="5" t="str">
        <f>IFERROR(__xludf.DUMMYFUNCTION("""COMPUTED_VALUE"""),"Test Driver")</f>
        <v>Test Driver</v>
      </c>
      <c r="F190" s="5">
        <f>IFERROR(__xludf.DUMMYFUNCTION("""COMPUTED_VALUE"""),0.006944444444444444)</f>
        <v>0.006944444444</v>
      </c>
      <c r="G190" s="5" t="str">
        <f>IFERROR(__xludf.DUMMYFUNCTION("""COMPUTED_VALUE"""),"FC3S (RX7)")</f>
        <v>FC3S (RX7)</v>
      </c>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row>
    <row r="199">
      <c r="A199" s="44" t="s">
        <v>74</v>
      </c>
      <c r="E199" s="45" t="s">
        <v>75</v>
      </c>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row>
    <row r="200">
      <c r="A200" s="11" t="str">
        <f>IFERROR(__xludf.DUMMYFUNCTION("LET(
  賽道, ""Nagoya"",
  路線, """",
  系統, ""Sacc"",
  原始, FILTER('歷史紀錄'!E48:H1168, '歷史紀錄'!B48:B1168=賽道, '歷史紀錄'!C48:C1168=路線, '歷史紀錄'!I48:I1168=系統),
  排序後, SORT(原始, 2, TRUE),
  玩家, INDEX(排序後,,1),
  唯一玩家, UNIQUE(玩家),
  結果,
    MAP(唯一玩家, LAMBDA(p,
      INDEX("&amp;"FILTER(排序後, INDEX(排序後,,1)=p),1,0)
    )),
  表頭, {""Player玩家"",""Time時間"",""Car車種"",""Platform平台""},
  VSTACK(表頭, 結果)
)
"),"Player玩家")</f>
        <v>Player玩家</v>
      </c>
      <c r="B200" s="11" t="str">
        <f>IFERROR(__xludf.DUMMYFUNCTION("""COMPUTED_VALUE"""),"Time時間")</f>
        <v>Time時間</v>
      </c>
      <c r="C200" s="11" t="str">
        <f>IFERROR(__xludf.DUMMYFUNCTION("""COMPUTED_VALUE"""),"Car車種")</f>
        <v>Car車種</v>
      </c>
      <c r="D200" s="11" t="str">
        <f>IFERROR(__xludf.DUMMYFUNCTION("""COMPUTED_VALUE"""),"Platform平台")</f>
        <v>Platform平台</v>
      </c>
      <c r="E200" s="11" t="str">
        <f>IFERROR(__xludf.DUMMYFUNCTION("LET(
  賽道, ""Fukuoka"",
  路線, """",
  系統, ""Sacc"",
  原始, FILTER('歷史紀錄'!E2:H1168, '歷史紀錄'!B2:B1168=賽道, '歷史紀錄'!C2:C1168=路線, '歷史紀錄'!I2:I1168=系統),
  排序後, SORT(原始, 2, TRUE),
  玩家, INDEX(排序後,,1),
  唯一玩家, UNIQUE(玩家),
  結果,
    MAP(唯一玩家, LAMBDA(p,
      INDEX(FIL"&amp;"TER(排序後, INDEX(排序後,,1)=p),1,0)
    )),
  表頭, {""Player玩家"",""Time時間"",""Car車種"",""Platform平台""},
  VSTACK(表頭, 結果)
)
"),"Player玩家")</f>
        <v>Player玩家</v>
      </c>
      <c r="F200" s="11" t="str">
        <f>IFERROR(__xludf.DUMMYFUNCTION("""COMPUTED_VALUE"""),"Time時間")</f>
        <v>Time時間</v>
      </c>
      <c r="G200" s="11" t="str">
        <f>IFERROR(__xludf.DUMMYFUNCTION("""COMPUTED_VALUE"""),"Car車種")</f>
        <v>Car車種</v>
      </c>
      <c r="H200" s="11" t="str">
        <f>IFERROR(__xludf.DUMMYFUNCTION("""COMPUTED_VALUE"""),"Platform平台")</f>
        <v>Platform平台</v>
      </c>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row>
    <row r="201">
      <c r="A201" s="5" t="str">
        <f>IFERROR(__xludf.DUMMYFUNCTION("""COMPUTED_VALUE"""),"LinWu_05")</f>
        <v>LinWu_05</v>
      </c>
      <c r="B201" s="5">
        <f>IFERROR(__xludf.DUMMYFUNCTION("""COMPUTED_VALUE"""),0.0024359606481481485)</f>
        <v>0.002435960648</v>
      </c>
      <c r="C201" s="5" t="str">
        <f>IFERROR(__xludf.DUMMYFUNCTION("""COMPUTED_VALUE"""),"EVOX/CZ4A")</f>
        <v>EVOX/CZ4A</v>
      </c>
      <c r="D201" s="5" t="str">
        <f>IFERROR(__xludf.DUMMYFUNCTION("""COMPUTED_VALUE"""),"PC")</f>
        <v>PC</v>
      </c>
      <c r="E201" s="5" t="str">
        <f>IFERROR(__xludf.DUMMYFUNCTION("""COMPUTED_VALUE"""),"Kurotsuki.")</f>
        <v>Kurotsuki.</v>
      </c>
      <c r="F201" s="5">
        <f>IFERROR(__xludf.DUMMYFUNCTION("""COMPUTED_VALUE"""),0.0025099421296296298)</f>
        <v>0.00250994213</v>
      </c>
      <c r="G201" s="5" t="str">
        <f>IFERROR(__xludf.DUMMYFUNCTION("""COMPUTED_VALUE"""),"CZ9A")</f>
        <v>CZ9A</v>
      </c>
      <c r="H201" s="5" t="str">
        <f>IFERROR(__xludf.DUMMYFUNCTION("""COMPUTED_VALUE"""),"PC")</f>
        <v>PC</v>
      </c>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row>
    <row r="202">
      <c r="A202" s="5" t="str">
        <f>IFERROR(__xludf.DUMMYFUNCTION("""COMPUTED_VALUE"""),"Test Driver")</f>
        <v>Test Driver</v>
      </c>
      <c r="B202" s="5">
        <f>IFERROR(__xludf.DUMMYFUNCTION("""COMPUTED_VALUE"""),0.006944444444444444)</f>
        <v>0.006944444444</v>
      </c>
      <c r="C202" s="5" t="str">
        <f>IFERROR(__xludf.DUMMYFUNCTION("""COMPUTED_VALUE"""),"GRB (WRX Gr.B)")</f>
        <v>GRB (WRX Gr.B)</v>
      </c>
      <c r="D202" s="5"/>
      <c r="E202" s="5" t="str">
        <f>IFERROR(__xludf.DUMMYFUNCTION("""COMPUTED_VALUE"""),"Redfrogss")</f>
        <v>Redfrogss</v>
      </c>
      <c r="F202" s="5">
        <f>IFERROR(__xludf.DUMMYFUNCTION("""COMPUTED_VALUE"""),0.0026808333333333332)</f>
        <v>0.002680833333</v>
      </c>
      <c r="G202" s="5" t="str">
        <f>IFERROR(__xludf.DUMMYFUNCTION("""COMPUTED_VALUE"""),"GT86/ZN6")</f>
        <v>GT86/ZN6</v>
      </c>
      <c r="H202" s="5" t="str">
        <f>IFERROR(__xludf.DUMMYFUNCTION("""COMPUTED_VALUE"""),"PCVR")</f>
        <v>PCVR</v>
      </c>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5"/>
      <c r="C203" s="5"/>
      <c r="D203" s="5"/>
      <c r="E203" s="5" t="str">
        <f>IFERROR(__xludf.DUMMYFUNCTION("""COMPUTED_VALUE"""),"LinWu_05")</f>
        <v>LinWu_05</v>
      </c>
      <c r="F203" s="5">
        <f>IFERROR(__xludf.DUMMYFUNCTION("""COMPUTED_VALUE"""),0.0027285879629629626)</f>
        <v>0.002728587963</v>
      </c>
      <c r="G203" s="5" t="str">
        <f>IFERROR(__xludf.DUMMYFUNCTION("""COMPUTED_VALUE"""),"R35")</f>
        <v>R35</v>
      </c>
      <c r="H203" s="5" t="str">
        <f>IFERROR(__xludf.DUMMYFUNCTION("""COMPUTED_VALUE"""),"PC")</f>
        <v>PC</v>
      </c>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5"/>
      <c r="C204" s="5"/>
      <c r="D204" s="5"/>
      <c r="E204" s="27" t="str">
        <f>IFERROR(__xludf.DUMMYFUNCTION("""COMPUTED_VALUE"""),"StarRiver Arts")</f>
        <v>StarRiver Arts</v>
      </c>
      <c r="F204" s="5">
        <f>IFERROR(__xludf.DUMMYFUNCTION("""COMPUTED_VALUE"""),0.003004050925925926)</f>
        <v>0.003004050926</v>
      </c>
      <c r="G204" s="5" t="str">
        <f>IFERROR(__xludf.DUMMYFUNCTION("""COMPUTED_VALUE"""),"R35")</f>
        <v>R35</v>
      </c>
      <c r="H204" s="5" t="str">
        <f>IFERROR(__xludf.DUMMYFUNCTION("""COMPUTED_VALUE"""),"PC")</f>
        <v>PC</v>
      </c>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row>
    <row r="205">
      <c r="E205" s="27" t="str">
        <f>IFERROR(__xludf.DUMMYFUNCTION("""COMPUTED_VALUE"""),"Test Driver")</f>
        <v>Test Driver</v>
      </c>
      <c r="F205" s="27">
        <f>IFERROR(__xludf.DUMMYFUNCTION("""COMPUTED_VALUE"""),0.006944444444444444)</f>
        <v>0.006944444444</v>
      </c>
      <c r="G205" s="27" t="str">
        <f>IFERROR(__xludf.DUMMYFUNCTION("""COMPUTED_VALUE"""),"KPGC10(Skyline 2000GT-R)")</f>
        <v>KPGC10(Skyline 2000GT-R)</v>
      </c>
      <c r="H205" s="27"/>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row>
    <row r="206">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row>
    <row r="207" ht="16.5" customHeight="1">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row>
    <row r="208" ht="16.5" customHeight="1">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row>
    <row r="209">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row>
    <row r="212">
      <c r="A212" s="43" t="s">
        <v>76</v>
      </c>
      <c r="E212" s="43" t="s">
        <v>77</v>
      </c>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row>
    <row r="213">
      <c r="A213" s="11" t="str">
        <f>IFERROR(__xludf.DUMMYFUNCTION("LET(
  賽道, ""Nanamagari"",
  路線, ""DH"",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213" s="11" t="str">
        <f>IFERROR(__xludf.DUMMYFUNCTION("""COMPUTED_VALUE"""),"Time時間")</f>
        <v>Time時間</v>
      </c>
      <c r="C213" s="11" t="str">
        <f>IFERROR(__xludf.DUMMYFUNCTION("""COMPUTED_VALUE"""),"Car車種")</f>
        <v>Car車種</v>
      </c>
      <c r="D213" s="11" t="str">
        <f>IFERROR(__xludf.DUMMYFUNCTION("""COMPUTED_VALUE"""),"Platform平台")</f>
        <v>Platform平台</v>
      </c>
      <c r="E213" s="11" t="str">
        <f>IFERROR(__xludf.DUMMYFUNCTION("LET(
  賽道, ""Nanamagari"",
  路線, ""UH"",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213" s="11" t="str">
        <f>IFERROR(__xludf.DUMMYFUNCTION("""COMPUTED_VALUE"""),"Time時間")</f>
        <v>Time時間</v>
      </c>
      <c r="G213" s="11" t="str">
        <f>IFERROR(__xludf.DUMMYFUNCTION("""COMPUTED_VALUE"""),"Car車種")</f>
        <v>Car車種</v>
      </c>
      <c r="H213" s="11" t="str">
        <f>IFERROR(__xludf.DUMMYFUNCTION("""COMPUTED_VALUE"""),"Platform平台")</f>
        <v>Platform平台</v>
      </c>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row>
    <row r="214">
      <c r="A214" s="5" t="str">
        <f>IFERROR(__xludf.DUMMYFUNCTION("""COMPUTED_VALUE"""),"StarRiver Arts")</f>
        <v>StarRiver Arts</v>
      </c>
      <c r="B214" s="5">
        <f>IFERROR(__xludf.DUMMYFUNCTION("""COMPUTED_VALUE"""),0.002403553240740741)</f>
        <v>0.002403553241</v>
      </c>
      <c r="C214" s="5" t="str">
        <f>IFERROR(__xludf.DUMMYFUNCTION("""COMPUTED_VALUE"""),"EK9C (Civic Type-R)")</f>
        <v>EK9C (Civic Type-R)</v>
      </c>
      <c r="D214" s="5" t="str">
        <f>IFERROR(__xludf.DUMMYFUNCTION("""COMPUTED_VALUE"""),"PC")</f>
        <v>PC</v>
      </c>
      <c r="E214" s="5" t="str">
        <f>IFERROR(__xludf.DUMMYFUNCTION("""COMPUTED_VALUE"""),"Test Driver")</f>
        <v>Test Driver</v>
      </c>
      <c r="F214" s="5">
        <f>IFERROR(__xludf.DUMMYFUNCTION("""COMPUTED_VALUE"""),0.006944444444444444)</f>
        <v>0.006944444444</v>
      </c>
      <c r="G214" s="5" t="str">
        <f>IFERROR(__xludf.DUMMYFUNCTION("""COMPUTED_VALUE"""),"AE86T")</f>
        <v>AE86T</v>
      </c>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row>
    <row r="215">
      <c r="A215" s="5" t="str">
        <f>IFERROR(__xludf.DUMMYFUNCTION("""COMPUTED_VALUE"""),"アビドサスヒカリ")</f>
        <v>アビドサスヒカリ</v>
      </c>
      <c r="B215" s="5">
        <f>IFERROR(__xludf.DUMMYFUNCTION("""COMPUTED_VALUE"""),0.002434027777777778)</f>
        <v>0.002434027778</v>
      </c>
      <c r="C215" s="5" t="str">
        <f>IFERROR(__xludf.DUMMYFUNCTION("""COMPUTED_VALUE"""),"AE86T")</f>
        <v>AE86T</v>
      </c>
      <c r="D215" s="5" t="str">
        <f>IFERROR(__xludf.DUMMYFUNCTION("""COMPUTED_VALUE"""),"PC")</f>
        <v>PC</v>
      </c>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row>
    <row r="216">
      <c r="A216" s="5" t="str">
        <f>IFERROR(__xludf.DUMMYFUNCTION("""COMPUTED_VALUE"""),"LinWu_05")</f>
        <v>LinWu_05</v>
      </c>
      <c r="B216" s="5">
        <f>IFERROR(__xludf.DUMMYFUNCTION("""COMPUTED_VALUE"""),0.002581412037037037)</f>
        <v>0.002581412037</v>
      </c>
      <c r="C216" s="5" t="str">
        <f>IFERROR(__xludf.DUMMYFUNCTION("""COMPUTED_VALUE"""),"NA2")</f>
        <v>NA2</v>
      </c>
      <c r="D216" s="5" t="str">
        <f>IFERROR(__xludf.DUMMYFUNCTION("""COMPUTED_VALUE"""),"PC")</f>
        <v>PC</v>
      </c>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row>
    <row r="217">
      <c r="A217" s="5" t="str">
        <f>IFERROR(__xludf.DUMMYFUNCTION("""COMPUTED_VALUE"""),"Test Driver")</f>
        <v>Test Driver</v>
      </c>
      <c r="B217" s="5">
        <f>IFERROR(__xludf.DUMMYFUNCTION("""COMPUTED_VALUE"""),0.006944444444444444)</f>
        <v>0.006944444444</v>
      </c>
      <c r="C217" s="5" t="str">
        <f>IFERROR(__xludf.DUMMYFUNCTION("""COMPUTED_VALUE"""),"Z33(350Z)")</f>
        <v>Z33(350Z)</v>
      </c>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row>
    <row r="218">
      <c r="A218" s="46" t="s">
        <v>78</v>
      </c>
      <c r="E218" s="46" t="s">
        <v>79</v>
      </c>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row>
    <row r="219">
      <c r="A219" s="47" t="str">
        <f>IFERROR(__xludf.DUMMYFUNCTION("LET(
  賽道, ""H-Nanamagari"",
  路線, ""DH"",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B219" s="47" t="str">
        <f>IFERROR(__xludf.DUMMYFUNCTION("""COMPUTED_VALUE"""),"Time時間")</f>
        <v>Time時間</v>
      </c>
      <c r="C219" s="47" t="str">
        <f>IFERROR(__xludf.DUMMYFUNCTION("""COMPUTED_VALUE"""),"Car車種")</f>
        <v>Car車種</v>
      </c>
      <c r="D219" s="47" t="str">
        <f>IFERROR(__xludf.DUMMYFUNCTION("""COMPUTED_VALUE"""),"Platform平台")</f>
        <v>Platform平台</v>
      </c>
      <c r="E219" s="47" t="str">
        <f>IFERROR(__xludf.DUMMYFUNCTION("LET(
  賽道, ""H-Nanamagari"",
  路線, ""UH"",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F219" s="47" t="str">
        <f>IFERROR(__xludf.DUMMYFUNCTION("""COMPUTED_VALUE"""),"Time時間")</f>
        <v>Time時間</v>
      </c>
      <c r="G219" s="47" t="str">
        <f>IFERROR(__xludf.DUMMYFUNCTION("""COMPUTED_VALUE"""),"Car車種")</f>
        <v>Car車種</v>
      </c>
      <c r="H219" s="47" t="str">
        <f>IFERROR(__xludf.DUMMYFUNCTION("""COMPUTED_VALUE"""),"Platform平台")</f>
        <v>Platform平台</v>
      </c>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row>
    <row r="220">
      <c r="A220" s="14" t="str">
        <f>IFERROR(__xludf.DUMMYFUNCTION("""COMPUTED_VALUE"""),"StarRiver Arts")</f>
        <v>StarRiver Arts</v>
      </c>
      <c r="B220" s="48">
        <f>IFERROR(__xludf.DUMMYFUNCTION("""COMPUTED_VALUE"""),8.250578703703704E-4)</f>
        <v>0.0008250578704</v>
      </c>
      <c r="C220" s="14" t="str">
        <f>IFERROR(__xludf.DUMMYFUNCTION("""COMPUTED_VALUE"""),"EK9 (Civic Type-R)")</f>
        <v>EK9 (Civic Type-R)</v>
      </c>
      <c r="D220" s="14" t="str">
        <f>IFERROR(__xludf.DUMMYFUNCTION("""COMPUTED_VALUE"""),"PC")</f>
        <v>PC</v>
      </c>
      <c r="E220" s="14" t="str">
        <f>IFERROR(__xludf.DUMMYFUNCTION("""COMPUTED_VALUE"""),"LinWu_05")</f>
        <v>LinWu_05</v>
      </c>
      <c r="F220" s="48">
        <f>IFERROR(__xludf.DUMMYFUNCTION("""COMPUTED_VALUE"""),8.899305555555556E-4)</f>
        <v>0.0008899305556</v>
      </c>
      <c r="G220" s="14" t="str">
        <f>IFERROR(__xludf.DUMMYFUNCTION("""COMPUTED_VALUE"""),"BNR32")</f>
        <v>BNR32</v>
      </c>
      <c r="H220" s="14" t="str">
        <f>IFERROR(__xludf.DUMMYFUNCTION("""COMPUTED_VALUE"""),"PC")</f>
        <v>PC</v>
      </c>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row>
    <row r="221">
      <c r="A221" s="5" t="str">
        <f>IFERROR(__xludf.DUMMYFUNCTION("""COMPUTED_VALUE"""),"LinWu_05")</f>
        <v>LinWu_05</v>
      </c>
      <c r="B221" s="5">
        <f>IFERROR(__xludf.DUMMYFUNCTION("""COMPUTED_VALUE"""),8.511342592592593E-4)</f>
        <v>0.0008511342593</v>
      </c>
      <c r="C221" s="5" t="str">
        <f>IFERROR(__xludf.DUMMYFUNCTION("""COMPUTED_VALUE"""),"BNR32")</f>
        <v>BNR32</v>
      </c>
      <c r="D221" s="5" t="str">
        <f>IFERROR(__xludf.DUMMYFUNCTION("""COMPUTED_VALUE"""),"PC")</f>
        <v>PC</v>
      </c>
      <c r="E221" s="5" t="str">
        <f>IFERROR(__xludf.DUMMYFUNCTION("""COMPUTED_VALUE"""),"StarRiver Arts")</f>
        <v>StarRiver Arts</v>
      </c>
      <c r="F221" s="5">
        <f>IFERROR(__xludf.DUMMYFUNCTION("""COMPUTED_VALUE"""),9.381828703703704E-4)</f>
        <v>0.0009381828704</v>
      </c>
      <c r="G221" s="5" t="str">
        <f>IFERROR(__xludf.DUMMYFUNCTION("""COMPUTED_VALUE"""),"EK9 (Civic Type-R)")</f>
        <v>EK9 (Civic Type-R)</v>
      </c>
      <c r="H221" s="5" t="str">
        <f>IFERROR(__xludf.DUMMYFUNCTION("""COMPUTED_VALUE"""),"PC")</f>
        <v>PC</v>
      </c>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5"/>
      <c r="C222" s="5"/>
      <c r="D222" s="5"/>
      <c r="E222" s="5" t="str">
        <f>IFERROR(__xludf.DUMMYFUNCTION("""COMPUTED_VALUE"""),"Test Driver")</f>
        <v>Test Driver</v>
      </c>
      <c r="F222" s="5">
        <f>IFERROR(__xludf.DUMMYFUNCTION("""COMPUTED_VALUE"""),0.006944444444444444)</f>
        <v>0.006944444444</v>
      </c>
      <c r="G222" s="5" t="str">
        <f>IFERROR(__xludf.DUMMYFUNCTION("""COMPUTED_VALUE"""),"HCR32")</f>
        <v>HCR32</v>
      </c>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row>
    <row r="225">
      <c r="A225" s="15" t="s">
        <v>14</v>
      </c>
      <c r="E225" s="15" t="s">
        <v>80</v>
      </c>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row>
    <row r="226">
      <c r="A226" s="11" t="str">
        <f>IFERROR(__xludf.DUMMYFUNCTION("LET(
  賽道, ""Momiji"",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26" s="11" t="str">
        <f>IFERROR(__xludf.DUMMYFUNCTION("""COMPUTED_VALUE"""),"Time時間")</f>
        <v>Time時間</v>
      </c>
      <c r="C226" s="11" t="str">
        <f>IFERROR(__xludf.DUMMYFUNCTION("""COMPUTED_VALUE"""),"Car車種")</f>
        <v>Car車種</v>
      </c>
      <c r="D226" s="11" t="str">
        <f>IFERROR(__xludf.DUMMYFUNCTION("""COMPUTED_VALUE"""),"Platform平台")</f>
        <v>Platform平台</v>
      </c>
      <c r="E226" s="11" t="str">
        <f>IFERROR(__xludf.DUMMYFUNCTION("LET(
  賽道, ""Momiji"",
  路線, ""UH"",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26" s="11" t="str">
        <f>IFERROR(__xludf.DUMMYFUNCTION("""COMPUTED_VALUE"""),"Time時間")</f>
        <v>Time時間</v>
      </c>
      <c r="G226" s="11" t="str">
        <f>IFERROR(__xludf.DUMMYFUNCTION("""COMPUTED_VALUE"""),"Car車種")</f>
        <v>Car車種</v>
      </c>
      <c r="H226" s="11" t="str">
        <f>IFERROR(__xludf.DUMMYFUNCTION("""COMPUTED_VALUE"""),"Platform平台")</f>
        <v>Platform平台</v>
      </c>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row>
    <row r="227">
      <c r="A227" s="5" t="str">
        <f>IFERROR(__xludf.DUMMYFUNCTION("""COMPUTED_VALUE"""),"LinWu_05")</f>
        <v>LinWu_05</v>
      </c>
      <c r="B227" s="5">
        <f>IFERROR(__xludf.DUMMYFUNCTION("""COMPUTED_VALUE"""),0.0024261226851851852)</f>
        <v>0.002426122685</v>
      </c>
      <c r="C227" s="5" t="str">
        <f>IFERROR(__xludf.DUMMYFUNCTION("""COMPUTED_VALUE"""),"NA6CE (Mx5 Roadster)")</f>
        <v>NA6CE (Mx5 Roadster)</v>
      </c>
      <c r="D227" s="5" t="str">
        <f>IFERROR(__xludf.DUMMYFUNCTION("""COMPUTED_VALUE"""),"PC")</f>
        <v>PC</v>
      </c>
      <c r="E227" s="5" t="str">
        <f>IFERROR(__xludf.DUMMYFUNCTION("""COMPUTED_VALUE"""),"LinWu_05")</f>
        <v>LinWu_05</v>
      </c>
      <c r="F227" s="5">
        <f>IFERROR(__xludf.DUMMYFUNCTION("""COMPUTED_VALUE"""),0.002460648148148148)</f>
        <v>0.002460648148</v>
      </c>
      <c r="G227" s="5" t="str">
        <f>IFERROR(__xludf.DUMMYFUNCTION("""COMPUTED_VALUE"""),"NA6CE (Mx5 Roadster)")</f>
        <v>NA6CE (Mx5 Roadster)</v>
      </c>
      <c r="H227" s="5" t="str">
        <f>IFERROR(__xludf.DUMMYFUNCTION("""COMPUTED_VALUE"""),"PC")</f>
        <v>PC</v>
      </c>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row>
    <row r="228">
      <c r="A228" s="5" t="str">
        <f>IFERROR(__xludf.DUMMYFUNCTION("""COMPUTED_VALUE"""),"Test Driver")</f>
        <v>Test Driver</v>
      </c>
      <c r="B228" s="5">
        <f>IFERROR(__xludf.DUMMYFUNCTION("""COMPUTED_VALUE"""),0.006944444444444444)</f>
        <v>0.006944444444</v>
      </c>
      <c r="C228" s="5" t="str">
        <f>IFERROR(__xludf.DUMMYFUNCTION("""COMPUTED_VALUE"""),"AE86T")</f>
        <v>AE86T</v>
      </c>
      <c r="D228" s="5"/>
      <c r="E228" s="5" t="str">
        <f>IFERROR(__xludf.DUMMYFUNCTION("""COMPUTED_VALUE"""),"Test Driver")</f>
        <v>Test Driver</v>
      </c>
      <c r="F228" s="5">
        <f>IFERROR(__xludf.DUMMYFUNCTION("""COMPUTED_VALUE"""),0.006944444444444444)</f>
        <v>0.006944444444</v>
      </c>
      <c r="G228" s="5" t="str">
        <f>IFERROR(__xludf.DUMMYFUNCTION("""COMPUTED_VALUE"""),"AE86T")</f>
        <v>AE86T</v>
      </c>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row>
    <row r="231">
      <c r="A231" s="49" t="s">
        <v>6</v>
      </c>
      <c r="E231" s="49" t="s">
        <v>81</v>
      </c>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row>
    <row r="232">
      <c r="A232" s="47" t="str">
        <f>IFERROR(__xludf.DUMMYFUNCTION("LET(
  賽道, ""Nagao"",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32" s="47" t="str">
        <f>IFERROR(__xludf.DUMMYFUNCTION("""COMPUTED_VALUE"""),"Time時間")</f>
        <v>Time時間</v>
      </c>
      <c r="C232" s="47" t="str">
        <f>IFERROR(__xludf.DUMMYFUNCTION("""COMPUTED_VALUE"""),"Car車種")</f>
        <v>Car車種</v>
      </c>
      <c r="D232" s="47" t="str">
        <f>IFERROR(__xludf.DUMMYFUNCTION("""COMPUTED_VALUE"""),"Platform平台")</f>
        <v>Platform平台</v>
      </c>
      <c r="E232" s="47" t="str">
        <f>IFERROR(__xludf.DUMMYFUNCTION("LET(
  賽道, ""Nagao"",
  路線, ""UH"",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32" s="47" t="str">
        <f>IFERROR(__xludf.DUMMYFUNCTION("""COMPUTED_VALUE"""),"Time時間")</f>
        <v>Time時間</v>
      </c>
      <c r="G232" s="47" t="str">
        <f>IFERROR(__xludf.DUMMYFUNCTION("""COMPUTED_VALUE"""),"Car車種")</f>
        <v>Car車種</v>
      </c>
      <c r="H232" s="47" t="str">
        <f>IFERROR(__xludf.DUMMYFUNCTION("""COMPUTED_VALUE"""),"Platform平台")</f>
        <v>Platform平台</v>
      </c>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row>
    <row r="233">
      <c r="A233" s="5" t="str">
        <f>IFERROR(__xludf.DUMMYFUNCTION("""COMPUTED_VALUE"""),"Test Driver")</f>
        <v>Test Driver</v>
      </c>
      <c r="B233" s="5">
        <f>IFERROR(__xludf.DUMMYFUNCTION("""COMPUTED_VALUE"""),0.006944444444444444)</f>
        <v>0.006944444444</v>
      </c>
      <c r="C233" s="5" t="str">
        <f>IFERROR(__xludf.DUMMYFUNCTION("""COMPUTED_VALUE"""),"ZZW30 (MR2)")</f>
        <v>ZZW30 (MR2)</v>
      </c>
      <c r="D233" s="5"/>
      <c r="E233" s="5" t="str">
        <f>IFERROR(__xludf.DUMMYFUNCTION("""COMPUTED_VALUE"""),"Test Driver")</f>
        <v>Test Driver</v>
      </c>
      <c r="F233" s="5">
        <f>IFERROR(__xludf.DUMMYFUNCTION("""COMPUTED_VALUE"""),0.006944444444444444)</f>
        <v>0.006944444444</v>
      </c>
      <c r="G233" s="5" t="str">
        <f>IFERROR(__xludf.DUMMYFUNCTION("""COMPUTED_VALUE"""),"ZZW30 (MR2)")</f>
        <v>ZZW30 (MR2)</v>
      </c>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row>
    <row r="238">
      <c r="A238" s="50" t="s">
        <v>82</v>
      </c>
      <c r="E238" s="50" t="s">
        <v>83</v>
      </c>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row>
    <row r="239">
      <c r="A239" s="47" t="str">
        <f>IFERROR(__xludf.DUMMYFUNCTION("LET(
  賽道, ""Maze"",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39" s="47" t="str">
        <f>IFERROR(__xludf.DUMMYFUNCTION("""COMPUTED_VALUE"""),"Time時間")</f>
        <v>Time時間</v>
      </c>
      <c r="C239" s="47" t="str">
        <f>IFERROR(__xludf.DUMMYFUNCTION("""COMPUTED_VALUE"""),"Car車種")</f>
        <v>Car車種</v>
      </c>
      <c r="D239" s="47" t="str">
        <f>IFERROR(__xludf.DUMMYFUNCTION("""COMPUTED_VALUE"""),"Platform平台")</f>
        <v>Platform平台</v>
      </c>
      <c r="E239" s="47" t="str">
        <f>IFERROR(__xludf.DUMMYFUNCTION("LET(
  賽道, ""Maze"",
  路線, ""UH"",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39" s="47" t="str">
        <f>IFERROR(__xludf.DUMMYFUNCTION("""COMPUTED_VALUE"""),"Time時間")</f>
        <v>Time時間</v>
      </c>
      <c r="G239" s="47" t="str">
        <f>IFERROR(__xludf.DUMMYFUNCTION("""COMPUTED_VALUE"""),"Car車種")</f>
        <v>Car車種</v>
      </c>
      <c r="H239" s="47" t="str">
        <f>IFERROR(__xludf.DUMMYFUNCTION("""COMPUTED_VALUE"""),"Platform平台")</f>
        <v>Platform平台</v>
      </c>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row>
    <row r="240">
      <c r="A240" s="14" t="str">
        <f>IFERROR(__xludf.DUMMYFUNCTION("""COMPUTED_VALUE"""),"Test Driver")</f>
        <v>Test Driver</v>
      </c>
      <c r="B240" s="14">
        <f>IFERROR(__xludf.DUMMYFUNCTION("""COMPUTED_VALUE"""),0.006944444444444444)</f>
        <v>0.006944444444</v>
      </c>
      <c r="C240" s="14" t="str">
        <f>IFERROR(__xludf.DUMMYFUNCTION("""COMPUTED_VALUE"""),"AE85")</f>
        <v>AE85</v>
      </c>
      <c r="D240" s="14"/>
      <c r="E240" s="14" t="str">
        <f>IFERROR(__xludf.DUMMYFUNCTION("""COMPUTED_VALUE"""),"Test Driver")</f>
        <v>Test Driver</v>
      </c>
      <c r="F240" s="14">
        <f>IFERROR(__xludf.DUMMYFUNCTION("""COMPUTED_VALUE"""),0.006944444444444444)</f>
        <v>0.006944444444</v>
      </c>
      <c r="G240" s="14" t="str">
        <f>IFERROR(__xludf.DUMMYFUNCTION("""COMPUTED_VALUE"""),"AE85")</f>
        <v>AE85</v>
      </c>
      <c r="H240" s="14"/>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row>
    <row r="241">
      <c r="A241" s="14"/>
      <c r="B241" s="14"/>
      <c r="C241" s="14"/>
      <c r="D241" s="14"/>
      <c r="E241" s="14"/>
      <c r="F241" s="14"/>
      <c r="G241" s="14"/>
      <c r="H241" s="14"/>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row>
    <row r="242">
      <c r="A242" s="49" t="s">
        <v>84</v>
      </c>
      <c r="E242" s="49" t="s">
        <v>85</v>
      </c>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row>
    <row r="243">
      <c r="A243" s="11" t="str">
        <f>IFERROR(__xludf.DUMMYFUNCTION("LET(
  賽道, ""Happogahara"",
  路線, ""OB"",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B243" s="11" t="str">
        <f>IFERROR(__xludf.DUMMYFUNCTION("""COMPUTED_VALUE"""),"Time時間")</f>
        <v>Time時間</v>
      </c>
      <c r="C243" s="11" t="str">
        <f>IFERROR(__xludf.DUMMYFUNCTION("""COMPUTED_VALUE"""),"Car車種")</f>
        <v>Car車種</v>
      </c>
      <c r="D243" s="11" t="str">
        <f>IFERROR(__xludf.DUMMYFUNCTION("""COMPUTED_VALUE"""),"Platform平台")</f>
        <v>Platform平台</v>
      </c>
      <c r="E243" s="11" t="str">
        <f>IFERROR(__xludf.DUMMYFUNCTION("LET(
  賽道, ""Happogahara"",
  路線, ""IB"",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F243" s="11" t="str">
        <f>IFERROR(__xludf.DUMMYFUNCTION("""COMPUTED_VALUE"""),"Time時間")</f>
        <v>Time時間</v>
      </c>
      <c r="G243" s="11" t="str">
        <f>IFERROR(__xludf.DUMMYFUNCTION("""COMPUTED_VALUE"""),"Car車種")</f>
        <v>Car車種</v>
      </c>
      <c r="H243" s="11" t="str">
        <f>IFERROR(__xludf.DUMMYFUNCTION("""COMPUTED_VALUE"""),"Platform平台")</f>
        <v>Platform平台</v>
      </c>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c r="A244" s="5" t="str">
        <f>IFERROR(__xludf.DUMMYFUNCTION("""COMPUTED_VALUE"""),"StarRiver Arts")</f>
        <v>StarRiver Arts</v>
      </c>
      <c r="B244" s="5">
        <f>IFERROR(__xludf.DUMMYFUNCTION("""COMPUTED_VALUE"""),0.0028121180555555556)</f>
        <v>0.002812118056</v>
      </c>
      <c r="C244" s="5" t="str">
        <f>IFERROR(__xludf.DUMMYFUNCTION("""COMPUTED_VALUE"""),"GXPA16 (GR Yaris)")</f>
        <v>GXPA16 (GR Yaris)</v>
      </c>
      <c r="D244" s="5" t="str">
        <f>IFERROR(__xludf.DUMMYFUNCTION("""COMPUTED_VALUE"""),"PC")</f>
        <v>PC</v>
      </c>
      <c r="E244" s="5" t="str">
        <f>IFERROR(__xludf.DUMMYFUNCTION("""COMPUTED_VALUE"""),"Test Driver")</f>
        <v>Test Driver</v>
      </c>
      <c r="F244" s="5">
        <f>IFERROR(__xludf.DUMMYFUNCTION("""COMPUTED_VALUE"""),0.006944444444444444)</f>
        <v>0.006944444444</v>
      </c>
      <c r="G244" s="5" t="str">
        <f>IFERROR(__xludf.DUMMYFUNCTION("""COMPUTED_VALUE"""),"GXPA16 (GR Yaris)")</f>
        <v>GXPA16 (GR Yaris)</v>
      </c>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row>
    <row r="245">
      <c r="A245" s="5" t="str">
        <f>IFERROR(__xludf.DUMMYFUNCTION("""COMPUTED_VALUE"""),"Test Driver")</f>
        <v>Test Driver</v>
      </c>
      <c r="B245" s="5">
        <f>IFERROR(__xludf.DUMMYFUNCTION("""COMPUTED_VALUE"""),0.006944444444444444)</f>
        <v>0.006944444444</v>
      </c>
      <c r="C245" s="5" t="str">
        <f>IFERROR(__xludf.DUMMYFUNCTION("""COMPUTED_VALUE"""),"EK9 (Civic Type-R)")</f>
        <v>EK9 (Civic Type-R)</v>
      </c>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row>
    <row r="253">
      <c r="A253" s="49" t="s">
        <v>86</v>
      </c>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row>
    <row r="254">
      <c r="A254" s="11" t="str">
        <f>IFERROR(__xludf.DUMMYFUNCTION("LET(
  賽道, ""Happogahara"",
  路線, ""Double"",
  系統, ""Sacc"",
  原始, FILTER('歷史紀錄'!$E$2:$H1168, '歷史紀錄'!$B$2:$B1168=賽道, '歷史紀錄'!$C$2:$C1168=路線, '歷史紀錄'!$I$2:$I1168=系統),
  排序後, SORT(原始, 2, TRUE),
  玩家, INDEX(排序後,,1),
  唯一玩家, UNIQUE(玩家),
  結果,
    MAP(唯一玩家, LAM"&amp;"BDA(p,
      INDEX(FILTER(排序後, INDEX(排序後,,1)=p),1,0)
    )),
  表頭, {""Player玩家"",""Time時間"",""Car車種"",""Platform平台""},
  VSTACK(表頭, 結果)
)
"),"Player玩家")</f>
        <v>Player玩家</v>
      </c>
      <c r="B254" s="11" t="str">
        <f>IFERROR(__xludf.DUMMYFUNCTION("""COMPUTED_VALUE"""),"Time時間")</f>
        <v>Time時間</v>
      </c>
      <c r="C254" s="11" t="str">
        <f>IFERROR(__xludf.DUMMYFUNCTION("""COMPUTED_VALUE"""),"Car車種")</f>
        <v>Car車種</v>
      </c>
      <c r="D254" s="11" t="str">
        <f>IFERROR(__xludf.DUMMYFUNCTION("""COMPUTED_VALUE"""),"Platform平台")</f>
        <v>Platform平台</v>
      </c>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row>
    <row r="255">
      <c r="A255" s="5" t="str">
        <f>IFERROR(__xludf.DUMMYFUNCTION("""COMPUTED_VALUE"""),"Test Driver")</f>
        <v>Test Driver</v>
      </c>
      <c r="B255" s="5">
        <f>IFERROR(__xludf.DUMMYFUNCTION("""COMPUTED_VALUE"""),0.006944444444444444)</f>
        <v>0.006944444444</v>
      </c>
      <c r="C255" s="5" t="str">
        <f>IFERROR(__xludf.DUMMYFUNCTION("""COMPUTED_VALUE"""),"GXPA16 (GR Yaris)")</f>
        <v>GXPA16 (GR Yaris)</v>
      </c>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row>
    <row r="263">
      <c r="A263" s="51" t="s">
        <v>87</v>
      </c>
      <c r="E263" s="51" t="s">
        <v>88</v>
      </c>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row>
    <row r="264">
      <c r="A264" s="11" t="str">
        <f>IFERROR(__xludf.DUMMYFUNCTION("LET(
  賽道, ""GunsaiCP"",
  路線, ""FC"",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64" s="11" t="str">
        <f>IFERROR(__xludf.DUMMYFUNCTION("""COMPUTED_VALUE"""),"Time時間")</f>
        <v>Time時間</v>
      </c>
      <c r="C264" s="11" t="str">
        <f>IFERROR(__xludf.DUMMYFUNCTION("""COMPUTED_VALUE"""),"Car車種")</f>
        <v>Car車種</v>
      </c>
      <c r="D264" s="11" t="str">
        <f>IFERROR(__xludf.DUMMYFUNCTION("""COMPUTED_VALUE"""),"Platform平台")</f>
        <v>Platform平台</v>
      </c>
      <c r="E264" s="11" t="str">
        <f>IFERROR(__xludf.DUMMYFUNCTION("LET(
  賽道, ""GunsaiCP"",
  路線, ""C-A"",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264" s="11" t="str">
        <f>IFERROR(__xludf.DUMMYFUNCTION("""COMPUTED_VALUE"""),"Time時間")</f>
        <v>Time時間</v>
      </c>
      <c r="G264" s="11" t="str">
        <f>IFERROR(__xludf.DUMMYFUNCTION("""COMPUTED_VALUE"""),"Car車種")</f>
        <v>Car車種</v>
      </c>
      <c r="H264" s="11" t="str">
        <f>IFERROR(__xludf.DUMMYFUNCTION("""COMPUTED_VALUE"""),"Platform平台")</f>
        <v>Platform平台</v>
      </c>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row>
    <row r="265">
      <c r="A265" s="5" t="str">
        <f>IFERROR(__xludf.DUMMYFUNCTION("""COMPUTED_VALUE"""),"LinWu_05")</f>
        <v>LinWu_05</v>
      </c>
      <c r="B265" s="5">
        <f>IFERROR(__xludf.DUMMYFUNCTION("""COMPUTED_VALUE"""),0.0019977430555555556)</f>
        <v>0.001997743056</v>
      </c>
      <c r="C265" s="5" t="str">
        <f>IFERROR(__xludf.DUMMYFUNCTION("""COMPUTED_VALUE"""),"MCR R34")</f>
        <v>MCR R34</v>
      </c>
      <c r="D265" s="5" t="str">
        <f>IFERROR(__xludf.DUMMYFUNCTION("""COMPUTED_VALUE"""),"PC")</f>
        <v>PC</v>
      </c>
      <c r="E265" s="5" t="str">
        <f>IFERROR(__xludf.DUMMYFUNCTION("""COMPUTED_VALUE"""),"LinWu_05")</f>
        <v>LinWu_05</v>
      </c>
      <c r="F265" s="5">
        <f>IFERROR(__xludf.DUMMYFUNCTION("""COMPUTED_VALUE"""),5.876851851851852E-4)</f>
        <v>0.0005876851852</v>
      </c>
      <c r="G265" s="5" t="str">
        <f>IFERROR(__xludf.DUMMYFUNCTION("""COMPUTED_VALUE"""),"MCR R34")</f>
        <v>MCR R34</v>
      </c>
      <c r="H265" s="5" t="str">
        <f>IFERROR(__xludf.DUMMYFUNCTION("""COMPUTED_VALUE"""),"PC")</f>
        <v>PC</v>
      </c>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row>
    <row r="266">
      <c r="A266" s="5" t="str">
        <f>IFERROR(__xludf.DUMMYFUNCTION("""COMPUTED_VALUE"""),"Test Driver")</f>
        <v>Test Driver</v>
      </c>
      <c r="B266" s="5">
        <f>IFERROR(__xludf.DUMMYFUNCTION("""COMPUTED_VALUE"""),0.006944444444444444)</f>
        <v>0.006944444444</v>
      </c>
      <c r="C266" s="5" t="str">
        <f>IFERROR(__xludf.DUMMYFUNCTION("""COMPUTED_VALUE"""),"AE86T-Street")</f>
        <v>AE86T-Street</v>
      </c>
      <c r="D266" s="5"/>
      <c r="E266" s="5" t="str">
        <f>IFERROR(__xludf.DUMMYFUNCTION("""COMPUTED_VALUE"""),"Test Driver")</f>
        <v>Test Driver</v>
      </c>
      <c r="F266" s="5">
        <f>IFERROR(__xludf.DUMMYFUNCTION("""COMPUTED_VALUE"""),0.006944444444444444)</f>
        <v>0.006944444444</v>
      </c>
      <c r="G266" s="5" t="str">
        <f>IFERROR(__xludf.DUMMYFUNCTION("""COMPUTED_VALUE"""),"AE86T-Street")</f>
        <v>AE86T-Street</v>
      </c>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row>
    <row r="272">
      <c r="A272" s="52" t="s">
        <v>89</v>
      </c>
      <c r="E272" s="52" t="s">
        <v>90</v>
      </c>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row>
    <row r="273">
      <c r="A273" s="11" t="str">
        <f>IFERROR(__xludf.DUMMYFUNCTION("LET(
  賽道, ""Gunsai"",
  路線, ""FC"",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73" s="11" t="str">
        <f>IFERROR(__xludf.DUMMYFUNCTION("""COMPUTED_VALUE"""),"Time時間")</f>
        <v>Time時間</v>
      </c>
      <c r="C273" s="11" t="str">
        <f>IFERROR(__xludf.DUMMYFUNCTION("""COMPUTED_VALUE"""),"Car車種")</f>
        <v>Car車種</v>
      </c>
      <c r="D273" s="11" t="str">
        <f>IFERROR(__xludf.DUMMYFUNCTION("""COMPUTED_VALUE"""),"Platform平台")</f>
        <v>Platform平台</v>
      </c>
      <c r="E273" s="11" t="str">
        <f>IFERROR(__xludf.DUMMYFUNCTION("LET(
  賽道, ""Gunsai"",
  路線, ""C-A"",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73" s="11" t="str">
        <f>IFERROR(__xludf.DUMMYFUNCTION("""COMPUTED_VALUE"""),"Time時間")</f>
        <v>Time時間</v>
      </c>
      <c r="G273" s="11" t="str">
        <f>IFERROR(__xludf.DUMMYFUNCTION("""COMPUTED_VALUE"""),"Car車種")</f>
        <v>Car車種</v>
      </c>
      <c r="H273" s="11" t="str">
        <f>IFERROR(__xludf.DUMMYFUNCTION("""COMPUTED_VALUE"""),"Platform平台")</f>
        <v>Platform平台</v>
      </c>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row>
    <row r="274">
      <c r="A274" s="5" t="str">
        <f>IFERROR(__xludf.DUMMYFUNCTION("""COMPUTED_VALUE"""),"LinWu_05")</f>
        <v>LinWu_05</v>
      </c>
      <c r="B274" s="5">
        <f>IFERROR(__xludf.DUMMYFUNCTION("""COMPUTED_VALUE"""),0.002279583333333333)</f>
        <v>0.002279583333</v>
      </c>
      <c r="C274" s="5" t="str">
        <f>IFERROR(__xludf.DUMMYFUNCTION("""COMPUTED_VALUE"""),"MCR R34")</f>
        <v>MCR R34</v>
      </c>
      <c r="D274" s="5" t="str">
        <f>IFERROR(__xludf.DUMMYFUNCTION("""COMPUTED_VALUE"""),"PC")</f>
        <v>PC</v>
      </c>
      <c r="E274" s="5" t="str">
        <f>IFERROR(__xludf.DUMMYFUNCTION("""COMPUTED_VALUE"""),"LinWu_05")</f>
        <v>LinWu_05</v>
      </c>
      <c r="F274" s="5">
        <f>IFERROR(__xludf.DUMMYFUNCTION("""COMPUTED_VALUE"""),0.0013942708333333333)</f>
        <v>0.001394270833</v>
      </c>
      <c r="G274" s="5" t="str">
        <f>IFERROR(__xludf.DUMMYFUNCTION("""COMPUTED_VALUE"""),"MCR R34")</f>
        <v>MCR R34</v>
      </c>
      <c r="H274" s="5" t="str">
        <f>IFERROR(__xludf.DUMMYFUNCTION("""COMPUTED_VALUE"""),"PC")</f>
        <v>PC</v>
      </c>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row>
    <row r="275">
      <c r="A275" s="5" t="str">
        <f>IFERROR(__xludf.DUMMYFUNCTION("""COMPUTED_VALUE"""),"Test Driver")</f>
        <v>Test Driver</v>
      </c>
      <c r="B275" s="5">
        <f>IFERROR(__xludf.DUMMYFUNCTION("""COMPUTED_VALUE"""),0.006944444444444444)</f>
        <v>0.006944444444</v>
      </c>
      <c r="C275" s="5" t="str">
        <f>IFERROR(__xludf.DUMMYFUNCTION("""COMPUTED_VALUE"""),"AE86T-Street")</f>
        <v>AE86T-Street</v>
      </c>
      <c r="D275" s="5"/>
      <c r="E275" s="5" t="str">
        <f>IFERROR(__xludf.DUMMYFUNCTION("""COMPUTED_VALUE"""),"Test Driver")</f>
        <v>Test Driver</v>
      </c>
      <c r="F275" s="5">
        <f>IFERROR(__xludf.DUMMYFUNCTION("""COMPUTED_VALUE"""),0.006944444444444444)</f>
        <v>0.006944444444</v>
      </c>
      <c r="G275" s="5" t="str">
        <f>IFERROR(__xludf.DUMMYFUNCTION("""COMPUTED_VALUE"""),"AE86T-Street")</f>
        <v>AE86T-Street</v>
      </c>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row>
    <row r="278">
      <c r="A278" s="52" t="s">
        <v>91</v>
      </c>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row>
    <row r="279">
      <c r="A279" s="11" t="str">
        <f>IFERROR(__xludf.DUMMYFUNCTION("LET(
  賽道, ""Gunsai"",
  路線, ""C-B"",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79" s="11" t="str">
        <f>IFERROR(__xludf.DUMMYFUNCTION("""COMPUTED_VALUE"""),"Time時間")</f>
        <v>Time時間</v>
      </c>
      <c r="C279" s="11" t="str">
        <f>IFERROR(__xludf.DUMMYFUNCTION("""COMPUTED_VALUE"""),"Car車種")</f>
        <v>Car車種</v>
      </c>
      <c r="D279" s="11" t="str">
        <f>IFERROR(__xludf.DUMMYFUNCTION("""COMPUTED_VALUE"""),"Platform平台")</f>
        <v>Platform平台</v>
      </c>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row>
    <row r="280">
      <c r="A280" s="5" t="str">
        <f>IFERROR(__xludf.DUMMYFUNCTION("""COMPUTED_VALUE"""),"Test Driver")</f>
        <v>Test Driver</v>
      </c>
      <c r="B280" s="5">
        <f>IFERROR(__xludf.DUMMYFUNCTION("""COMPUTED_VALUE"""),0.006944444444444444)</f>
        <v>0.006944444444</v>
      </c>
      <c r="C280" s="5" t="str">
        <f>IFERROR(__xludf.DUMMYFUNCTION("""COMPUTED_VALUE"""),"MCR R34")</f>
        <v>MCR R34</v>
      </c>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row>
    <row r="283">
      <c r="A283" s="29" t="s">
        <v>92</v>
      </c>
      <c r="E283" s="29" t="s">
        <v>93</v>
      </c>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row>
    <row r="284">
      <c r="A284" s="11" t="str">
        <f>IFERROR(__xludf.DUMMYFUNCTION("LET(
  賽道, ""Tsukuba"",
  路線, ""OB"",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84" s="11" t="str">
        <f>IFERROR(__xludf.DUMMYFUNCTION("""COMPUTED_VALUE"""),"Time時間")</f>
        <v>Time時間</v>
      </c>
      <c r="C284" s="11" t="str">
        <f>IFERROR(__xludf.DUMMYFUNCTION("""COMPUTED_VALUE"""),"Car車種")</f>
        <v>Car車種</v>
      </c>
      <c r="D284" s="11" t="str">
        <f>IFERROR(__xludf.DUMMYFUNCTION("""COMPUTED_VALUE"""),"Platform平台")</f>
        <v>Platform平台</v>
      </c>
      <c r="E284" s="11" t="str">
        <f>IFERROR(__xludf.DUMMYFUNCTION("LET(
  賽道, ""Tsukuba"",
  路線, ""IB"",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84" s="11" t="str">
        <f>IFERROR(__xludf.DUMMYFUNCTION("""COMPUTED_VALUE"""),"Time時間")</f>
        <v>Time時間</v>
      </c>
      <c r="G284" s="11" t="str">
        <f>IFERROR(__xludf.DUMMYFUNCTION("""COMPUTED_VALUE"""),"Car車種")</f>
        <v>Car車種</v>
      </c>
      <c r="H284" s="11" t="str">
        <f>IFERROR(__xludf.DUMMYFUNCTION("""COMPUTED_VALUE"""),"Platform平台")</f>
        <v>Platform平台</v>
      </c>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row>
    <row r="285">
      <c r="A285" s="5" t="str">
        <f>IFERROR(__xludf.DUMMYFUNCTION("""COMPUTED_VALUE"""),"StarRiver Arts")</f>
        <v>StarRiver Arts</v>
      </c>
      <c r="B285" s="5">
        <f>IFERROR(__xludf.DUMMYFUNCTION("""COMPUTED_VALUE"""),0.0025333680555555556)</f>
        <v>0.002533368056</v>
      </c>
      <c r="C285" s="5" t="str">
        <f>IFERROR(__xludf.DUMMYFUNCTION("""COMPUTED_VALUE"""),"R35N3")</f>
        <v>R35N3</v>
      </c>
      <c r="D285" s="5" t="str">
        <f>IFERROR(__xludf.DUMMYFUNCTION("""COMPUTED_VALUE"""),"PC")</f>
        <v>PC</v>
      </c>
      <c r="E285" s="5" t="str">
        <f>IFERROR(__xludf.DUMMYFUNCTION("""COMPUTED_VALUE"""),"Lolidia")</f>
        <v>Lolidia</v>
      </c>
      <c r="F285" s="5">
        <f>IFERROR(__xludf.DUMMYFUNCTION("""COMPUTED_VALUE"""),0.002311759259259259)</f>
        <v>0.002311759259</v>
      </c>
      <c r="G285" s="5" t="str">
        <f>IFERROR(__xludf.DUMMYFUNCTION("""COMPUTED_VALUE"""),"AE86T")</f>
        <v>AE86T</v>
      </c>
      <c r="H285" s="5" t="str">
        <f>IFERROR(__xludf.DUMMYFUNCTION("""COMPUTED_VALUE"""),"PCVR")</f>
        <v>PCVR</v>
      </c>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row>
    <row r="286">
      <c r="A286" s="5" t="str">
        <f>IFERROR(__xludf.DUMMYFUNCTION("""COMPUTED_VALUE"""),"LinWu_05")</f>
        <v>LinWu_05</v>
      </c>
      <c r="B286" s="5">
        <f>IFERROR(__xludf.DUMMYFUNCTION("""COMPUTED_VALUE"""),0.0027712268518518515)</f>
        <v>0.002771226852</v>
      </c>
      <c r="C286" s="5" t="str">
        <f>IFERROR(__xludf.DUMMYFUNCTION("""COMPUTED_VALUE"""),"BNR34")</f>
        <v>BNR34</v>
      </c>
      <c r="D286" s="5" t="str">
        <f>IFERROR(__xludf.DUMMYFUNCTION("""COMPUTED_VALUE"""),"PC")</f>
        <v>PC</v>
      </c>
      <c r="E286" s="5" t="str">
        <f>IFERROR(__xludf.DUMMYFUNCTION("""COMPUTED_VALUE"""),"StarRiver Arts")</f>
        <v>StarRiver Arts</v>
      </c>
      <c r="F286" s="5">
        <f>IFERROR(__xludf.DUMMYFUNCTION("""COMPUTED_VALUE"""),0.0028244560185185182)</f>
        <v>0.002824456019</v>
      </c>
      <c r="G286" s="5" t="str">
        <f>IFERROR(__xludf.DUMMYFUNCTION("""COMPUTED_VALUE"""),"AE86T")</f>
        <v>AE86T</v>
      </c>
      <c r="H286" s="5" t="str">
        <f>IFERROR(__xludf.DUMMYFUNCTION("""COMPUTED_VALUE"""),"PC")</f>
        <v>PC</v>
      </c>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row>
    <row r="287">
      <c r="A287" s="5" t="str">
        <f>IFERROR(__xludf.DUMMYFUNCTION("""COMPUTED_VALUE"""),"Test Driver")</f>
        <v>Test Driver</v>
      </c>
      <c r="B287" s="5">
        <f>IFERROR(__xludf.DUMMYFUNCTION("""COMPUTED_VALUE"""),0.006944444444444444)</f>
        <v>0.006944444444</v>
      </c>
      <c r="C287" s="5" t="str">
        <f>IFERROR(__xludf.DUMMYFUNCTION("""COMPUTED_VALUE"""),"EK9 (Civic Type-R)")</f>
        <v>EK9 (Civic Type-R)</v>
      </c>
      <c r="D287" s="5"/>
      <c r="E287" s="5" t="str">
        <f>IFERROR(__xludf.DUMMYFUNCTION("""COMPUTED_VALUE"""),"Test Driver")</f>
        <v>Test Driver</v>
      </c>
      <c r="F287" s="5">
        <f>IFERROR(__xludf.DUMMYFUNCTION("""COMPUTED_VALUE"""),0.006944444444444444)</f>
        <v>0.006944444444</v>
      </c>
      <c r="G287" s="5" t="str">
        <f>IFERROR(__xludf.DUMMYFUNCTION("""COMPUTED_VALUE"""),"R35 Nismo")</f>
        <v>R35 Nismo</v>
      </c>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row>
    <row r="288">
      <c r="A288" s="29" t="s">
        <v>94</v>
      </c>
      <c r="E288" s="29" t="s">
        <v>95</v>
      </c>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row>
    <row r="289">
      <c r="A289" s="11" t="str">
        <f>IFERROR(__xludf.DUMMYFUNCTION("LET(
  賽道, ""Tsukuba"",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289" s="11" t="str">
        <f>IFERROR(__xludf.DUMMYFUNCTION("""COMPUTED_VALUE"""),"Time時間")</f>
        <v>Time時間</v>
      </c>
      <c r="C289" s="11" t="str">
        <f>IFERROR(__xludf.DUMMYFUNCTION("""COMPUTED_VALUE"""),"Car車種")</f>
        <v>Car車種</v>
      </c>
      <c r="D289" s="11" t="str">
        <f>IFERROR(__xludf.DUMMYFUNCTION("""COMPUTED_VALUE"""),"Platform平台")</f>
        <v>Platform平台</v>
      </c>
      <c r="E289" s="11" t="str">
        <f>IFERROR(__xludf.DUMMYFUNCTION("LET(
  賽道, ""Tsukuba"",
  路線, ""UH"",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289" s="11" t="str">
        <f>IFERROR(__xludf.DUMMYFUNCTION("""COMPUTED_VALUE"""),"Time時間")</f>
        <v>Time時間</v>
      </c>
      <c r="G289" s="11" t="str">
        <f>IFERROR(__xludf.DUMMYFUNCTION("""COMPUTED_VALUE"""),"Car車種")</f>
        <v>Car車種</v>
      </c>
      <c r="H289" s="11" t="str">
        <f>IFERROR(__xludf.DUMMYFUNCTION("""COMPUTED_VALUE"""),"Platform平台")</f>
        <v>Platform平台</v>
      </c>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row>
    <row r="290">
      <c r="A290" s="5" t="str">
        <f>IFERROR(__xludf.DUMMYFUNCTION("""COMPUTED_VALUE"""),"Lolidia")</f>
        <v>Lolidia</v>
      </c>
      <c r="B290" s="5">
        <f>IFERROR(__xludf.DUMMYFUNCTION("""COMPUTED_VALUE"""),0.0011308796296296297)</f>
        <v>0.00113087963</v>
      </c>
      <c r="C290" s="5" t="str">
        <f>IFERROR(__xludf.DUMMYFUNCTION("""COMPUTED_VALUE"""),"AE86T")</f>
        <v>AE86T</v>
      </c>
      <c r="D290" s="5" t="str">
        <f>IFERROR(__xludf.DUMMYFUNCTION("""COMPUTED_VALUE"""),"PCVR")</f>
        <v>PCVR</v>
      </c>
      <c r="E290" s="5" t="str">
        <f>IFERROR(__xludf.DUMMYFUNCTION("""COMPUTED_VALUE"""),"Lolidia")</f>
        <v>Lolidia</v>
      </c>
      <c r="F290" s="5">
        <f>IFERROR(__xludf.DUMMYFUNCTION("""COMPUTED_VALUE"""),0.0012160532407407406)</f>
        <v>0.001216053241</v>
      </c>
      <c r="G290" s="5" t="str">
        <f>IFERROR(__xludf.DUMMYFUNCTION("""COMPUTED_VALUE"""),"EK9 (Civic Type-R)")</f>
        <v>EK9 (Civic Type-R)</v>
      </c>
      <c r="H290" s="5" t="str">
        <f>IFERROR(__xludf.DUMMYFUNCTION("""COMPUTED_VALUE"""),"PCVR")</f>
        <v>PCVR</v>
      </c>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row>
    <row r="291">
      <c r="A291" s="5" t="str">
        <f>IFERROR(__xludf.DUMMYFUNCTION("""COMPUTED_VALUE"""),"ikuhopen")</f>
        <v>ikuhopen</v>
      </c>
      <c r="B291" s="5">
        <f>IFERROR(__xludf.DUMMYFUNCTION("""COMPUTED_VALUE"""),0.0011571759259259259)</f>
        <v>0.001157175926</v>
      </c>
      <c r="C291" s="5" t="str">
        <f>IFERROR(__xludf.DUMMYFUNCTION("""COMPUTED_VALUE"""),"EK9 (Civic Type-R)")</f>
        <v>EK9 (Civic Type-R)</v>
      </c>
      <c r="D291" s="5" t="str">
        <f>IFERROR(__xludf.DUMMYFUNCTION("""COMPUTED_VALUE"""),"PCVR")</f>
        <v>PCVR</v>
      </c>
      <c r="E291" s="5" t="str">
        <f>IFERROR(__xludf.DUMMYFUNCTION("""COMPUTED_VALUE"""),"ikuhopen")</f>
        <v>ikuhopen</v>
      </c>
      <c r="F291" s="5">
        <f>IFERROR(__xludf.DUMMYFUNCTION("""COMPUTED_VALUE"""),0.0012411574074074074)</f>
        <v>0.001241157407</v>
      </c>
      <c r="G291" s="5" t="str">
        <f>IFERROR(__xludf.DUMMYFUNCTION("""COMPUTED_VALUE"""),"EK9 (Civic Type-R)")</f>
        <v>EK9 (Civic Type-R)</v>
      </c>
      <c r="H291" s="5" t="str">
        <f>IFERROR(__xludf.DUMMYFUNCTION("""COMPUTED_VALUE"""),"PCVR")</f>
        <v>PCVR</v>
      </c>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row>
    <row r="292">
      <c r="A292" s="5" t="str">
        <f>IFERROR(__xludf.DUMMYFUNCTION("""COMPUTED_VALUE"""),"アビドサスヒカリ")</f>
        <v>アビドサスヒカリ</v>
      </c>
      <c r="B292" s="5">
        <f>IFERROR(__xludf.DUMMYFUNCTION("""COMPUTED_VALUE"""),0.0012314814814814816)</f>
        <v>0.001231481481</v>
      </c>
      <c r="C292" s="5" t="str">
        <f>IFERROR(__xludf.DUMMYFUNCTION("""COMPUTED_VALUE"""),"AE86T")</f>
        <v>AE86T</v>
      </c>
      <c r="D292" s="5" t="str">
        <f>IFERROR(__xludf.DUMMYFUNCTION("""COMPUTED_VALUE"""),"PC")</f>
        <v>PC</v>
      </c>
      <c r="E292" s="5" t="str">
        <f>IFERROR(__xludf.DUMMYFUNCTION("""COMPUTED_VALUE"""),"LinWu_05")</f>
        <v>LinWu_05</v>
      </c>
      <c r="F292" s="5">
        <f>IFERROR(__xludf.DUMMYFUNCTION("""COMPUTED_VALUE"""),0.0013437500000000001)</f>
        <v>0.00134375</v>
      </c>
      <c r="G292" s="5" t="str">
        <f>IFERROR(__xludf.DUMMYFUNCTION("""COMPUTED_VALUE"""),"BNR34")</f>
        <v>BNR34</v>
      </c>
      <c r="H292" s="5" t="str">
        <f>IFERROR(__xludf.DUMMYFUNCTION("""COMPUTED_VALUE"""),"PC")</f>
        <v>PC</v>
      </c>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row>
    <row r="293">
      <c r="A293" s="5" t="str">
        <f>IFERROR(__xludf.DUMMYFUNCTION("""COMPUTED_VALUE"""),"LinWu_05")</f>
        <v>LinWu_05</v>
      </c>
      <c r="B293" s="5">
        <f>IFERROR(__xludf.DUMMYFUNCTION("""COMPUTED_VALUE"""),0.0012330208333333334)</f>
        <v>0.001233020833</v>
      </c>
      <c r="C293" s="5" t="str">
        <f>IFERROR(__xludf.DUMMYFUNCTION("""COMPUTED_VALUE"""),"BNR34")</f>
        <v>BNR34</v>
      </c>
      <c r="D293" s="5" t="str">
        <f>IFERROR(__xludf.DUMMYFUNCTION("""COMPUTED_VALUE"""),"PC")</f>
        <v>PC</v>
      </c>
      <c r="E293" s="5" t="str">
        <f>IFERROR(__xludf.DUMMYFUNCTION("""COMPUTED_VALUE"""),"StarRiver Arts")</f>
        <v>StarRiver Arts</v>
      </c>
      <c r="F293" s="5">
        <f>IFERROR(__xludf.DUMMYFUNCTION("""COMPUTED_VALUE"""),0.0014099189814814814)</f>
        <v>0.001409918981</v>
      </c>
      <c r="G293" s="5" t="str">
        <f>IFERROR(__xludf.DUMMYFUNCTION("""COMPUTED_VALUE"""),"AE86T")</f>
        <v>AE86T</v>
      </c>
      <c r="H293" s="5" t="str">
        <f>IFERROR(__xludf.DUMMYFUNCTION("""COMPUTED_VALUE"""),"PC")</f>
        <v>PC</v>
      </c>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row>
    <row r="294">
      <c r="A294" s="5" t="str">
        <f>IFERROR(__xludf.DUMMYFUNCTION("""COMPUTED_VALUE"""),"StarRiver Arts")</f>
        <v>StarRiver Arts</v>
      </c>
      <c r="B294" s="5">
        <f>IFERROR(__xludf.DUMMYFUNCTION("""COMPUTED_VALUE"""),0.0013395023148148149)</f>
        <v>0.001339502315</v>
      </c>
      <c r="C294" s="5" t="str">
        <f>IFERROR(__xludf.DUMMYFUNCTION("""COMPUTED_VALUE"""),"AE86T")</f>
        <v>AE86T</v>
      </c>
      <c r="D294" s="5" t="str">
        <f>IFERROR(__xludf.DUMMYFUNCTION("""COMPUTED_VALUE"""),"PC")</f>
        <v>PC</v>
      </c>
      <c r="E294" s="5" t="str">
        <f>IFERROR(__xludf.DUMMYFUNCTION("""COMPUTED_VALUE"""),"Test Driver")</f>
        <v>Test Driver</v>
      </c>
      <c r="F294" s="5">
        <f>IFERROR(__xludf.DUMMYFUNCTION("""COMPUTED_VALUE"""),0.006944444444444444)</f>
        <v>0.006944444444</v>
      </c>
      <c r="G294" s="5" t="str">
        <f>IFERROR(__xludf.DUMMYFUNCTION("""COMPUTED_VALUE"""),"R35 Nismo")</f>
        <v>R35 Nismo</v>
      </c>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row>
    <row r="295">
      <c r="A295" s="5" t="str">
        <f>IFERROR(__xludf.DUMMYFUNCTION("""COMPUTED_VALUE"""),"Test Driver")</f>
        <v>Test Driver</v>
      </c>
      <c r="B295" s="5">
        <f>IFERROR(__xludf.DUMMYFUNCTION("""COMPUTED_VALUE"""),0.006944444444444444)</f>
        <v>0.006944444444</v>
      </c>
      <c r="C295" s="5" t="str">
        <f>IFERROR(__xludf.DUMMYFUNCTION("""COMPUTED_VALUE"""),"GDB-F (Impreza WRX STi)")</f>
        <v>GDB-F (Impreza WRX STi)</v>
      </c>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row>
    <row r="296">
      <c r="A296" s="29" t="s">
        <v>96</v>
      </c>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row>
    <row r="297">
      <c r="A297" s="11" t="str">
        <f>IFERROR(__xludf.DUMMYFUNCTION("LET(
  賽道, ""Tsukuba"",
  路線, ""Double"",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B297" s="11" t="str">
        <f>IFERROR(__xludf.DUMMYFUNCTION("""COMPUTED_VALUE"""),"Time時間")</f>
        <v>Time時間</v>
      </c>
      <c r="C297" s="11" t="str">
        <f>IFERROR(__xludf.DUMMYFUNCTION("""COMPUTED_VALUE"""),"Car車種")</f>
        <v>Car車種</v>
      </c>
      <c r="D297" s="11" t="str">
        <f>IFERROR(__xludf.DUMMYFUNCTION("""COMPUTED_VALUE"""),"Platform平台")</f>
        <v>Platform平台</v>
      </c>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row>
    <row r="298">
      <c r="A298" s="5" t="str">
        <f>IFERROR(__xludf.DUMMYFUNCTION("""COMPUTED_VALUE"""),"Lolidia")</f>
        <v>Lolidia</v>
      </c>
      <c r="B298" s="5">
        <f>IFERROR(__xludf.DUMMYFUNCTION("""COMPUTED_VALUE"""),0.0023803935185185182)</f>
        <v>0.002380393519</v>
      </c>
      <c r="C298" s="5" t="str">
        <f>IFERROR(__xludf.DUMMYFUNCTION("""COMPUTED_VALUE"""),"AE86T")</f>
        <v>AE86T</v>
      </c>
      <c r="D298" s="5" t="str">
        <f>IFERROR(__xludf.DUMMYFUNCTION("""COMPUTED_VALUE"""),"PCVR")</f>
        <v>PCVR</v>
      </c>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row>
    <row r="299">
      <c r="A299" s="5" t="str">
        <f>IFERROR(__xludf.DUMMYFUNCTION("""COMPUTED_VALUE"""),"Kinokono_Tenka")</f>
        <v>Kinokono_Tenka</v>
      </c>
      <c r="B299" s="5">
        <f>IFERROR(__xludf.DUMMYFUNCTION("""COMPUTED_VALUE"""),0.002527164351851852)</f>
        <v>0.002527164352</v>
      </c>
      <c r="C299" s="5" t="str">
        <f>IFERROR(__xludf.DUMMYFUNCTION("""COMPUTED_VALUE"""),"EK9 (Civic Type-R)")</f>
        <v>EK9 (Civic Type-R)</v>
      </c>
      <c r="D299" s="5" t="str">
        <f>IFERROR(__xludf.DUMMYFUNCTION("""COMPUTED_VALUE"""),"PCVR")</f>
        <v>PCVR</v>
      </c>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row>
    <row r="300">
      <c r="A300" s="5" t="str">
        <f>IFERROR(__xludf.DUMMYFUNCTION("""COMPUTED_VALUE"""),"Yune")</f>
        <v>Yune</v>
      </c>
      <c r="B300" s="5">
        <f>IFERROR(__xludf.DUMMYFUNCTION("""COMPUTED_VALUE"""),0.002537037037037037)</f>
        <v>0.002537037037</v>
      </c>
      <c r="C300" s="5" t="str">
        <f>IFERROR(__xludf.DUMMYFUNCTION("""COMPUTED_VALUE"""),"BNR32 Gr.A")</f>
        <v>BNR32 Gr.A</v>
      </c>
      <c r="D300" s="5" t="str">
        <f>IFERROR(__xludf.DUMMYFUNCTION("""COMPUTED_VALUE"""),"PC")</f>
        <v>PC</v>
      </c>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row>
    <row r="301">
      <c r="A301" s="5" t="str">
        <f>IFERROR(__xludf.DUMMYFUNCTION("""COMPUTED_VALUE"""),"江柚凝")</f>
        <v>江柚凝</v>
      </c>
      <c r="B301" s="5">
        <f>IFERROR(__xludf.DUMMYFUNCTION("""COMPUTED_VALUE"""),0.0025702662037037035)</f>
        <v>0.002570266204</v>
      </c>
      <c r="C301" s="5" t="str">
        <f>IFERROR(__xludf.DUMMYFUNCTION("""COMPUTED_VALUE"""),"AE86T")</f>
        <v>AE86T</v>
      </c>
      <c r="D301" s="5" t="str">
        <f>IFERROR(__xludf.DUMMYFUNCTION("""COMPUTED_VALUE"""),"PCVR")</f>
        <v>PCVR</v>
      </c>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row>
    <row r="302">
      <c r="A302" s="5" t="str">
        <f>IFERROR(__xludf.DUMMYFUNCTION("""COMPUTED_VALUE"""),"StarRiver Arts")</f>
        <v>StarRiver Arts</v>
      </c>
      <c r="B302" s="5">
        <f>IFERROR(__xludf.DUMMYFUNCTION("""COMPUTED_VALUE"""),0.0025958680555555557)</f>
        <v>0.002595868056</v>
      </c>
      <c r="C302" s="5" t="str">
        <f>IFERROR(__xludf.DUMMYFUNCTION("""COMPUTED_VALUE"""),"BNR34")</f>
        <v>BNR34</v>
      </c>
      <c r="D302" s="5" t="str">
        <f>IFERROR(__xludf.DUMMYFUNCTION("""COMPUTED_VALUE"""),"PC")</f>
        <v>PC</v>
      </c>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row>
    <row r="303">
      <c r="A303" s="5" t="str">
        <f>IFERROR(__xludf.DUMMYFUNCTION("""COMPUTED_VALUE"""),"ikuhopen")</f>
        <v>ikuhopen</v>
      </c>
      <c r="B303" s="5">
        <f>IFERROR(__xludf.DUMMYFUNCTION("""COMPUTED_VALUE"""),0.0026044791666666664)</f>
        <v>0.002604479167</v>
      </c>
      <c r="C303" s="5" t="str">
        <f>IFERROR(__xludf.DUMMYFUNCTION("""COMPUTED_VALUE"""),"BNR32 Gr.A")</f>
        <v>BNR32 Gr.A</v>
      </c>
      <c r="D303" s="5" t="str">
        <f>IFERROR(__xludf.DUMMYFUNCTION("""COMPUTED_VALUE"""),"PCVR")</f>
        <v>PCVR</v>
      </c>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row>
    <row r="304">
      <c r="A304" s="5" t="str">
        <f>IFERROR(__xludf.DUMMYFUNCTION("""COMPUTED_VALUE"""),"LinWu_05")</f>
        <v>LinWu_05</v>
      </c>
      <c r="B304" s="5">
        <f>IFERROR(__xludf.DUMMYFUNCTION("""COMPUTED_VALUE"""),0.002605127314814815)</f>
        <v>0.002605127315</v>
      </c>
      <c r="C304" s="5" t="str">
        <f>IFERROR(__xludf.DUMMYFUNCTION("""COMPUTED_VALUE"""),"BNR34")</f>
        <v>BNR34</v>
      </c>
      <c r="D304" s="5" t="str">
        <f>IFERROR(__xludf.DUMMYFUNCTION("""COMPUTED_VALUE"""),"PC")</f>
        <v>PC</v>
      </c>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row>
    <row r="305">
      <c r="A305" s="5" t="str">
        <f>IFERROR(__xludf.DUMMYFUNCTION("""COMPUTED_VALUE"""),"アビドサスヒカリ")</f>
        <v>アビドサスヒカリ</v>
      </c>
      <c r="B305" s="5">
        <f>IFERROR(__xludf.DUMMYFUNCTION("""COMPUTED_VALUE"""),0.0026083796296296293)</f>
        <v>0.00260837963</v>
      </c>
      <c r="C305" s="5" t="str">
        <f>IFERROR(__xludf.DUMMYFUNCTION("""COMPUTED_VALUE"""),"AE86T")</f>
        <v>AE86T</v>
      </c>
      <c r="D305" s="5" t="str">
        <f>IFERROR(__xludf.DUMMYFUNCTION("""COMPUTED_VALUE"""),"PCVR")</f>
        <v>PCVR</v>
      </c>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row>
    <row r="306">
      <c r="A306" s="5" t="str">
        <f>IFERROR(__xludf.DUMMYFUNCTION("""COMPUTED_VALUE"""),"ZihChin")</f>
        <v>ZihChin</v>
      </c>
      <c r="B306" s="5">
        <f>IFERROR(__xludf.DUMMYFUNCTION("""COMPUTED_VALUE"""),0.0027091782407407407)</f>
        <v>0.002709178241</v>
      </c>
      <c r="C306" s="5" t="str">
        <f>IFERROR(__xludf.DUMMYFUNCTION("""COMPUTED_VALUE"""),"BNR32 Gr.A")</f>
        <v>BNR32 Gr.A</v>
      </c>
      <c r="D306" s="5" t="str">
        <f>IFERROR(__xludf.DUMMYFUNCTION("""COMPUTED_VALUE"""),"PC")</f>
        <v>PC</v>
      </c>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row>
    <row r="307">
      <c r="A307" s="5" t="str">
        <f>IFERROR(__xludf.DUMMYFUNCTION("""COMPUTED_VALUE"""),"Sakanakokokoko")</f>
        <v>Sakanakokokoko</v>
      </c>
      <c r="B307" s="5">
        <f>IFERROR(__xludf.DUMMYFUNCTION("""COMPUTED_VALUE"""),0.002872106481481481)</f>
        <v>0.002872106481</v>
      </c>
      <c r="C307" s="5" t="str">
        <f>IFERROR(__xludf.DUMMYFUNCTION("""COMPUTED_VALUE"""),"BNR34")</f>
        <v>BNR34</v>
      </c>
      <c r="D307" s="5" t="str">
        <f>IFERROR(__xludf.DUMMYFUNCTION("""COMPUTED_VALUE"""),"PC")</f>
        <v>PC</v>
      </c>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row>
    <row r="308">
      <c r="A308" s="5" t="str">
        <f>IFERROR(__xludf.DUMMYFUNCTION("""COMPUTED_VALUE"""),"Test Driver")</f>
        <v>Test Driver</v>
      </c>
      <c r="B308" s="5">
        <f>IFERROR(__xludf.DUMMYFUNCTION("""COMPUTED_VALUE"""),0.006944444444444444)</f>
        <v>0.006944444444</v>
      </c>
      <c r="C308" s="5" t="str">
        <f>IFERROR(__xludf.DUMMYFUNCTION("""COMPUTED_VALUE"""),"R35 Nismo")</f>
        <v>R35 Nismo</v>
      </c>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row>
    <row r="310">
      <c r="A310" s="43" t="s">
        <v>97</v>
      </c>
      <c r="E310" s="43" t="s">
        <v>98</v>
      </c>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row>
    <row r="311">
      <c r="A311" s="11" t="str">
        <f>IFERROR(__xludf.DUMMYFUNCTION("LET(
  賽道, ""Shomaru"",
  路線, ""OB"",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311" s="11" t="str">
        <f>IFERROR(__xludf.DUMMYFUNCTION("""COMPUTED_VALUE"""),"Time時間")</f>
        <v>Time時間</v>
      </c>
      <c r="C311" s="11" t="str">
        <f>IFERROR(__xludf.DUMMYFUNCTION("""COMPUTED_VALUE"""),"Car車種")</f>
        <v>Car車種</v>
      </c>
      <c r="D311" s="11" t="str">
        <f>IFERROR(__xludf.DUMMYFUNCTION("""COMPUTED_VALUE"""),"Platform平台")</f>
        <v>Platform平台</v>
      </c>
      <c r="E311" s="11" t="str">
        <f>IFERROR(__xludf.DUMMYFUNCTION("LET(
  賽道, ""Shomaru"",
  路線, ""IB"",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F311" s="11" t="str">
        <f>IFERROR(__xludf.DUMMYFUNCTION("""COMPUTED_VALUE"""),"Time時間")</f>
        <v>Time時間</v>
      </c>
      <c r="G311" s="11" t="str">
        <f>IFERROR(__xludf.DUMMYFUNCTION("""COMPUTED_VALUE"""),"Car車種")</f>
        <v>Car車種</v>
      </c>
      <c r="H311" s="11" t="str">
        <f>IFERROR(__xludf.DUMMYFUNCTION("""COMPUTED_VALUE"""),"Platform平台")</f>
        <v>Platform平台</v>
      </c>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row>
    <row r="312">
      <c r="A312" s="5" t="str">
        <f>IFERROR(__xludf.DUMMYFUNCTION("""COMPUTED_VALUE"""),"LinWu_05")</f>
        <v>LinWu_05</v>
      </c>
      <c r="B312" s="5">
        <f>IFERROR(__xludf.DUMMYFUNCTION("""COMPUTED_VALUE"""),0.002636377314814815)</f>
        <v>0.002636377315</v>
      </c>
      <c r="C312" s="5" t="str">
        <f>IFERROR(__xludf.DUMMYFUNCTION("""COMPUTED_VALUE"""),"EA11R (Cappuccino)")</f>
        <v>EA11R (Cappuccino)</v>
      </c>
      <c r="D312" s="5" t="str">
        <f>IFERROR(__xludf.DUMMYFUNCTION("""COMPUTED_VALUE"""),"PC")</f>
        <v>PC</v>
      </c>
      <c r="E312" s="5" t="str">
        <f>IFERROR(__xludf.DUMMYFUNCTION("""COMPUTED_VALUE"""),"StarRiver Arts")</f>
        <v>StarRiver Arts</v>
      </c>
      <c r="F312" s="5">
        <f>IFERROR(__xludf.DUMMYFUNCTION("""COMPUTED_VALUE"""),0.002908368055555555)</f>
        <v>0.002908368056</v>
      </c>
      <c r="G312" s="5" t="str">
        <f>IFERROR(__xludf.DUMMYFUNCTION("""COMPUTED_VALUE"""),"EA11R (Cappuccino)")</f>
        <v>EA11R (Cappuccino)</v>
      </c>
      <c r="H312" s="5" t="str">
        <f>IFERROR(__xludf.DUMMYFUNCTION("""COMPUTED_VALUE"""),"PC")</f>
        <v>PC</v>
      </c>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row>
    <row r="313">
      <c r="A313" s="5" t="str">
        <f>IFERROR(__xludf.DUMMYFUNCTION("""COMPUTED_VALUE"""),"アビドサスヒカリ")</f>
        <v>アビドサスヒカリ</v>
      </c>
      <c r="B313" s="5">
        <f>IFERROR(__xludf.DUMMYFUNCTION("""COMPUTED_VALUE"""),0.0026850462962962965)</f>
        <v>0.002685046296</v>
      </c>
      <c r="C313" s="5" t="str">
        <f>IFERROR(__xludf.DUMMYFUNCTION("""COMPUTED_VALUE"""),"GT86/ZN6")</f>
        <v>GT86/ZN6</v>
      </c>
      <c r="D313" s="5" t="str">
        <f>IFERROR(__xludf.DUMMYFUNCTION("""COMPUTED_VALUE"""),"PC")</f>
        <v>PC</v>
      </c>
      <c r="E313" s="5" t="str">
        <f>IFERROR(__xludf.DUMMYFUNCTION("""COMPUTED_VALUE"""),"Test Driver")</f>
        <v>Test Driver</v>
      </c>
      <c r="F313" s="5">
        <f>IFERROR(__xludf.DUMMYFUNCTION("""COMPUTED_VALUE"""),0.006944444444444444)</f>
        <v>0.006944444444</v>
      </c>
      <c r="G313" s="5" t="str">
        <f>IFERROR(__xludf.DUMMYFUNCTION("""COMPUTED_VALUE"""),"GT86/ZN6")</f>
        <v>GT86/ZN6</v>
      </c>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row>
    <row r="314">
      <c r="A314" s="5" t="str">
        <f>IFERROR(__xludf.DUMMYFUNCTION("""COMPUTED_VALUE"""),"StarRiver Arts")</f>
        <v>StarRiver Arts</v>
      </c>
      <c r="B314" s="5">
        <f>IFERROR(__xludf.DUMMYFUNCTION("""COMPUTED_VALUE"""),0.0027656365740740736)</f>
        <v>0.002765636574</v>
      </c>
      <c r="C314" s="5" t="str">
        <f>IFERROR(__xludf.DUMMYFUNCTION("""COMPUTED_VALUE"""),"EA11R (Cappuccino)")</f>
        <v>EA11R (Cappuccino)</v>
      </c>
      <c r="D314" s="5" t="str">
        <f>IFERROR(__xludf.DUMMYFUNCTION("""COMPUTED_VALUE"""),"PC")</f>
        <v>PC</v>
      </c>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row>
    <row r="315">
      <c r="A315" s="5" t="str">
        <f>IFERROR(__xludf.DUMMYFUNCTION("""COMPUTED_VALUE"""),"Test Driver")</f>
        <v>Test Driver</v>
      </c>
      <c r="B315" s="5">
        <f>IFERROR(__xludf.DUMMYFUNCTION("""COMPUTED_VALUE"""),0.006944444444444444)</f>
        <v>0.006944444444</v>
      </c>
      <c r="C315" s="5" t="str">
        <f>IFERROR(__xludf.DUMMYFUNCTION("""COMPUTED_VALUE"""),"AE86T-V2")</f>
        <v>AE86T-V2</v>
      </c>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row>
    <row r="321">
      <c r="A321" s="53" t="s">
        <v>99</v>
      </c>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row>
    <row r="322">
      <c r="A322" s="11" t="str">
        <f>IFERROR(__xludf.DUMMYFUNCTION("LET(
  賽道, ""Shomaru"",
  路線, ""Double"",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B322" s="11" t="str">
        <f>IFERROR(__xludf.DUMMYFUNCTION("""COMPUTED_VALUE"""),"Time時間")</f>
        <v>Time時間</v>
      </c>
      <c r="C322" s="11" t="str">
        <f>IFERROR(__xludf.DUMMYFUNCTION("""COMPUTED_VALUE"""),"Car車種")</f>
        <v>Car車種</v>
      </c>
      <c r="D322" s="11" t="str">
        <f>IFERROR(__xludf.DUMMYFUNCTION("""COMPUTED_VALUE"""),"Platform平台")</f>
        <v>Platform平台</v>
      </c>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row>
    <row r="323">
      <c r="A323" s="5" t="str">
        <f>IFERROR(__xludf.DUMMYFUNCTION("""COMPUTED_VALUE"""),"StarRiver Arts")</f>
        <v>StarRiver Arts</v>
      </c>
      <c r="B323" s="5">
        <f>IFERROR(__xludf.DUMMYFUNCTION("""COMPUTED_VALUE"""),0.006263368055555555)</f>
        <v>0.006263368056</v>
      </c>
      <c r="C323" s="5" t="str">
        <f>IFERROR(__xludf.DUMMYFUNCTION("""COMPUTED_VALUE"""),"SXE10 (Altezza)")</f>
        <v>SXE10 (Altezza)</v>
      </c>
      <c r="D323" s="5" t="str">
        <f>IFERROR(__xludf.DUMMYFUNCTION("""COMPUTED_VALUE"""),"PC")</f>
        <v>PC</v>
      </c>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row>
    <row r="324">
      <c r="A324" s="5" t="str">
        <f>IFERROR(__xludf.DUMMYFUNCTION("""COMPUTED_VALUE"""),"Test Driver")</f>
        <v>Test Driver</v>
      </c>
      <c r="B324" s="5">
        <f>IFERROR(__xludf.DUMMYFUNCTION("""COMPUTED_VALUE"""),0.006944444444444444)</f>
        <v>0.006944444444</v>
      </c>
      <c r="C324" s="5" t="str">
        <f>IFERROR(__xludf.DUMMYFUNCTION("""COMPUTED_VALUE"""),"GT86/ZN6")</f>
        <v>GT86/ZN6</v>
      </c>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row>
    <row r="329">
      <c r="A329" s="54" t="s">
        <v>100</v>
      </c>
      <c r="E329" s="54" t="s">
        <v>101</v>
      </c>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row>
    <row r="330">
      <c r="A330" s="11" t="str">
        <f>IFERROR(__xludf.DUMMYFUNCTION("LET(
  賽道, ""Hakone"",
  路線, ""DH"",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330" s="11" t="str">
        <f>IFERROR(__xludf.DUMMYFUNCTION("""COMPUTED_VALUE"""),"Time時間")</f>
        <v>Time時間</v>
      </c>
      <c r="C330" s="11" t="str">
        <f>IFERROR(__xludf.DUMMYFUNCTION("""COMPUTED_VALUE"""),"Car車種")</f>
        <v>Car車種</v>
      </c>
      <c r="D330" s="11" t="str">
        <f>IFERROR(__xludf.DUMMYFUNCTION("""COMPUTED_VALUE"""),"Platform平台")</f>
        <v>Platform平台</v>
      </c>
      <c r="E330" s="11" t="str">
        <f>IFERROR(__xludf.DUMMYFUNCTION("LET(
  賽道, ""Hakone"",
  路線, ""UH"",
  系統, ""Sacc"",
  原始, FILTER('歷史紀錄'!E86:H1168, '歷史紀錄'!B86:B1168=賽道, '歷史紀錄'!C86:C1168=路線, '歷史紀錄'!I86:I1168=系統),
  排序後, SORT(原始, 2, TRUE),
  玩家, INDEX(排序後,,1),
  唯一玩家, UNIQUE(玩家),
  結果,
    MAP(唯一玩家, LAMBDA(p,
      INDE"&amp;"X(FILTER(排序後, INDEX(排序後,,1)=p),1,0)
    )),
  表頭, {""Player玩家"",""Time時間"",""Car車種"",""Platform平台""},
  VSTACK(表頭, 結果)
)
"),"Player玩家")</f>
        <v>Player玩家</v>
      </c>
      <c r="F330" s="11" t="str">
        <f>IFERROR(__xludf.DUMMYFUNCTION("""COMPUTED_VALUE"""),"Time時間")</f>
        <v>Time時間</v>
      </c>
      <c r="G330" s="11" t="str">
        <f>IFERROR(__xludf.DUMMYFUNCTION("""COMPUTED_VALUE"""),"Car車種")</f>
        <v>Car車種</v>
      </c>
      <c r="H330" s="11" t="str">
        <f>IFERROR(__xludf.DUMMYFUNCTION("""COMPUTED_VALUE"""),"Platform平台")</f>
        <v>Platform平台</v>
      </c>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row>
    <row r="331">
      <c r="A331" s="5" t="str">
        <f>IFERROR(__xludf.DUMMYFUNCTION("""COMPUTED_VALUE"""),"LinWu_05")</f>
        <v>LinWu_05</v>
      </c>
      <c r="B331" s="5">
        <f>IFERROR(__xludf.DUMMYFUNCTION("""COMPUTED_VALUE"""),0.002515428240740741)</f>
        <v>0.002515428241</v>
      </c>
      <c r="C331" s="5" t="str">
        <f>IFERROR(__xludf.DUMMYFUNCTION("""COMPUTED_VALUE"""),"BNR32")</f>
        <v>BNR32</v>
      </c>
      <c r="D331" s="5" t="str">
        <f>IFERROR(__xludf.DUMMYFUNCTION("""COMPUTED_VALUE"""),"PC")</f>
        <v>PC</v>
      </c>
      <c r="E331" s="5" t="str">
        <f>IFERROR(__xludf.DUMMYFUNCTION("""COMPUTED_VALUE"""),"Test Driver")</f>
        <v>Test Driver</v>
      </c>
      <c r="F331" s="5">
        <f>IFERROR(__xludf.DUMMYFUNCTION("""COMPUTED_VALUE"""),0.006944444444444444)</f>
        <v>0.006944444444</v>
      </c>
      <c r="G331" s="5" t="str">
        <f>IFERROR(__xludf.DUMMYFUNCTION("""COMPUTED_VALUE"""),"991(911 GT3)")</f>
        <v>991(911 GT3)</v>
      </c>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row>
    <row r="332">
      <c r="A332" s="5" t="str">
        <f>IFERROR(__xludf.DUMMYFUNCTION("""COMPUTED_VALUE"""),"StarRiver Arts")</f>
        <v>StarRiver Arts</v>
      </c>
      <c r="B332" s="5">
        <f>IFERROR(__xludf.DUMMYFUNCTION("""COMPUTED_VALUE"""),0.0026454513888888886)</f>
        <v>0.002645451389</v>
      </c>
      <c r="C332" s="5" t="str">
        <f>IFERROR(__xludf.DUMMYFUNCTION("""COMPUTED_VALUE"""),"FC3S")</f>
        <v>FC3S</v>
      </c>
      <c r="D332" s="5" t="str">
        <f>IFERROR(__xludf.DUMMYFUNCTION("""COMPUTED_VALUE"""),"PC")</f>
        <v>PC</v>
      </c>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row>
    <row r="333" ht="14.25" customHeight="1">
      <c r="A333" s="5" t="str">
        <f>IFERROR(__xludf.DUMMYFUNCTION("""COMPUTED_VALUE"""),"Test Driver")</f>
        <v>Test Driver</v>
      </c>
      <c r="B333" s="5">
        <f>IFERROR(__xludf.DUMMYFUNCTION("""COMPUTED_VALUE"""),0.006944444444444444)</f>
        <v>0.006944444444</v>
      </c>
      <c r="C333" s="5" t="str">
        <f>IFERROR(__xludf.DUMMYFUNCTION("""COMPUTED_VALUE"""),"991(911 GT3)")</f>
        <v>991(911 GT3)</v>
      </c>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row>
    <row r="334" ht="15.0" customHeight="1">
      <c r="A334" s="43" t="s">
        <v>102</v>
      </c>
      <c r="E334" s="43" t="s">
        <v>103</v>
      </c>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row>
    <row r="335" ht="15.0" customHeight="1">
      <c r="A335" s="11" t="str">
        <f>IFERROR(__xludf.DUMMYFUNCTION("LET(
  賽道, ""Tsukuba Snow"",
  路線, ""OB"",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B335" s="5" t="str">
        <f>IFERROR(__xludf.DUMMYFUNCTION("""COMPUTED_VALUE"""),"Time時間")</f>
        <v>Time時間</v>
      </c>
      <c r="C335" s="5" t="str">
        <f>IFERROR(__xludf.DUMMYFUNCTION("""COMPUTED_VALUE"""),"Car車種")</f>
        <v>Car車種</v>
      </c>
      <c r="D335" s="5" t="str">
        <f>IFERROR(__xludf.DUMMYFUNCTION("""COMPUTED_VALUE"""),"Platform平台")</f>
        <v>Platform平台</v>
      </c>
      <c r="E335" s="11" t="str">
        <f>IFERROR(__xludf.DUMMYFUNCTION("LET(
  賽道, ""Tsukuba Snow"",
  路線, ""IB"",
  系統, ""Sacc"",
  原始, FILTER('歷史紀錄'!$E$2:$H1168, '歷史紀錄'!$B$2:$B1168=賽道, '歷史紀錄'!$C$2:$C1168=路線, '歷史紀錄'!$I$2:$I1168=系統),
  排序後, SORT(原始, 2, TRUE),
  玩家, INDEX(排序後,,1),
  唯一玩家, UNIQUE(玩家),
  結果,
    MAP(唯一玩家, LAMBDA"&amp;"(p,
      INDEX(FILTER(排序後, INDEX(排序後,,1)=p),1,0)
    )),
  表頭, {""Player玩家"",""Time時間"",""Car車種"",""Platform平台""},
  VSTACK(表頭, 結果)
)
"),"Player玩家")</f>
        <v>Player玩家</v>
      </c>
      <c r="F335" s="5" t="str">
        <f>IFERROR(__xludf.DUMMYFUNCTION("""COMPUTED_VALUE"""),"Time時間")</f>
        <v>Time時間</v>
      </c>
      <c r="G335" s="5" t="str">
        <f>IFERROR(__xludf.DUMMYFUNCTION("""COMPUTED_VALUE"""),"Car車種")</f>
        <v>Car車種</v>
      </c>
      <c r="H335" s="5" t="str">
        <f>IFERROR(__xludf.DUMMYFUNCTION("""COMPUTED_VALUE"""),"Platform平台")</f>
        <v>Platform平台</v>
      </c>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row>
    <row r="336" ht="15.0" customHeight="1">
      <c r="A336" s="5" t="str">
        <f>IFERROR(__xludf.DUMMYFUNCTION("""COMPUTED_VALUE"""),"LinWu_05")</f>
        <v>LinWu_05</v>
      </c>
      <c r="B336" s="5">
        <f>IFERROR(__xludf.DUMMYFUNCTION("""COMPUTED_VALUE"""),0.002798414351851852)</f>
        <v>0.002798414352</v>
      </c>
      <c r="C336" s="5" t="str">
        <f>IFERROR(__xludf.DUMMYFUNCTION("""COMPUTED_VALUE"""),"BNR34")</f>
        <v>BNR34</v>
      </c>
      <c r="D336" s="5" t="str">
        <f>IFERROR(__xludf.DUMMYFUNCTION("""COMPUTED_VALUE"""),"PC")</f>
        <v>PC</v>
      </c>
      <c r="E336" s="5" t="str">
        <f>IFERROR(__xludf.DUMMYFUNCTION("""COMPUTED_VALUE"""),"LinWu_05")</f>
        <v>LinWu_05</v>
      </c>
      <c r="F336" s="5">
        <f>IFERROR(__xludf.DUMMYFUNCTION("""COMPUTED_VALUE"""),0.002837997685185185)</f>
        <v>0.002837997685</v>
      </c>
      <c r="G336" s="5" t="str">
        <f>IFERROR(__xludf.DUMMYFUNCTION("""COMPUTED_VALUE"""),"BNR34")</f>
        <v>BNR34</v>
      </c>
      <c r="H336" s="5" t="str">
        <f>IFERROR(__xludf.DUMMYFUNCTION("""COMPUTED_VALUE"""),"PC")</f>
        <v>PC</v>
      </c>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row>
    <row r="337" ht="15.0" customHeight="1">
      <c r="A337" s="5" t="str">
        <f>IFERROR(__xludf.DUMMYFUNCTION("""COMPUTED_VALUE"""),"Test Driver")</f>
        <v>Test Driver</v>
      </c>
      <c r="B337" s="5">
        <f>IFERROR(__xludf.DUMMYFUNCTION("""COMPUTED_VALUE"""),0.006944444444444444)</f>
        <v>0.006944444444</v>
      </c>
      <c r="C337" s="5" t="str">
        <f>IFERROR(__xludf.DUMMYFUNCTION("""COMPUTED_VALUE"""),"Nissan Z Proto")</f>
        <v>Nissan Z Proto</v>
      </c>
      <c r="D337" s="5"/>
      <c r="E337" s="5" t="str">
        <f>IFERROR(__xludf.DUMMYFUNCTION("""COMPUTED_VALUE"""),"Test Driver")</f>
        <v>Test Driver</v>
      </c>
      <c r="F337" s="5">
        <f>IFERROR(__xludf.DUMMYFUNCTION("""COMPUTED_VALUE"""),0.006944444444444444)</f>
        <v>0.006944444444</v>
      </c>
      <c r="G337" s="5" t="str">
        <f>IFERROR(__xludf.DUMMYFUNCTION("""COMPUTED_VALUE"""),"Nissan Z Proto")</f>
        <v>Nissan Z Proto</v>
      </c>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row>
    <row r="338" ht="15.0"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row>
    <row r="339" ht="15.0"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row>
    <row r="340" ht="15.0"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row>
    <row r="341" ht="15.0"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row>
    <row r="342" ht="15.0"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row>
    <row r="343" ht="15.0" customHeight="1">
      <c r="A343" s="24" t="s">
        <v>104</v>
      </c>
      <c r="E343" s="24" t="s">
        <v>105</v>
      </c>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row>
    <row r="344">
      <c r="A344" s="11" t="str">
        <f>IFERROR(__xludf.DUMMYFUNCTION("LET(
  賽道, ""Akina Snow"",
  路線, ""DH"",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344" s="11" t="str">
        <f>IFERROR(__xludf.DUMMYFUNCTION("""COMPUTED_VALUE"""),"Time時間")</f>
        <v>Time時間</v>
      </c>
      <c r="C344" s="11" t="str">
        <f>IFERROR(__xludf.DUMMYFUNCTION("""COMPUTED_VALUE"""),"Car車種")</f>
        <v>Car車種</v>
      </c>
      <c r="D344" s="11" t="str">
        <f>IFERROR(__xludf.DUMMYFUNCTION("""COMPUTED_VALUE"""),"Platform平台")</f>
        <v>Platform平台</v>
      </c>
      <c r="E344" s="11" t="str">
        <f>IFERROR(__xludf.DUMMYFUNCTION("LET(
  賽道, ""Akina Snow"",
  路線, ""UH"",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344" s="11" t="str">
        <f>IFERROR(__xludf.DUMMYFUNCTION("""COMPUTED_VALUE"""),"Time時間")</f>
        <v>Time時間</v>
      </c>
      <c r="G344" s="11" t="str">
        <f>IFERROR(__xludf.DUMMYFUNCTION("""COMPUTED_VALUE"""),"Car車種")</f>
        <v>Car車種</v>
      </c>
      <c r="H344" s="11" t="str">
        <f>IFERROR(__xludf.DUMMYFUNCTION("""COMPUTED_VALUE"""),"Platform平台")</f>
        <v>Platform平台</v>
      </c>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row>
    <row r="345">
      <c r="A345" s="5" t="str">
        <f>IFERROR(__xludf.DUMMYFUNCTION("""COMPUTED_VALUE"""),"Lolidia")</f>
        <v>Lolidia</v>
      </c>
      <c r="B345" s="5">
        <f>IFERROR(__xludf.DUMMYFUNCTION("""COMPUTED_VALUE"""),0.0026738657407407405)</f>
        <v>0.002673865741</v>
      </c>
      <c r="C345" s="5" t="str">
        <f>IFERROR(__xludf.DUMMYFUNCTION("""COMPUTED_VALUE"""),"AE86T")</f>
        <v>AE86T</v>
      </c>
      <c r="D345" s="5" t="str">
        <f>IFERROR(__xludf.DUMMYFUNCTION("""COMPUTED_VALUE"""),"PCVR")</f>
        <v>PCVR</v>
      </c>
      <c r="E345" s="5" t="str">
        <f>IFERROR(__xludf.DUMMYFUNCTION("""COMPUTED_VALUE"""),"Test Driver")</f>
        <v>Test Driver</v>
      </c>
      <c r="F345" s="5">
        <f>IFERROR(__xludf.DUMMYFUNCTION("""COMPUTED_VALUE"""),0.006944444444444444)</f>
        <v>0.006944444444</v>
      </c>
      <c r="G345" s="5" t="str">
        <f>IFERROR(__xludf.DUMMYFUNCTION("""COMPUTED_VALUE"""),"AE86T")</f>
        <v>AE86T</v>
      </c>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row>
    <row r="346">
      <c r="A346" s="5" t="str">
        <f>IFERROR(__xludf.DUMMYFUNCTION("""COMPUTED_VALUE"""),"StarRiver Arts")</f>
        <v>StarRiver Arts</v>
      </c>
      <c r="B346" s="5">
        <f>IFERROR(__xludf.DUMMYFUNCTION("""COMPUTED_VALUE"""),0.0028599537037037035)</f>
        <v>0.002859953704</v>
      </c>
      <c r="C346" s="5" t="str">
        <f>IFERROR(__xludf.DUMMYFUNCTION("""COMPUTED_VALUE"""),"GC8-F (Impreza)")</f>
        <v>GC8-F (Impreza)</v>
      </c>
      <c r="D346" s="5" t="str">
        <f>IFERROR(__xludf.DUMMYFUNCTION("""COMPUTED_VALUE"""),"PC")</f>
        <v>PC</v>
      </c>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row>
    <row r="347">
      <c r="A347" s="5" t="str">
        <f>IFERROR(__xludf.DUMMYFUNCTION("""COMPUTED_VALUE"""),"ikuhopen")</f>
        <v>ikuhopen</v>
      </c>
      <c r="B347" s="5">
        <f>IFERROR(__xludf.DUMMYFUNCTION("""COMPUTED_VALUE"""),0.0028941319444444444)</f>
        <v>0.002894131944</v>
      </c>
      <c r="C347" s="5" t="str">
        <f>IFERROR(__xludf.DUMMYFUNCTION("""COMPUTED_VALUE"""),"ST205 (Celica)")</f>
        <v>ST205 (Celica)</v>
      </c>
      <c r="D347" s="5" t="str">
        <f>IFERROR(__xludf.DUMMYFUNCTION("""COMPUTED_VALUE"""),"PCVR")</f>
        <v>PCVR</v>
      </c>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row>
    <row r="348">
      <c r="A348" s="5" t="str">
        <f>IFERROR(__xludf.DUMMYFUNCTION("""COMPUTED_VALUE"""),"LinWu_05")</f>
        <v>LinWu_05</v>
      </c>
      <c r="B348" s="5">
        <f>IFERROR(__xludf.DUMMYFUNCTION("""COMPUTED_VALUE"""),0.002913576388888889)</f>
        <v>0.002913576389</v>
      </c>
      <c r="C348" s="5" t="str">
        <f>IFERROR(__xludf.DUMMYFUNCTION("""COMPUTED_VALUE"""),"GC8-F (Impreza)")</f>
        <v>GC8-F (Impreza)</v>
      </c>
      <c r="D348" s="5" t="str">
        <f>IFERROR(__xludf.DUMMYFUNCTION("""COMPUTED_VALUE"""),"PC")</f>
        <v>PC</v>
      </c>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row>
    <row r="349">
      <c r="A349" s="5" t="str">
        <f>IFERROR(__xludf.DUMMYFUNCTION("""COMPUTED_VALUE"""),"Test Driver")</f>
        <v>Test Driver</v>
      </c>
      <c r="B349" s="5">
        <f>IFERROR(__xludf.DUMMYFUNCTION("""COMPUTED_VALUE"""),0.006944444444444444)</f>
        <v>0.006944444444</v>
      </c>
      <c r="C349" s="5" t="str">
        <f>IFERROR(__xludf.DUMMYFUNCTION("""COMPUTED_VALUE"""),"SilEighty")</f>
        <v>SilEighty</v>
      </c>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row>
    <row r="354">
      <c r="A354" s="43" t="s">
        <v>106</v>
      </c>
      <c r="E354" s="43" t="s">
        <v>107</v>
      </c>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row>
    <row r="355">
      <c r="A355" s="11" t="str">
        <f>IFERROR(__xludf.DUMMYFUNCTION("LET(
  賽道, ""Tsuchisaka Snow"",
  路線, ""IB"",
  系統, ""Sacc"",
  原始, FILTER('歷史紀錄'!$E$2:$H1168, '歷史紀錄'!$B$2:$B1168=賽道, '歷史紀錄'!$C$2:$C1168=路線, '歷史紀錄'!$I$2:$I1168=系統),
  排序後, SORT(原始, 2, TRUE),
  玩家, INDEX(排序後,,1),
  唯一玩家, UNIQUE(玩家),
  結果,
    MAP(唯一玩家, LAM"&amp;"BDA(p,
      INDEX(FILTER(排序後, INDEX(排序後,,1)=p),1,0)
    )),
  表頭, {""Player玩家"",""Time時間"",""Car車種"",""Platform平台""},
  VSTACK(表頭, 結果)
)
"),"Player玩家")</f>
        <v>Player玩家</v>
      </c>
      <c r="B355" s="11" t="str">
        <f>IFERROR(__xludf.DUMMYFUNCTION("""COMPUTED_VALUE"""),"Time時間")</f>
        <v>Time時間</v>
      </c>
      <c r="C355" s="11" t="str">
        <f>IFERROR(__xludf.DUMMYFUNCTION("""COMPUTED_VALUE"""),"Car車種")</f>
        <v>Car車種</v>
      </c>
      <c r="D355" s="11" t="str">
        <f>IFERROR(__xludf.DUMMYFUNCTION("""COMPUTED_VALUE"""),"Platform平台")</f>
        <v>Platform平台</v>
      </c>
      <c r="E355" s="11" t="str">
        <f>IFERROR(__xludf.DUMMYFUNCTION("LET(
  賽道, ""Tsuchisaka Snow"",
  路線, ""OB"",
  系統, ""Sacc"",
  原始, FILTER('歷史紀錄'!$E$2:$H1168, '歷史紀錄'!$B$2:$B1168=賽道, '歷史紀錄'!$C$2:$C1168=路線, '歷史紀錄'!$I$2:$I1168=系統),
  排序後, SORT(原始, 2, TRUE),
  玩家, INDEX(排序後,,1),
  唯一玩家, UNIQUE(玩家),
  結果,
    MAP(唯一玩家, LAM"&amp;"BDA(p,
      INDEX(FILTER(排序後, INDEX(排序後,,1)=p),1,0)
    )),
  表頭, {""Player玩家"",""Time時間"",""Car車種"",""Platform平台""},
  VSTACK(表頭, 結果)
)
"),"Player玩家")</f>
        <v>Player玩家</v>
      </c>
      <c r="F355" s="11" t="str">
        <f>IFERROR(__xludf.DUMMYFUNCTION("""COMPUTED_VALUE"""),"Time時間")</f>
        <v>Time時間</v>
      </c>
      <c r="G355" s="11" t="str">
        <f>IFERROR(__xludf.DUMMYFUNCTION("""COMPUTED_VALUE"""),"Car車種")</f>
        <v>Car車種</v>
      </c>
      <c r="H355" s="11" t="str">
        <f>IFERROR(__xludf.DUMMYFUNCTION("""COMPUTED_VALUE"""),"Platform平台")</f>
        <v>Platform平台</v>
      </c>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row>
    <row r="356">
      <c r="A356" s="5" t="str">
        <f>IFERROR(__xludf.DUMMYFUNCTION("""COMPUTED_VALUE"""),"LinWu_05")</f>
        <v>LinWu_05</v>
      </c>
      <c r="B356" s="5">
        <f>IFERROR(__xludf.DUMMYFUNCTION("""COMPUTED_VALUE"""),0.0026034953703703706)</f>
        <v>0.00260349537</v>
      </c>
      <c r="C356" s="5" t="str">
        <f>IFERROR(__xludf.DUMMYFUNCTION("""COMPUTED_VALUE"""),"BNR34")</f>
        <v>BNR34</v>
      </c>
      <c r="D356" s="5" t="str">
        <f>IFERROR(__xludf.DUMMYFUNCTION("""COMPUTED_VALUE"""),"PC")</f>
        <v>PC</v>
      </c>
      <c r="E356" s="5" t="str">
        <f>IFERROR(__xludf.DUMMYFUNCTION("""COMPUTED_VALUE"""),"StarRiver Arts")</f>
        <v>StarRiver Arts</v>
      </c>
      <c r="F356" s="5">
        <f>IFERROR(__xludf.DUMMYFUNCTION("""COMPUTED_VALUE"""),0.0024624421296296295)</f>
        <v>0.00246244213</v>
      </c>
      <c r="G356" s="5" t="str">
        <f>IFERROR(__xludf.DUMMYFUNCTION("""COMPUTED_VALUE"""),"NA8C (Mx5 Roadster)")</f>
        <v>NA8C (Mx5 Roadster)</v>
      </c>
      <c r="H356" s="5" t="str">
        <f>IFERROR(__xludf.DUMMYFUNCTION("""COMPUTED_VALUE"""),"PC")</f>
        <v>PC</v>
      </c>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row>
    <row r="357">
      <c r="A357" s="5" t="str">
        <f>IFERROR(__xludf.DUMMYFUNCTION("""COMPUTED_VALUE"""),"Test Driver")</f>
        <v>Test Driver</v>
      </c>
      <c r="B357" s="5">
        <f>IFERROR(__xludf.DUMMYFUNCTION("""COMPUTED_VALUE"""),0.006944444444444444)</f>
        <v>0.006944444444</v>
      </c>
      <c r="C357" s="5" t="str">
        <f>IFERROR(__xludf.DUMMYFUNCTION("""COMPUTED_VALUE"""),"EVOVII/CT9A")</f>
        <v>EVOVII/CT9A</v>
      </c>
      <c r="D357" s="5"/>
      <c r="E357" s="5" t="str">
        <f>IFERROR(__xludf.DUMMYFUNCTION("""COMPUTED_VALUE"""),"LinWu_05")</f>
        <v>LinWu_05</v>
      </c>
      <c r="F357" s="5">
        <f>IFERROR(__xludf.DUMMYFUNCTION("""COMPUTED_VALUE"""),0.0026423611111111114)</f>
        <v>0.002642361111</v>
      </c>
      <c r="G357" s="5" t="str">
        <f>IFERROR(__xludf.DUMMYFUNCTION("""COMPUTED_VALUE"""),"BNR34")</f>
        <v>BNR34</v>
      </c>
      <c r="H357" s="5" t="str">
        <f>IFERROR(__xludf.DUMMYFUNCTION("""COMPUTED_VALUE"""),"PC")</f>
        <v>PC</v>
      </c>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5"/>
      <c r="C358" s="5"/>
      <c r="D358" s="5"/>
      <c r="E358" s="5" t="str">
        <f>IFERROR(__xludf.DUMMYFUNCTION("""COMPUTED_VALUE"""),"Test Driver")</f>
        <v>Test Driver</v>
      </c>
      <c r="F358" s="5">
        <f>IFERROR(__xludf.DUMMYFUNCTION("""COMPUTED_VALUE"""),0.006944444444444444)</f>
        <v>0.006944444444</v>
      </c>
      <c r="G358" s="5" t="str">
        <f>IFERROR(__xludf.DUMMYFUNCTION("""COMPUTED_VALUE"""),"EVOVII/CT9A")</f>
        <v>EVOVII/CT9A</v>
      </c>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row>
    <row r="363">
      <c r="A363" s="55" t="s">
        <v>108</v>
      </c>
      <c r="E363" s="55" t="s">
        <v>109</v>
      </c>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row>
    <row r="364">
      <c r="A364" s="11" t="str">
        <f>IFERROR(__xludf.DUMMYFUNCTION("LET(
  賽道, ""Shin Usui"",
  路線, ""DH"",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364" s="11" t="str">
        <f>IFERROR(__xludf.DUMMYFUNCTION("""COMPUTED_VALUE"""),"Time時間")</f>
        <v>Time時間</v>
      </c>
      <c r="C364" s="11" t="str">
        <f>IFERROR(__xludf.DUMMYFUNCTION("""COMPUTED_VALUE"""),"Car車種")</f>
        <v>Car車種</v>
      </c>
      <c r="D364" s="11" t="str">
        <f>IFERROR(__xludf.DUMMYFUNCTION("""COMPUTED_VALUE"""),"Platform平台")</f>
        <v>Platform平台</v>
      </c>
      <c r="E364" s="11" t="str">
        <f>IFERROR(__xludf.DUMMYFUNCTION("LET(
  賽道, ""Shin Usui"",
  路線, ""UH"",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364" s="11" t="str">
        <f>IFERROR(__xludf.DUMMYFUNCTION("""COMPUTED_VALUE"""),"Time時間")</f>
        <v>Time時間</v>
      </c>
      <c r="G364" s="11" t="str">
        <f>IFERROR(__xludf.DUMMYFUNCTION("""COMPUTED_VALUE"""),"Car車種")</f>
        <v>Car車種</v>
      </c>
      <c r="H364" s="11" t="str">
        <f>IFERROR(__xludf.DUMMYFUNCTION("""COMPUTED_VALUE"""),"Platform平台")</f>
        <v>Platform平台</v>
      </c>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row>
    <row r="365">
      <c r="A365" s="5" t="str">
        <f>IFERROR(__xludf.DUMMYFUNCTION("""COMPUTED_VALUE"""),"Test Driver")</f>
        <v>Test Driver</v>
      </c>
      <c r="B365" s="5">
        <f>IFERROR(__xludf.DUMMYFUNCTION("""COMPUTED_VALUE"""),0.006944444444444444)</f>
        <v>0.006944444444</v>
      </c>
      <c r="C365" s="5" t="str">
        <f>IFERROR(__xludf.DUMMYFUNCTION("""COMPUTED_VALUE"""),"SilEighty")</f>
        <v>SilEighty</v>
      </c>
      <c r="D365" s="5"/>
      <c r="E365" s="5" t="str">
        <f>IFERROR(__xludf.DUMMYFUNCTION("""COMPUTED_VALUE"""),"Test Driver")</f>
        <v>Test Driver</v>
      </c>
      <c r="F365" s="5">
        <f>IFERROR(__xludf.DUMMYFUNCTION("""COMPUTED_VALUE"""),0.006944444444444444)</f>
        <v>0.006944444444</v>
      </c>
      <c r="G365" s="5" t="str">
        <f>IFERROR(__xludf.DUMMYFUNCTION("""COMPUTED_VALUE"""),"SilEighty")</f>
        <v>SilEighty</v>
      </c>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row>
    <row r="376">
      <c r="A376" s="55" t="s">
        <v>110</v>
      </c>
      <c r="E376" s="55" t="s">
        <v>111</v>
      </c>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row>
    <row r="377">
      <c r="A377" s="11" t="str">
        <f>IFERROR(__xludf.DUMMYFUNCTION("LET(
  賽道, ""Shin Myogi"",
  路線, ""DH"",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B377" s="11" t="str">
        <f>IFERROR(__xludf.DUMMYFUNCTION("""COMPUTED_VALUE"""),"Time時間")</f>
        <v>Time時間</v>
      </c>
      <c r="C377" s="11" t="str">
        <f>IFERROR(__xludf.DUMMYFUNCTION("""COMPUTED_VALUE"""),"Car車種")</f>
        <v>Car車種</v>
      </c>
      <c r="D377" s="11" t="str">
        <f>IFERROR(__xludf.DUMMYFUNCTION("""COMPUTED_VALUE"""),"Platform平台")</f>
        <v>Platform平台</v>
      </c>
      <c r="E377" s="11" t="str">
        <f>IFERROR(__xludf.DUMMYFUNCTION("LET(
  賽道, ""Shin Myogi"",
  路線, ""UH"",
  系統, ""Sacc"",
  原始, FILTER('歷史紀錄'!$E$2:$H1168, '歷史紀錄'!$B$2:$B1168=賽道, '歷史紀錄'!$C$2:$C1168=路線, '歷史紀錄'!$I$2:$I1168=系統),
  排序後, SORT(原始, 2, TRUE),
  玩家, INDEX(排序後,,1),
  唯一玩家, UNIQUE(玩家),
  結果,
    MAP(唯一玩家, LAMBDA(p"&amp;",
      INDEX(FILTER(排序後, INDEX(排序後,,1)=p),1,0)
    )),
  表頭, {""Player玩家"",""Time時間"",""Car車種"",""Platform平台""},
  VSTACK(表頭, 結果)
)
"),"Player玩家")</f>
        <v>Player玩家</v>
      </c>
      <c r="F377" s="11" t="str">
        <f>IFERROR(__xludf.DUMMYFUNCTION("""COMPUTED_VALUE"""),"Time時間")</f>
        <v>Time時間</v>
      </c>
      <c r="G377" s="11" t="str">
        <f>IFERROR(__xludf.DUMMYFUNCTION("""COMPUTED_VALUE"""),"Car車種")</f>
        <v>Car車種</v>
      </c>
      <c r="H377" s="11" t="str">
        <f>IFERROR(__xludf.DUMMYFUNCTION("""COMPUTED_VALUE"""),"Platform平台")</f>
        <v>Platform平台</v>
      </c>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row>
    <row r="378">
      <c r="A378" s="5" t="str">
        <f>IFERROR(__xludf.DUMMYFUNCTION("""COMPUTED_VALUE"""),"Test Driver")</f>
        <v>Test Driver</v>
      </c>
      <c r="B378" s="5">
        <f>IFERROR(__xludf.DUMMYFUNCTION("""COMPUTED_VALUE"""),0.006944444444444444)</f>
        <v>0.006944444444</v>
      </c>
      <c r="C378" s="5" t="str">
        <f>IFERROR(__xludf.DUMMYFUNCTION("""COMPUTED_VALUE"""),"AE86T")</f>
        <v>AE86T</v>
      </c>
      <c r="D378" s="5"/>
      <c r="E378" s="5" t="str">
        <f>IFERROR(__xludf.DUMMYFUNCTION("""COMPUTED_VALUE"""),"Test Driver")</f>
        <v>Test Driver</v>
      </c>
      <c r="F378" s="5">
        <f>IFERROR(__xludf.DUMMYFUNCTION("""COMPUTED_VALUE"""),0.006944444444444444)</f>
        <v>0.006944444444</v>
      </c>
      <c r="G378" s="5" t="str">
        <f>IFERROR(__xludf.DUMMYFUNCTION("""COMPUTED_VALUE"""),"AE86T")</f>
        <v>AE86T</v>
      </c>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row>
    <row r="382">
      <c r="A382" s="56" t="s">
        <v>112</v>
      </c>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row>
    <row r="383">
      <c r="A383" s="11" t="str">
        <f>IFERROR(__xludf.DUMMYFUNCTION("LET(
  賽道, ""Summit"",
  路線, """",
  系統, ""Sacc"",
  原始, FILTER('歷史紀錄'!$E$2:$H1168, '歷史紀錄'!$B$2:$B1168=賽道, '歷史紀錄'!$C$2:$C1168=路線, '歷史紀錄'!$I$2:$I1168=系統),
  排序後, SORT(原始, 2, TRUE),
  玩家, INDEX(排序後,,1),
  唯一玩家, UNIQUE(玩家),
  結果,
    MAP(唯一玩家, LAMBDA(p,
    "&amp;"  INDEX(FILTER(排序後, INDEX(排序後,,1)=p),1,0)
    )),
  表頭, {""Player玩家"",""Time時間"",""Car車種"",""Platform平台""},
  VSTACK(表頭, 結果)
)
"),"Player玩家")</f>
        <v>Player玩家</v>
      </c>
      <c r="B383" s="11" t="str">
        <f>IFERROR(__xludf.DUMMYFUNCTION("""COMPUTED_VALUE"""),"Time時間")</f>
        <v>Time時間</v>
      </c>
      <c r="C383" s="11" t="str">
        <f>IFERROR(__xludf.DUMMYFUNCTION("""COMPUTED_VALUE"""),"Car車種")</f>
        <v>Car車種</v>
      </c>
      <c r="D383" s="11" t="str">
        <f>IFERROR(__xludf.DUMMYFUNCTION("""COMPUTED_VALUE"""),"Platform平台")</f>
        <v>Platform平台</v>
      </c>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row>
    <row r="384">
      <c r="A384" s="5" t="str">
        <f>IFERROR(__xludf.DUMMYFUNCTION("""COMPUTED_VALUE"""),"アビドサスヒカリ")</f>
        <v>アビドサスヒカリ</v>
      </c>
      <c r="B384" s="5">
        <f>IFERROR(__xludf.DUMMYFUNCTION("""COMPUTED_VALUE"""),0.0012092592592592593)</f>
        <v>0.001209259259</v>
      </c>
      <c r="C384" s="5" t="str">
        <f>IFERROR(__xludf.DUMMYFUNCTION("""COMPUTED_VALUE"""),"22B")</f>
        <v>22B</v>
      </c>
      <c r="D384" s="5" t="str">
        <f>IFERROR(__xludf.DUMMYFUNCTION("""COMPUTED_VALUE"""),"PC")</f>
        <v>PC</v>
      </c>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row>
    <row r="385">
      <c r="A385" s="5" t="str">
        <f>IFERROR(__xludf.DUMMYFUNCTION("""COMPUTED_VALUE"""),"LinWu_05")</f>
        <v>LinWu_05</v>
      </c>
      <c r="B385" s="5">
        <f>IFERROR(__xludf.DUMMYFUNCTION("""COMPUTED_VALUE"""),0.0012540509259259258)</f>
        <v>0.001254050926</v>
      </c>
      <c r="C385" s="5" t="str">
        <f>IFERROR(__xludf.DUMMYFUNCTION("""COMPUTED_VALUE"""),"CX-3")</f>
        <v>CX-3</v>
      </c>
      <c r="D385" s="5" t="str">
        <f>IFERROR(__xludf.DUMMYFUNCTION("""COMPUTED_VALUE"""),"PC")</f>
        <v>PC</v>
      </c>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row>
    <row r="386">
      <c r="A386" s="5" t="str">
        <f>IFERROR(__xludf.DUMMYFUNCTION("""COMPUTED_VALUE"""),"StarRiver Arts")</f>
        <v>StarRiver Arts</v>
      </c>
      <c r="B386" s="5">
        <f>IFERROR(__xludf.DUMMYFUNCTION("""COMPUTED_VALUE"""),0.001321574074074074)</f>
        <v>0.001321574074</v>
      </c>
      <c r="C386" s="5" t="str">
        <f>IFERROR(__xludf.DUMMYFUNCTION("""COMPUTED_VALUE"""),"Pulsar")</f>
        <v>Pulsar</v>
      </c>
      <c r="D386" s="5" t="str">
        <f>IFERROR(__xludf.DUMMYFUNCTION("""COMPUTED_VALUE"""),"PC")</f>
        <v>PC</v>
      </c>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row>
    <row r="387">
      <c r="A387" s="5" t="str">
        <f>IFERROR(__xludf.DUMMYFUNCTION("""COMPUTED_VALUE"""),"Chisey")</f>
        <v>Chisey</v>
      </c>
      <c r="B387" s="5">
        <f>IFERROR(__xludf.DUMMYFUNCTION("""COMPUTED_VALUE"""),0.0016749421296296297)</f>
        <v>0.00167494213</v>
      </c>
      <c r="C387" s="5" t="str">
        <f>IFERROR(__xludf.DUMMYFUNCTION("""COMPUTED_VALUE"""),"Pajero")</f>
        <v>Pajero</v>
      </c>
      <c r="D387" s="5" t="str">
        <f>IFERROR(__xludf.DUMMYFUNCTION("""COMPUTED_VALUE"""),"PCVR")</f>
        <v>PCVR</v>
      </c>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row>
  </sheetData>
  <mergeCells count="114">
    <mergeCell ref="M42:P42"/>
    <mergeCell ref="Q60:T60"/>
    <mergeCell ref="U60:X60"/>
    <mergeCell ref="E61:H61"/>
    <mergeCell ref="I61:L61"/>
    <mergeCell ref="M61:P61"/>
    <mergeCell ref="Q69:X69"/>
    <mergeCell ref="A61:D61"/>
    <mergeCell ref="A70:D70"/>
    <mergeCell ref="A82:D82"/>
    <mergeCell ref="E82:H82"/>
    <mergeCell ref="I93:P93"/>
    <mergeCell ref="Q93:X93"/>
    <mergeCell ref="U94:X94"/>
    <mergeCell ref="I94:L94"/>
    <mergeCell ref="A95:D95"/>
    <mergeCell ref="E95:H95"/>
    <mergeCell ref="A104:D104"/>
    <mergeCell ref="E104:H104"/>
    <mergeCell ref="I104:L104"/>
    <mergeCell ref="A112:D112"/>
    <mergeCell ref="E112:H112"/>
    <mergeCell ref="I122:P122"/>
    <mergeCell ref="I123:L123"/>
    <mergeCell ref="A132:D132"/>
    <mergeCell ref="E132:H132"/>
    <mergeCell ref="A147:D147"/>
    <mergeCell ref="E147:H147"/>
    <mergeCell ref="A152:D152"/>
    <mergeCell ref="E152:H152"/>
    <mergeCell ref="A157:D157"/>
    <mergeCell ref="E157:H157"/>
    <mergeCell ref="A166:D166"/>
    <mergeCell ref="E166:H166"/>
    <mergeCell ref="E180:H180"/>
    <mergeCell ref="A180:D180"/>
    <mergeCell ref="A187:D187"/>
    <mergeCell ref="E187:H187"/>
    <mergeCell ref="A199:D199"/>
    <mergeCell ref="E199:H199"/>
    <mergeCell ref="A212:D212"/>
    <mergeCell ref="E212:H212"/>
    <mergeCell ref="A225:D225"/>
    <mergeCell ref="E225:H225"/>
    <mergeCell ref="A231:D231"/>
    <mergeCell ref="E231:H231"/>
    <mergeCell ref="A238:D238"/>
    <mergeCell ref="E238:H238"/>
    <mergeCell ref="E242:H242"/>
    <mergeCell ref="A242:D242"/>
    <mergeCell ref="A253:D253"/>
    <mergeCell ref="A263:D263"/>
    <mergeCell ref="E263:H263"/>
    <mergeCell ref="A272:D272"/>
    <mergeCell ref="E272:H272"/>
    <mergeCell ref="A278:D278"/>
    <mergeCell ref="A283:D283"/>
    <mergeCell ref="E283:H283"/>
    <mergeCell ref="A288:D288"/>
    <mergeCell ref="E288:H288"/>
    <mergeCell ref="A296:D296"/>
    <mergeCell ref="A310:D310"/>
    <mergeCell ref="E310:H310"/>
    <mergeCell ref="A354:D354"/>
    <mergeCell ref="E354:H354"/>
    <mergeCell ref="A363:D363"/>
    <mergeCell ref="E363:H363"/>
    <mergeCell ref="A376:D376"/>
    <mergeCell ref="E376:H376"/>
    <mergeCell ref="A382:D382"/>
    <mergeCell ref="A321:D321"/>
    <mergeCell ref="A329:D329"/>
    <mergeCell ref="E329:H329"/>
    <mergeCell ref="A334:D334"/>
    <mergeCell ref="E334:H334"/>
    <mergeCell ref="A343:D343"/>
    <mergeCell ref="E343:H343"/>
    <mergeCell ref="A1:H1"/>
    <mergeCell ref="I1:P1"/>
    <mergeCell ref="Q1:X1"/>
    <mergeCell ref="A2:D2"/>
    <mergeCell ref="E2:H2"/>
    <mergeCell ref="I2:L2"/>
    <mergeCell ref="M2:P2"/>
    <mergeCell ref="Q2:T2"/>
    <mergeCell ref="U2:X2"/>
    <mergeCell ref="I12:L12"/>
    <mergeCell ref="M12:P12"/>
    <mergeCell ref="Q12:T12"/>
    <mergeCell ref="U12:X12"/>
    <mergeCell ref="U19:X19"/>
    <mergeCell ref="Q19:T19"/>
    <mergeCell ref="A25:D25"/>
    <mergeCell ref="E25:H25"/>
    <mergeCell ref="Q25:T25"/>
    <mergeCell ref="U25:X25"/>
    <mergeCell ref="I26:L26"/>
    <mergeCell ref="M26:P26"/>
    <mergeCell ref="A33:D33"/>
    <mergeCell ref="E33:H33"/>
    <mergeCell ref="I33:L33"/>
    <mergeCell ref="M33:P33"/>
    <mergeCell ref="I41:P41"/>
    <mergeCell ref="I42:L42"/>
    <mergeCell ref="E43:H43"/>
    <mergeCell ref="E70:H70"/>
    <mergeCell ref="I70:L70"/>
    <mergeCell ref="Q70:T70"/>
    <mergeCell ref="M94:P94"/>
    <mergeCell ref="Q94:T94"/>
    <mergeCell ref="Q109:X109"/>
    <mergeCell ref="Q110:U110"/>
    <mergeCell ref="A218:D218"/>
    <mergeCell ref="E218:H218"/>
  </mergeCells>
  <conditionalFormatting sqref="A1:H1074 I1:K21 I26:K69 I73:K1074 Q93:S94 L103:L107 Q109:S109">
    <cfRule type="containsText" dxfId="0" priority="1" operator="containsText" text="Test Driver">
      <formula>NOT(ISERROR(SEARCH(("Test Driver"),(A1))))</formula>
    </cfRule>
  </conditionalFormatting>
  <conditionalFormatting sqref="A298:D309">
    <cfRule type="containsText" dxfId="1" priority="2" operator="containsText" text="AE86">
      <formula>NOT(ISERROR(SEARCH(("AE86"),(A298))))</formula>
    </cfRule>
  </conditionalFormatting>
  <conditionalFormatting sqref="A298:D309">
    <cfRule type="containsText" dxfId="1" priority="3" operator="containsText" text="EK9">
      <formula>NOT(ISERROR(SEARCH(("EK9"),(A298))))</formula>
    </cfRule>
  </conditionalFormatting>
  <conditionalFormatting sqref="A298:D309">
    <cfRule type="containsText" dxfId="1" priority="4" operator="containsText" text="BNR32">
      <formula>NOT(ISERROR(SEARCH(("BNR32"),(A298))))</formula>
    </cfRule>
  </conditionalFormatting>
  <conditionalFormatting sqref="A298:D309">
    <cfRule type="containsText" dxfId="1" priority="5" operator="containsText" text="BNR34">
      <formula>NOT(ISERROR(SEARCH(("BNR34"),(A298))))</formula>
    </cfRule>
  </conditionalFormatting>
  <conditionalFormatting sqref="A298:D309">
    <cfRule type="containsText" dxfId="1" priority="6" operator="containsText" text="DC">
      <formula>NOT(ISERROR(SEARCH(("DC"),(A298))))</formula>
    </cfRule>
  </conditionalFormatting>
  <conditionalFormatting sqref="A298:D309">
    <cfRule type="containsText" dxfId="1" priority="7" operator="containsText" text="GDB">
      <formula>NOT(ISERROR(SEARCH(("GDB"),(A298))))</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8.88"/>
    <col customWidth="1" min="3" max="3" width="24.75"/>
    <col customWidth="1" min="4" max="4" width="10.5"/>
    <col customWidth="1" min="6" max="6" width="8.88"/>
    <col customWidth="1" min="7" max="7" width="24.75"/>
    <col customWidth="1" min="8" max="8" width="10.5"/>
    <col customWidth="1" min="11" max="11" width="20.38"/>
    <col customWidth="1" min="15" max="15" width="19.5"/>
  </cols>
  <sheetData>
    <row r="1">
      <c r="A1" s="1" t="s">
        <v>0</v>
      </c>
      <c r="I1" s="57" t="s">
        <v>113</v>
      </c>
      <c r="Q1" s="3" t="s">
        <v>2</v>
      </c>
      <c r="Y1" s="5"/>
      <c r="Z1" s="5"/>
      <c r="AA1" s="5"/>
      <c r="AB1" s="5"/>
      <c r="AC1" s="5"/>
      <c r="AD1" s="5"/>
      <c r="AE1" s="5"/>
      <c r="AF1" s="5"/>
      <c r="AG1" s="5"/>
      <c r="AH1" s="5"/>
      <c r="AI1" s="5"/>
      <c r="AJ1" s="5"/>
      <c r="AK1" s="5"/>
      <c r="AL1" s="5"/>
    </row>
    <row r="2">
      <c r="A2" s="6" t="s">
        <v>4</v>
      </c>
      <c r="E2" s="6" t="s">
        <v>5</v>
      </c>
      <c r="I2" s="7" t="s">
        <v>6</v>
      </c>
      <c r="M2" s="8" t="s">
        <v>7</v>
      </c>
      <c r="Q2" s="9" t="s">
        <v>8</v>
      </c>
      <c r="U2" s="10" t="s">
        <v>9</v>
      </c>
      <c r="Y2" s="5"/>
      <c r="Z2" s="5"/>
      <c r="AA2" s="5"/>
      <c r="AB2" s="5"/>
      <c r="AC2" s="5"/>
      <c r="AD2" s="5"/>
      <c r="AE2" s="5"/>
      <c r="AF2" s="5"/>
      <c r="AG2" s="5"/>
      <c r="AH2" s="5"/>
      <c r="AI2" s="5"/>
      <c r="AJ2" s="5"/>
      <c r="AK2" s="5"/>
      <c r="AL2" s="5"/>
    </row>
    <row r="3">
      <c r="A3" s="11" t="str">
        <f>IFERROR(__xludf.DUMMYFUNCTION("LET(
  賽道, ""Akina"",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3" s="11" t="str">
        <f>IFERROR(__xludf.DUMMYFUNCTION("""COMPUTED_VALUE"""),"Time時間")</f>
        <v>Time時間</v>
      </c>
      <c r="C3" s="11" t="str">
        <f>IFERROR(__xludf.DUMMYFUNCTION("""COMPUTED_VALUE"""),"Car車種")</f>
        <v>Car車種</v>
      </c>
      <c r="D3" s="11" t="str">
        <f>IFERROR(__xludf.DUMMYFUNCTION("""COMPUTED_VALUE"""),"Platform平台")</f>
        <v>Platform平台</v>
      </c>
      <c r="E3" s="11" t="str">
        <f>IFERROR(__xludf.DUMMYFUNCTION("LET(
  賽道, ""Akina"",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3" s="11" t="str">
        <f>IFERROR(__xludf.DUMMYFUNCTION("""COMPUTED_VALUE"""),"Time時間")</f>
        <v>Time時間</v>
      </c>
      <c r="G3" s="11" t="str">
        <f>IFERROR(__xludf.DUMMYFUNCTION("""COMPUTED_VALUE"""),"Car車種")</f>
        <v>Car車種</v>
      </c>
      <c r="H3" s="11" t="str">
        <f>IFERROR(__xludf.DUMMYFUNCTION("""COMPUTED_VALUE"""),"Platform平台")</f>
        <v>Platform平台</v>
      </c>
      <c r="I3" s="11" t="str">
        <f>IFERROR(__xludf.DUMMYFUNCTION("LET(
  賽道, ""Nagao"",
  路線, ""DH"",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J3" s="11" t="str">
        <f>IFERROR(__xludf.DUMMYFUNCTION("""COMPUTED_VALUE"""),"Time時間")</f>
        <v>Time時間</v>
      </c>
      <c r="K3" s="11" t="str">
        <f>IFERROR(__xludf.DUMMYFUNCTION("""COMPUTED_VALUE"""),"Car車種")</f>
        <v>Car車種</v>
      </c>
      <c r="L3" s="11" t="str">
        <f>IFERROR(__xludf.DUMMYFUNCTION("""COMPUTED_VALUE"""),"Platform平台")</f>
        <v>Platform平台</v>
      </c>
      <c r="M3" s="11" t="str">
        <f>IFERROR(__xludf.DUMMYFUNCTION("LET(
  賽道, ""Shomaru"",
  路線, """",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N3" s="11" t="str">
        <f>IFERROR(__xludf.DUMMYFUNCTION("""COMPUTED_VALUE"""),"Time時間")</f>
        <v>Time時間</v>
      </c>
      <c r="O3" s="11" t="str">
        <f>IFERROR(__xludf.DUMMYFUNCTION("""COMPUTED_VALUE"""),"Car車種")</f>
        <v>Car車種</v>
      </c>
      <c r="P3" s="11" t="str">
        <f>IFERROR(__xludf.DUMMYFUNCTION("""COMPUTED_VALUE"""),"Platform平台")</f>
        <v>Platform平台</v>
      </c>
      <c r="Q3" s="11" t="str">
        <f>IFERROR(__xludf.DUMMYFUNCTION("LET(
  賽道, ""PT:9T"",
  路線, ""DH"",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R3" s="11" t="str">
        <f>IFERROR(__xludf.DUMMYFUNCTION("""COMPUTED_VALUE"""),"Time時間")</f>
        <v>Time時間</v>
      </c>
      <c r="S3" s="11" t="str">
        <f>IFERROR(__xludf.DUMMYFUNCTION("""COMPUTED_VALUE"""),"Car車種")</f>
        <v>Car車種</v>
      </c>
      <c r="T3" s="11" t="str">
        <f>IFERROR(__xludf.DUMMYFUNCTION("""COMPUTED_VALUE"""),"Platform平台")</f>
        <v>Platform平台</v>
      </c>
      <c r="U3" s="11" t="s">
        <v>10</v>
      </c>
      <c r="V3" s="11" t="s">
        <v>11</v>
      </c>
      <c r="W3" s="11" t="s">
        <v>12</v>
      </c>
      <c r="X3" s="11" t="s">
        <v>13</v>
      </c>
      <c r="Y3" s="5"/>
      <c r="Z3" s="5"/>
      <c r="AA3" s="5"/>
      <c r="AB3" s="5"/>
      <c r="AC3" s="5"/>
      <c r="AD3" s="5"/>
      <c r="AE3" s="5"/>
      <c r="AF3" s="5"/>
      <c r="AG3" s="5"/>
      <c r="AH3" s="5"/>
      <c r="AI3" s="5"/>
      <c r="AJ3" s="5"/>
      <c r="AK3" s="5"/>
      <c r="AL3" s="5"/>
    </row>
    <row r="4">
      <c r="A4" s="5" t="str">
        <f>IFERROR(__xludf.DUMMYFUNCTION("""COMPUTED_VALUE"""),"Lolidia")</f>
        <v>Lolidia</v>
      </c>
      <c r="B4" s="5">
        <f>IFERROR(__xludf.DUMMYFUNCTION("""COMPUTED_VALUE"""),0.0023936574074074073)</f>
        <v>0.002393657407</v>
      </c>
      <c r="C4" s="5" t="str">
        <f>IFERROR(__xludf.DUMMYFUNCTION("""COMPUTED_VALUE"""),"AE86T-V2")</f>
        <v>AE86T-V2</v>
      </c>
      <c r="D4" s="5" t="str">
        <f>IFERROR(__xludf.DUMMYFUNCTION("""COMPUTED_VALUE"""),"PCVR")</f>
        <v>PCVR</v>
      </c>
      <c r="E4" s="5" t="str">
        <f>IFERROR(__xludf.DUMMYFUNCTION("""COMPUTED_VALUE"""),"Lolidia")</f>
        <v>Lolidia</v>
      </c>
      <c r="F4" s="5">
        <f>IFERROR(__xludf.DUMMYFUNCTION("""COMPUTED_VALUE"""),0.002610914351851852)</f>
        <v>0.002610914352</v>
      </c>
      <c r="G4" s="5" t="str">
        <f>IFERROR(__xludf.DUMMYFUNCTION("""COMPUTED_VALUE"""),"AE86T-V2")</f>
        <v>AE86T-V2</v>
      </c>
      <c r="H4" s="5" t="str">
        <f>IFERROR(__xludf.DUMMYFUNCTION("""COMPUTED_VALUE"""),"PCVR")</f>
        <v>PCVR</v>
      </c>
      <c r="I4" s="5" t="str">
        <f>IFERROR(__xludf.DUMMYFUNCTION("""COMPUTED_VALUE"""),"ねぎたま")</f>
        <v>ねぎたま</v>
      </c>
      <c r="J4" s="5">
        <f>IFERROR(__xludf.DUMMYFUNCTION("""COMPUTED_VALUE"""),0.002542025462962963)</f>
        <v>0.002542025463</v>
      </c>
      <c r="K4" s="5" t="str">
        <f>IFERROR(__xludf.DUMMYFUNCTION("""COMPUTED_VALUE"""),"X7 RR")</f>
        <v>X7 RR</v>
      </c>
      <c r="L4" s="5" t="str">
        <f>IFERROR(__xludf.DUMMYFUNCTION("""COMPUTED_VALUE"""),"PCVR")</f>
        <v>PCVR</v>
      </c>
      <c r="M4" s="5" t="str">
        <f>IFERROR(__xludf.DUMMYFUNCTION("""COMPUTED_VALUE"""),"#N/A")</f>
        <v>#N/A</v>
      </c>
      <c r="N4" s="5" t="str">
        <f>IFERROR(__xludf.DUMMYFUNCTION("""COMPUTED_VALUE"""),"#N/A")</f>
        <v>#N/A</v>
      </c>
      <c r="O4" s="5" t="str">
        <f>IFERROR(__xludf.DUMMYFUNCTION("""COMPUTED_VALUE"""),"#N/A")</f>
        <v>#N/A</v>
      </c>
      <c r="P4" s="5" t="str">
        <f>IFERROR(__xludf.DUMMYFUNCTION("""COMPUTED_VALUE"""),"#N/A")</f>
        <v>#N/A</v>
      </c>
      <c r="Q4" s="5" t="str">
        <f>IFERROR(__xludf.DUMMYFUNCTION("""COMPUTED_VALUE"""),"MotherEVO")</f>
        <v>MotherEVO</v>
      </c>
      <c r="R4" s="5">
        <f>IFERROR(__xludf.DUMMYFUNCTION("""COMPUTED_VALUE"""),0.0038710300925925926)</f>
        <v>0.003871030093</v>
      </c>
      <c r="S4" s="5" t="str">
        <f>IFERROR(__xludf.DUMMYFUNCTION("""COMPUTED_VALUE"""),"EVOIII/CE9A")</f>
        <v>EVOIII/CE9A</v>
      </c>
      <c r="T4" s="5" t="str">
        <f>IFERROR(__xludf.DUMMYFUNCTION("""COMPUTED_VALUE"""),"PCVR")</f>
        <v>PCVR</v>
      </c>
      <c r="U4" s="5"/>
      <c r="V4" s="5"/>
      <c r="W4" s="5"/>
      <c r="X4" s="5"/>
      <c r="Y4" s="5"/>
      <c r="Z4" s="5"/>
      <c r="AA4" s="5"/>
      <c r="AB4" s="5"/>
      <c r="AC4" s="5"/>
      <c r="AD4" s="5"/>
      <c r="AE4" s="5"/>
      <c r="AF4" s="5"/>
      <c r="AG4" s="5"/>
      <c r="AH4" s="5"/>
      <c r="AI4" s="5"/>
      <c r="AJ4" s="5"/>
      <c r="AK4" s="5"/>
      <c r="AL4" s="5"/>
    </row>
    <row r="5">
      <c r="A5" s="5" t="str">
        <f>IFERROR(__xludf.DUMMYFUNCTION("""COMPUTED_VALUE"""),"Lolidia")</f>
        <v>Lolidia</v>
      </c>
      <c r="B5" s="5">
        <f>IFERROR(__xludf.DUMMYFUNCTION("""COMPUTED_VALUE"""),0.0024071527777777776)</f>
        <v>0.002407152778</v>
      </c>
      <c r="C5" s="5" t="str">
        <f>IFERROR(__xludf.DUMMYFUNCTION("""COMPUTED_VALUE"""),"GR86/ZN8")</f>
        <v>GR86/ZN8</v>
      </c>
      <c r="D5" s="5" t="str">
        <f>IFERROR(__xludf.DUMMYFUNCTION("""COMPUTED_VALUE"""),"PCVR")</f>
        <v>PCVR</v>
      </c>
      <c r="E5" s="5" t="str">
        <f>IFERROR(__xludf.DUMMYFUNCTION("""COMPUTED_VALUE"""),"ZihChin")</f>
        <v>ZihChin</v>
      </c>
      <c r="F5" s="5">
        <f>IFERROR(__xludf.DUMMYFUNCTION("""COMPUTED_VALUE"""),0.0027186689814814816)</f>
        <v>0.002718668981</v>
      </c>
      <c r="G5" s="5" t="str">
        <f>IFERROR(__xludf.DUMMYFUNCTION("""COMPUTED_VALUE"""),"GT86/ZN6")</f>
        <v>GT86/ZN6</v>
      </c>
      <c r="H5" s="5" t="str">
        <f>IFERROR(__xludf.DUMMYFUNCTION("""COMPUTED_VALUE"""),"PC")</f>
        <v>PC</v>
      </c>
      <c r="I5" s="12" t="str">
        <f>IFERROR(__xludf.DUMMYFUNCTION("""COMPUTED_VALUE"""),"StarRiver Arts")</f>
        <v>StarRiver Arts</v>
      </c>
      <c r="J5" s="12">
        <f>IFERROR(__xludf.DUMMYFUNCTION("""COMPUTED_VALUE"""),0.0034108796296296296)</f>
        <v>0.00341087963</v>
      </c>
      <c r="K5" s="12" t="str">
        <f>IFERROR(__xludf.DUMMYFUNCTION("""COMPUTED_VALUE"""),"Karin 96")</f>
        <v>Karin 96</v>
      </c>
      <c r="L5" s="12" t="str">
        <f>IFERROR(__xludf.DUMMYFUNCTION("""COMPUTED_VALUE"""),"PC")</f>
        <v>PC</v>
      </c>
      <c r="M5" s="12"/>
      <c r="N5" s="5"/>
      <c r="O5" s="5"/>
      <c r="P5" s="5"/>
      <c r="Q5" s="5" t="str">
        <f>IFERROR(__xludf.DUMMYFUNCTION("""COMPUTED_VALUE"""),"Lolidia")</f>
        <v>Lolidia</v>
      </c>
      <c r="R5" s="13">
        <f>IFERROR(__xludf.DUMMYFUNCTION("""COMPUTED_VALUE"""),0.004538715277777778)</f>
        <v>0.004538715278</v>
      </c>
      <c r="S5" s="14" t="str">
        <f>IFERROR(__xludf.DUMMYFUNCTION("""COMPUTED_VALUE"""),"SampleCar")</f>
        <v>SampleCar</v>
      </c>
      <c r="T5" s="5" t="str">
        <f>IFERROR(__xludf.DUMMYFUNCTION("""COMPUTED_VALUE"""),"PCVR")</f>
        <v>PCVR</v>
      </c>
      <c r="U5" s="5"/>
      <c r="V5" s="5"/>
      <c r="W5" s="5"/>
      <c r="X5" s="5"/>
      <c r="Y5" s="5"/>
      <c r="Z5" s="5"/>
      <c r="AA5" s="5"/>
      <c r="AB5" s="5"/>
      <c r="AC5" s="5"/>
      <c r="AD5" s="5"/>
      <c r="AE5" s="5"/>
      <c r="AF5" s="5"/>
      <c r="AG5" s="5"/>
      <c r="AH5" s="5"/>
      <c r="AI5" s="5"/>
      <c r="AJ5" s="5"/>
      <c r="AK5" s="5"/>
      <c r="AL5" s="5"/>
    </row>
    <row r="6">
      <c r="A6" s="5" t="str">
        <f>IFERROR(__xludf.DUMMYFUNCTION("""COMPUTED_VALUE"""),"菲娜 希琉絲")</f>
        <v>菲娜 希琉絲</v>
      </c>
      <c r="B6" s="5">
        <f>IFERROR(__xludf.DUMMYFUNCTION("""COMPUTED_VALUE"""),0.0025018402777777777)</f>
        <v>0.002501840278</v>
      </c>
      <c r="C6" s="5" t="str">
        <f>IFERROR(__xludf.DUMMYFUNCTION("""COMPUTED_VALUE"""),"GC8-F (Impreza)")</f>
        <v>GC8-F (Impreza)</v>
      </c>
      <c r="D6" s="5" t="str">
        <f>IFERROR(__xludf.DUMMYFUNCTION("""COMPUTED_VALUE"""),"PCVR")</f>
        <v>PCVR</v>
      </c>
      <c r="E6" s="5" t="str">
        <f>IFERROR(__xludf.DUMMYFUNCTION("""COMPUTED_VALUE"""),"StarRiver Arts")</f>
        <v>StarRiver Arts</v>
      </c>
      <c r="F6" s="5">
        <f>IFERROR(__xludf.DUMMYFUNCTION("""COMPUTED_VALUE"""),0.0029733796296296296)</f>
        <v>0.00297337963</v>
      </c>
      <c r="G6" s="5" t="str">
        <f>IFERROR(__xludf.DUMMYFUNCTION("""COMPUTED_VALUE"""),"EVOIV/CN9A")</f>
        <v>EVOIV/CN9A</v>
      </c>
      <c r="H6" s="5" t="str">
        <f>IFERROR(__xludf.DUMMYFUNCTION("""COMPUTED_VALUE"""),"PC")</f>
        <v>PC</v>
      </c>
      <c r="I6" s="5" t="str">
        <f>IFERROR(__xludf.DUMMYFUNCTION("""COMPUTED_VALUE"""),"Test Driver")</f>
        <v>Test Driver</v>
      </c>
      <c r="J6" s="5">
        <f>IFERROR(__xludf.DUMMYFUNCTION("""COMPUTED_VALUE"""),0.006944444444444444)</f>
        <v>0.006944444444</v>
      </c>
      <c r="K6" s="5" t="str">
        <f>IFERROR(__xludf.DUMMYFUNCTION("""COMPUTED_VALUE"""),"Comet Custom")</f>
        <v>Comet Custom</v>
      </c>
      <c r="L6" s="5"/>
      <c r="M6" s="5"/>
      <c r="N6" s="5"/>
      <c r="O6" s="5"/>
      <c r="P6" s="5"/>
      <c r="Q6" s="13" t="str">
        <f>IFERROR(__xludf.DUMMYFUNCTION("""COMPUTED_VALUE"""),"Yukira雪夜")</f>
        <v>Yukira雪夜</v>
      </c>
      <c r="R6" s="13">
        <f>IFERROR(__xludf.DUMMYFUNCTION("""COMPUTED_VALUE"""),0.008214108796296296)</f>
        <v>0.008214108796</v>
      </c>
      <c r="S6" s="14" t="str">
        <f>IFERROR(__xludf.DUMMYFUNCTION("""COMPUTED_VALUE"""),"Bus")</f>
        <v>Bus</v>
      </c>
      <c r="T6" s="5" t="str">
        <f>IFERROR(__xludf.DUMMYFUNCTION("""COMPUTED_VALUE"""),"PCVR")</f>
        <v>PCVR</v>
      </c>
      <c r="U6" s="5"/>
      <c r="V6" s="5"/>
      <c r="W6" s="5"/>
      <c r="X6" s="5"/>
      <c r="Y6" s="5"/>
      <c r="Z6" s="5"/>
      <c r="AA6" s="5"/>
      <c r="AB6" s="5"/>
      <c r="AC6" s="5"/>
      <c r="AD6" s="5"/>
      <c r="AE6" s="5"/>
      <c r="AF6" s="5"/>
      <c r="AG6" s="5"/>
      <c r="AH6" s="5"/>
      <c r="AI6" s="5"/>
      <c r="AJ6" s="5"/>
      <c r="AK6" s="5"/>
      <c r="AL6" s="5"/>
    </row>
    <row r="7">
      <c r="A7" s="5" t="str">
        <f>IFERROR(__xludf.DUMMYFUNCTION("""COMPUTED_VALUE"""),"菲娜 希琉絲")</f>
        <v>菲娜 希琉絲</v>
      </c>
      <c r="B7" s="5">
        <f>IFERROR(__xludf.DUMMYFUNCTION("""COMPUTED_VALUE"""),0.0025020254629629633)</f>
        <v>0.002502025463</v>
      </c>
      <c r="C7" s="5" t="str">
        <f>IFERROR(__xludf.DUMMYFUNCTION("""COMPUTED_VALUE"""),"FD3S (RX7)(TT)")</f>
        <v>FD3S (RX7)(TT)</v>
      </c>
      <c r="D7" s="5" t="str">
        <f>IFERROR(__xludf.DUMMYFUNCTION("""COMPUTED_VALUE"""),"PCVR")</f>
        <v>PCVR</v>
      </c>
      <c r="E7" s="5" t="str">
        <f>IFERROR(__xludf.DUMMYFUNCTION("""COMPUTED_VALUE"""),"StarRiver Arts")</f>
        <v>StarRiver Arts</v>
      </c>
      <c r="F7" s="5">
        <f>IFERROR(__xludf.DUMMYFUNCTION("""COMPUTED_VALUE"""),0.003138506944444444)</f>
        <v>0.003138506944</v>
      </c>
      <c r="G7" s="5" t="str">
        <f>IFERROR(__xludf.DUMMYFUNCTION("""COMPUTED_VALUE"""),"S13")</f>
        <v>S13</v>
      </c>
      <c r="H7" s="5" t="str">
        <f>IFERROR(__xludf.DUMMYFUNCTION("""COMPUTED_VALUE"""),"PC")</f>
        <v>PC</v>
      </c>
      <c r="I7" s="5" t="str">
        <f>IFERROR(__xludf.DUMMYFUNCTION("""COMPUTED_VALUE"""),"Test Driver")</f>
        <v>Test Driver</v>
      </c>
      <c r="J7" s="5">
        <f>IFERROR(__xludf.DUMMYFUNCTION("""COMPUTED_VALUE"""),0.006944444444444444)</f>
        <v>0.006944444444</v>
      </c>
      <c r="K7" s="5" t="str">
        <f>IFERROR(__xludf.DUMMYFUNCTION("""COMPUTED_VALUE"""),"N2X")</f>
        <v>N2X</v>
      </c>
      <c r="L7" s="5"/>
      <c r="M7" s="5"/>
      <c r="N7" s="5"/>
      <c r="O7" s="5"/>
      <c r="P7" s="5"/>
      <c r="Q7" s="5"/>
      <c r="R7" s="13"/>
      <c r="S7" s="5"/>
      <c r="T7" s="5"/>
      <c r="U7" s="5"/>
      <c r="V7" s="5"/>
      <c r="W7" s="5"/>
      <c r="X7" s="5"/>
      <c r="Y7" s="5"/>
      <c r="Z7" s="5"/>
      <c r="AA7" s="5"/>
      <c r="AB7" s="5"/>
      <c r="AC7" s="5"/>
      <c r="AD7" s="5"/>
      <c r="AE7" s="5"/>
      <c r="AF7" s="5"/>
      <c r="AG7" s="5"/>
      <c r="AH7" s="5"/>
      <c r="AI7" s="5"/>
      <c r="AJ7" s="5"/>
      <c r="AK7" s="5"/>
      <c r="AL7" s="5"/>
    </row>
    <row r="8">
      <c r="A8" s="5" t="str">
        <f>IFERROR(__xludf.DUMMYFUNCTION("""COMPUTED_VALUE"""),"Kinokono_Tenka")</f>
        <v>Kinokono_Tenka</v>
      </c>
      <c r="B8" s="5">
        <f>IFERROR(__xludf.DUMMYFUNCTION("""COMPUTED_VALUE"""),0.002562048611111111)</f>
        <v>0.002562048611</v>
      </c>
      <c r="C8" s="5" t="str">
        <f>IFERROR(__xludf.DUMMYFUNCTION("""COMPUTED_VALUE"""),"EG6 (civic)")</f>
        <v>EG6 (civic)</v>
      </c>
      <c r="D8" s="5" t="str">
        <f>IFERROR(__xludf.DUMMYFUNCTION("""COMPUTED_VALUE"""),"PCVR")</f>
        <v>PCVR</v>
      </c>
      <c r="E8" s="5" t="str">
        <f>IFERROR(__xludf.DUMMYFUNCTION("""COMPUTED_VALUE"""),"StarRiver Arts")</f>
        <v>StarRiver Arts</v>
      </c>
      <c r="F8" s="5">
        <f>IFERROR(__xludf.DUMMYFUNCTION("""COMPUTED_VALUE"""),0.0032594560185185187)</f>
        <v>0.003259456019</v>
      </c>
      <c r="G8" s="5" t="str">
        <f>IFERROR(__xludf.DUMMYFUNCTION("""COMPUTED_VALUE"""),"SW20 (MR2)")</f>
        <v>SW20 (MR2)</v>
      </c>
      <c r="H8" s="5" t="str">
        <f>IFERROR(__xludf.DUMMYFUNCTION("""COMPUTED_VALUE"""),"PC")</f>
        <v>PC</v>
      </c>
      <c r="I8" s="5" t="str">
        <f>IFERROR(__xludf.DUMMYFUNCTION("""COMPUTED_VALUE"""),"Test Driver")</f>
        <v>Test Driver</v>
      </c>
      <c r="J8" s="5">
        <f>IFERROR(__xludf.DUMMYFUNCTION("""COMPUTED_VALUE"""),0.006944444444444444)</f>
        <v>0.006944444444</v>
      </c>
      <c r="K8" s="5" t="str">
        <f>IFERROR(__xludf.DUMMYFUNCTION("""COMPUTED_VALUE"""),"Karin Saikou")</f>
        <v>Karin Saikou</v>
      </c>
      <c r="L8" s="5"/>
      <c r="M8" s="5"/>
      <c r="N8" s="5"/>
      <c r="O8" s="5"/>
      <c r="P8" s="5"/>
      <c r="Q8" s="5"/>
      <c r="R8" s="5"/>
      <c r="S8" s="5"/>
      <c r="T8" s="5"/>
      <c r="U8" s="5"/>
      <c r="V8" s="5"/>
      <c r="W8" s="5"/>
      <c r="X8" s="5"/>
      <c r="Y8" s="5"/>
      <c r="Z8" s="5"/>
      <c r="AA8" s="5"/>
      <c r="AB8" s="5"/>
      <c r="AC8" s="5"/>
      <c r="AD8" s="5"/>
      <c r="AE8" s="5"/>
      <c r="AF8" s="5"/>
      <c r="AG8" s="5"/>
      <c r="AH8" s="5"/>
      <c r="AI8" s="5"/>
      <c r="AJ8" s="5"/>
      <c r="AK8" s="5"/>
      <c r="AL8" s="5"/>
    </row>
    <row r="9">
      <c r="A9" s="5" t="str">
        <f>IFERROR(__xludf.DUMMYFUNCTION("""COMPUTED_VALUE"""),"Rushia Angel")</f>
        <v>Rushia Angel</v>
      </c>
      <c r="B9" s="5">
        <f>IFERROR(__xludf.DUMMYFUNCTION("""COMPUTED_VALUE"""),0.0025628472222222224)</f>
        <v>0.002562847222</v>
      </c>
      <c r="C9" s="5" t="str">
        <f>IFERROR(__xludf.DUMMYFUNCTION("""COMPUTED_VALUE"""),"BNR32")</f>
        <v>BNR32</v>
      </c>
      <c r="D9" s="5" t="str">
        <f>IFERROR(__xludf.DUMMYFUNCTION("""COMPUTED_VALUE"""),"PC")</f>
        <v>PC</v>
      </c>
      <c r="E9" s="5" t="str">
        <f>IFERROR(__xludf.DUMMYFUNCTION("""COMPUTED_VALUE"""),"Test Driver")</f>
        <v>Test Driver</v>
      </c>
      <c r="F9" s="5">
        <f>IFERROR(__xludf.DUMMYFUNCTION("""COMPUTED_VALUE"""),0.006944444444444444)</f>
        <v>0.006944444444</v>
      </c>
      <c r="G9" s="5" t="str">
        <f>IFERROR(__xludf.DUMMYFUNCTION("""COMPUTED_VALUE"""),"180SX")</f>
        <v>180SX</v>
      </c>
      <c r="H9" s="5"/>
      <c r="I9" s="5" t="str">
        <f>IFERROR(__xludf.DUMMYFUNCTION("""COMPUTED_VALUE"""),"Test Driver")</f>
        <v>Test Driver</v>
      </c>
      <c r="J9" s="5">
        <f>IFERROR(__xludf.DUMMYFUNCTION("""COMPUTED_VALUE"""),0.006944444444444444)</f>
        <v>0.006944444444</v>
      </c>
      <c r="K9" s="5" t="str">
        <f>IFERROR(__xludf.DUMMYFUNCTION("""COMPUTED_VALUE"""),"Highline TT")</f>
        <v>Highline TT</v>
      </c>
      <c r="L9" s="5"/>
      <c r="M9" s="5"/>
      <c r="N9" s="5"/>
      <c r="O9" s="5"/>
      <c r="P9" s="5"/>
      <c r="Q9" s="58" t="s">
        <v>16</v>
      </c>
      <c r="U9" s="58" t="s">
        <v>17</v>
      </c>
      <c r="Y9" s="5"/>
      <c r="Z9" s="5"/>
      <c r="AA9" s="5"/>
      <c r="AB9" s="5"/>
      <c r="AC9" s="5"/>
      <c r="AD9" s="5"/>
      <c r="AE9" s="5"/>
      <c r="AF9" s="5"/>
      <c r="AG9" s="5"/>
      <c r="AH9" s="5"/>
      <c r="AI9" s="5"/>
      <c r="AJ9" s="5"/>
      <c r="AK9" s="5"/>
      <c r="AL9" s="5"/>
    </row>
    <row r="10">
      <c r="A10" s="5" t="str">
        <f>IFERROR(__xludf.DUMMYFUNCTION("""COMPUTED_VALUE"""),"StarRiver Arts")</f>
        <v>StarRiver Arts</v>
      </c>
      <c r="B10" s="5">
        <f>IFERROR(__xludf.DUMMYFUNCTION("""COMPUTED_VALUE"""),0.0025968402777777778)</f>
        <v>0.002596840278</v>
      </c>
      <c r="C10" s="5" t="str">
        <f>IFERROR(__xludf.DUMMYFUNCTION("""COMPUTED_VALUE"""),"EVOIV/CN9A")</f>
        <v>EVOIV/CN9A</v>
      </c>
      <c r="D10" s="5" t="str">
        <f>IFERROR(__xludf.DUMMYFUNCTION("""COMPUTED_VALUE"""),"PC")</f>
        <v>PC</v>
      </c>
      <c r="E10" s="5" t="str">
        <f>IFERROR(__xludf.DUMMYFUNCTION("""COMPUTED_VALUE"""),"Test Driver")</f>
        <v>Test Driver</v>
      </c>
      <c r="F10" s="5">
        <f>IFERROR(__xludf.DUMMYFUNCTION("""COMPUTED_VALUE"""),0.006944444444444444)</f>
        <v>0.006944444444</v>
      </c>
      <c r="G10" s="5" t="str">
        <f>IFERROR(__xludf.DUMMYFUNCTION("""COMPUTED_VALUE"""),"S15")</f>
        <v>S15</v>
      </c>
      <c r="H10" s="5"/>
      <c r="I10" s="5" t="str">
        <f>IFERROR(__xludf.DUMMYFUNCTION("""COMPUTED_VALUE"""),"Test Driver")</f>
        <v>Test Driver</v>
      </c>
      <c r="J10" s="5">
        <f>IFERROR(__xludf.DUMMYFUNCTION("""COMPUTED_VALUE"""),0.006944444444444444)</f>
        <v>0.006944444444</v>
      </c>
      <c r="K10" s="5" t="str">
        <f>IFERROR(__xludf.DUMMYFUNCTION("""COMPUTED_VALUE"""),"285xs")</f>
        <v>285xs</v>
      </c>
      <c r="L10" s="5"/>
      <c r="M10" s="5"/>
      <c r="N10" s="5"/>
      <c r="O10" s="5"/>
      <c r="P10" s="5"/>
      <c r="Q10" s="11" t="s">
        <v>10</v>
      </c>
      <c r="R10" s="11" t="s">
        <v>11</v>
      </c>
      <c r="S10" s="11" t="s">
        <v>12</v>
      </c>
      <c r="T10" s="11" t="s">
        <v>13</v>
      </c>
      <c r="U10" s="11" t="s">
        <v>10</v>
      </c>
      <c r="V10" s="11" t="s">
        <v>11</v>
      </c>
      <c r="W10" s="11" t="s">
        <v>12</v>
      </c>
      <c r="X10" s="11" t="s">
        <v>13</v>
      </c>
      <c r="Y10" s="5"/>
      <c r="Z10" s="5"/>
      <c r="AA10" s="5"/>
      <c r="AB10" s="5"/>
      <c r="AC10" s="5"/>
      <c r="AD10" s="5"/>
      <c r="AE10" s="5"/>
      <c r="AF10" s="5"/>
      <c r="AG10" s="5"/>
      <c r="AH10" s="5"/>
      <c r="AI10" s="5"/>
      <c r="AJ10" s="5"/>
      <c r="AK10" s="5"/>
      <c r="AL10" s="5"/>
    </row>
    <row r="11">
      <c r="A11" s="5" t="str">
        <f>IFERROR(__xludf.DUMMYFUNCTION("""COMPUTED_VALUE"""),"アビドサスヒカリ")</f>
        <v>アビドサスヒカリ</v>
      </c>
      <c r="B11" s="5">
        <f>IFERROR(__xludf.DUMMYFUNCTION("""COMPUTED_VALUE"""),0.0025991550925925926)</f>
        <v>0.002599155093</v>
      </c>
      <c r="C11" s="5" t="str">
        <f>IFERROR(__xludf.DUMMYFUNCTION("""COMPUTED_VALUE"""),"S30Z(Nissan Fairlady Z/Devil Z)")</f>
        <v>S30Z(Nissan Fairlady Z/Devil Z)</v>
      </c>
      <c r="D11" s="5" t="str">
        <f>IFERROR(__xludf.DUMMYFUNCTION("""COMPUTED_VALUE"""),"PC")</f>
        <v>PC</v>
      </c>
      <c r="E11" s="5" t="str">
        <f>IFERROR(__xludf.DUMMYFUNCTION("""COMPUTED_VALUE"""),"Test Driver")</f>
        <v>Test Driver</v>
      </c>
      <c r="F11" s="5">
        <f>IFERROR(__xludf.DUMMYFUNCTION("""COMPUTED_VALUE"""),0.006944444444444444)</f>
        <v>0.006944444444</v>
      </c>
      <c r="G11" s="5" t="str">
        <f>IFERROR(__xludf.DUMMYFUNCTION("""COMPUTED_VALUE"""),"FD3S (RX7)(ST)")</f>
        <v>FD3S (RX7)(ST)</v>
      </c>
      <c r="H11" s="5"/>
      <c r="I11" s="5" t="str">
        <f>IFERROR(__xludf.DUMMYFUNCTION("""COMPUTED_VALUE"""),"Test Driver")</f>
        <v>Test Driver</v>
      </c>
      <c r="J11" s="5">
        <f>IFERROR(__xludf.DUMMYFUNCTION("""COMPUTED_VALUE"""),0.006944444444444444)</f>
        <v>0.006944444444</v>
      </c>
      <c r="K11" s="5" t="str">
        <f>IFERROR(__xludf.DUMMYFUNCTION("""COMPUTED_VALUE"""),"GT106")</f>
        <v>GT106</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 r="A12" s="5" t="str">
        <f>IFERROR(__xludf.DUMMYFUNCTION("""COMPUTED_VALUE"""),"StarRiver Arts")</f>
        <v>StarRiver Arts</v>
      </c>
      <c r="B12" s="5">
        <f>IFERROR(__xludf.DUMMYFUNCTION("""COMPUTED_VALUE"""),0.0026064814814814818)</f>
        <v>0.002606481481</v>
      </c>
      <c r="C12" s="5" t="str">
        <f>IFERROR(__xludf.DUMMYFUNCTION("""COMPUTED_VALUE"""),"S15")</f>
        <v>S15</v>
      </c>
      <c r="D12" s="5" t="str">
        <f>IFERROR(__xludf.DUMMYFUNCTION("""COMPUTED_VALUE"""),"PC")</f>
        <v>PC</v>
      </c>
      <c r="E12" s="5" t="str">
        <f>IFERROR(__xludf.DUMMYFUNCTION("""COMPUTED_VALUE"""),"Test Driver")</f>
        <v>Test Driver</v>
      </c>
      <c r="F12" s="5">
        <f>IFERROR(__xludf.DUMMYFUNCTION("""COMPUTED_VALUE"""),0.006944444444444444)</f>
        <v>0.006944444444</v>
      </c>
      <c r="G12" s="5" t="str">
        <f>IFERROR(__xludf.DUMMYFUNCTION("""COMPUTED_VALUE"""),"FC3S (RX7)")</f>
        <v>FC3S (RX7)</v>
      </c>
      <c r="H12" s="5"/>
      <c r="I12" s="5" t="str">
        <f>IFERROR(__xludf.DUMMYFUNCTION("""COMPUTED_VALUE"""),"Test Driver")</f>
        <v>Test Driver</v>
      </c>
      <c r="J12" s="5">
        <f>IFERROR(__xludf.DUMMYFUNCTION("""COMPUTED_VALUE"""),0.006944444444444444)</f>
        <v>0.006944444444</v>
      </c>
      <c r="K12" s="5" t="str">
        <f>IFERROR(__xludf.DUMMYFUNCTION("""COMPUTED_VALUE"""),"Highline T2 XL")</f>
        <v>Highline T2 XL</v>
      </c>
      <c r="L12" s="5"/>
      <c r="M12" s="5"/>
      <c r="N12" s="5"/>
      <c r="O12" s="5"/>
      <c r="P12" s="5"/>
      <c r="Q12" s="5"/>
      <c r="R12" s="13"/>
      <c r="S12" s="5"/>
      <c r="T12" s="5"/>
      <c r="U12" s="5"/>
      <c r="V12" s="5"/>
      <c r="W12" s="5"/>
      <c r="X12" s="5"/>
      <c r="Y12" s="5"/>
      <c r="Z12" s="5"/>
      <c r="AA12" s="5"/>
      <c r="AB12" s="5"/>
      <c r="AC12" s="5"/>
      <c r="AD12" s="5"/>
      <c r="AE12" s="5"/>
      <c r="AF12" s="5"/>
      <c r="AG12" s="5"/>
      <c r="AH12" s="5"/>
      <c r="AI12" s="5"/>
      <c r="AJ12" s="5"/>
      <c r="AK12" s="5"/>
      <c r="AL12" s="5"/>
    </row>
    <row r="13">
      <c r="A13" s="5" t="str">
        <f>IFERROR(__xludf.DUMMYFUNCTION("""COMPUTED_VALUE"""),"アビドサスヒカリ")</f>
        <v>アビドサスヒカリ</v>
      </c>
      <c r="B13" s="5">
        <f>IFERROR(__xludf.DUMMYFUNCTION("""COMPUTED_VALUE"""),0.0027160995370370373)</f>
        <v>0.002716099537</v>
      </c>
      <c r="C13" s="5" t="str">
        <f>IFERROR(__xludf.DUMMYFUNCTION("""COMPUTED_VALUE"""),"GT86/ZN6")</f>
        <v>GT86/ZN6</v>
      </c>
      <c r="D13" s="5" t="str">
        <f>IFERROR(__xludf.DUMMYFUNCTION("""COMPUTED_VALUE"""),"PC")</f>
        <v>PC</v>
      </c>
      <c r="E13" s="5" t="str">
        <f>IFERROR(__xludf.DUMMYFUNCTION("""COMPUTED_VALUE"""),"Test Driver")</f>
        <v>Test Driver</v>
      </c>
      <c r="F13" s="5">
        <f>IFERROR(__xludf.DUMMYFUNCTION("""COMPUTED_VALUE"""),0.006944444444444444)</f>
        <v>0.006944444444</v>
      </c>
      <c r="G13" s="5" t="str">
        <f>IFERROR(__xludf.DUMMYFUNCTION("""COMPUTED_VALUE"""),"S14")</f>
        <v>S14</v>
      </c>
      <c r="H13" s="5"/>
      <c r="I13" s="5" t="str">
        <f>IFERROR(__xludf.DUMMYFUNCTION("""COMPUTED_VALUE"""),"Test Driver")</f>
        <v>Test Driver</v>
      </c>
      <c r="J13" s="5">
        <f>IFERROR(__xludf.DUMMYFUNCTION("""COMPUTED_VALUE"""),0.006944444444444444)</f>
        <v>0.006944444444</v>
      </c>
      <c r="K13" s="5" t="str">
        <f>IFERROR(__xludf.DUMMYFUNCTION("""COMPUTED_VALUE"""),"280xs")</f>
        <v>280xs</v>
      </c>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 r="A14" s="5" t="str">
        <f>IFERROR(__xludf.DUMMYFUNCTION("""COMPUTED_VALUE"""),"StarRiver Arts")</f>
        <v>StarRiver Arts</v>
      </c>
      <c r="B14" s="5">
        <f>IFERROR(__xludf.DUMMYFUNCTION("""COMPUTED_VALUE"""),0.0027644675925925927)</f>
        <v>0.002764467593</v>
      </c>
      <c r="C14" s="5" t="str">
        <f>IFERROR(__xludf.DUMMYFUNCTION("""COMPUTED_VALUE"""),"AE86L-V2")</f>
        <v>AE86L-V2</v>
      </c>
      <c r="D14" s="5" t="str">
        <f>IFERROR(__xludf.DUMMYFUNCTION("""COMPUTED_VALUE"""),"PC")</f>
        <v>PC</v>
      </c>
      <c r="E14" s="5" t="str">
        <f>IFERROR(__xludf.DUMMYFUNCTION("""COMPUTED_VALUE"""),"Test Driver")</f>
        <v>Test Driver</v>
      </c>
      <c r="F14" s="5">
        <f>IFERROR(__xludf.DUMMYFUNCTION("""COMPUTED_VALUE"""),0.006944444444444444)</f>
        <v>0.006944444444</v>
      </c>
      <c r="G14" s="5" t="str">
        <f>IFERROR(__xludf.DUMMYFUNCTION("""COMPUTED_VALUE"""),"Blackbird")</f>
        <v>Blackbird</v>
      </c>
      <c r="H14" s="5"/>
      <c r="I14" s="5" t="str">
        <f>IFERROR(__xludf.DUMMYFUNCTION("""COMPUTED_VALUE"""),"Test Driver")</f>
        <v>Test Driver</v>
      </c>
      <c r="J14" s="5">
        <f>IFERROR(__xludf.DUMMYFUNCTION("""COMPUTED_VALUE"""),0.006944444444444444)</f>
        <v>0.006944444444</v>
      </c>
      <c r="K14" s="5" t="str">
        <f>IFERROR(__xludf.DUMMYFUNCTION("""COMPUTED_VALUE"""),"Highline T2 ")</f>
        <v>Highline T2 </v>
      </c>
      <c r="L14" s="5"/>
      <c r="M14" s="5"/>
      <c r="N14" s="5"/>
      <c r="O14" s="5"/>
      <c r="P14" s="5"/>
      <c r="Q14" s="20" t="s">
        <v>22</v>
      </c>
      <c r="U14" s="19" t="s">
        <v>23</v>
      </c>
      <c r="Y14" s="5"/>
      <c r="Z14" s="5"/>
      <c r="AA14" s="5"/>
      <c r="AB14" s="5"/>
      <c r="AC14" s="5"/>
      <c r="AD14" s="5"/>
      <c r="AE14" s="5"/>
      <c r="AF14" s="5"/>
      <c r="AG14" s="5"/>
      <c r="AH14" s="5"/>
      <c r="AI14" s="5"/>
      <c r="AJ14" s="5"/>
      <c r="AK14" s="5"/>
      <c r="AL14" s="5"/>
    </row>
    <row r="15">
      <c r="A15" s="5" t="str">
        <f>IFERROR(__xludf.DUMMYFUNCTION("""COMPUTED_VALUE"""),"StarRiver Arts")</f>
        <v>StarRiver Arts</v>
      </c>
      <c r="B15" s="5">
        <f>IFERROR(__xludf.DUMMYFUNCTION("""COMPUTED_VALUE"""),0.0028387384259259255)</f>
        <v>0.002838738426</v>
      </c>
      <c r="C15" s="5" t="str">
        <f>IFERROR(__xludf.DUMMYFUNCTION("""COMPUTED_VALUE"""),"S13")</f>
        <v>S13</v>
      </c>
      <c r="D15" s="5" t="str">
        <f>IFERROR(__xludf.DUMMYFUNCTION("""COMPUTED_VALUE"""),"PC")</f>
        <v>PC</v>
      </c>
      <c r="E15" s="5" t="str">
        <f>IFERROR(__xludf.DUMMYFUNCTION("""COMPUTED_VALUE"""),"Test Driver")</f>
        <v>Test Driver</v>
      </c>
      <c r="F15" s="5">
        <f>IFERROR(__xludf.DUMMYFUNCTION("""COMPUTED_VALUE"""),0.006944444444444444)</f>
        <v>0.006944444444</v>
      </c>
      <c r="G15" s="5" t="str">
        <f>IFERROR(__xludf.DUMMYFUNCTION("""COMPUTED_VALUE"""),"DB42 (GR Supra)")</f>
        <v>DB42 (GR Supra)</v>
      </c>
      <c r="H15" s="5"/>
      <c r="I15" s="5" t="str">
        <f>IFERROR(__xludf.DUMMYFUNCTION("""COMPUTED_VALUE"""),"Test Driver")</f>
        <v>Test Driver</v>
      </c>
      <c r="J15" s="5">
        <f>IFERROR(__xludf.DUMMYFUNCTION("""COMPUTED_VALUE"""),0.006944444444444444)</f>
        <v>0.006944444444</v>
      </c>
      <c r="K15" s="5" t="str">
        <f>IFERROR(__xludf.DUMMYFUNCTION("""COMPUTED_VALUE"""),"Karin Intruder")</f>
        <v>Karin Intruder</v>
      </c>
      <c r="L15" s="5"/>
      <c r="M15" s="5"/>
      <c r="N15" s="5"/>
      <c r="O15" s="5"/>
      <c r="P15" s="5"/>
      <c r="Q15" s="11" t="str">
        <f>IFERROR(__xludf.DUMMYFUNCTION("LET(
  賽道, ""StarSight"",
  路線, ""DH"",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R15" s="11" t="str">
        <f>IFERROR(__xludf.DUMMYFUNCTION("""COMPUTED_VALUE"""),"Time時間")</f>
        <v>Time時間</v>
      </c>
      <c r="S15" s="11" t="str">
        <f>IFERROR(__xludf.DUMMYFUNCTION("""COMPUTED_VALUE"""),"Car車種")</f>
        <v>Car車種</v>
      </c>
      <c r="T15" s="11" t="str">
        <f>IFERROR(__xludf.DUMMYFUNCTION("""COMPUTED_VALUE"""),"Platform平台")</f>
        <v>Platform平台</v>
      </c>
      <c r="U15" s="11" t="str">
        <f>IFERROR(__xludf.DUMMYFUNCTION("LET(
  賽道, ""StarSight"",
  路線, ""UH"",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V15" s="11" t="str">
        <f>IFERROR(__xludf.DUMMYFUNCTION("""COMPUTED_VALUE"""),"Time時間")</f>
        <v>Time時間</v>
      </c>
      <c r="W15" s="11" t="str">
        <f>IFERROR(__xludf.DUMMYFUNCTION("""COMPUTED_VALUE"""),"Car車種")</f>
        <v>Car車種</v>
      </c>
      <c r="X15" s="11" t="str">
        <f>IFERROR(__xludf.DUMMYFUNCTION("""COMPUTED_VALUE"""),"Platform平台")</f>
        <v>Platform平台</v>
      </c>
      <c r="Y15" s="5"/>
      <c r="Z15" s="5"/>
      <c r="AA15" s="5"/>
      <c r="AB15" s="5"/>
      <c r="AC15" s="5"/>
      <c r="AD15" s="5"/>
      <c r="AE15" s="5"/>
      <c r="AF15" s="5"/>
      <c r="AG15" s="5"/>
      <c r="AH15" s="5"/>
      <c r="AI15" s="5"/>
      <c r="AJ15" s="5"/>
      <c r="AK15" s="5"/>
      <c r="AL15" s="5"/>
    </row>
    <row r="16">
      <c r="A16" s="5" t="str">
        <f>IFERROR(__xludf.DUMMYFUNCTION("""COMPUTED_VALUE"""),"StarRiver Arts")</f>
        <v>StarRiver Arts</v>
      </c>
      <c r="B16" s="5">
        <f>IFERROR(__xludf.DUMMYFUNCTION("""COMPUTED_VALUE"""),0.0028537847222222224)</f>
        <v>0.002853784722</v>
      </c>
      <c r="C16" s="5" t="str">
        <f>IFERROR(__xludf.DUMMYFUNCTION("""COMPUTED_VALUE"""),"Hurricant(LB724)")</f>
        <v>Hurricant(LB724)</v>
      </c>
      <c r="D16" s="5" t="str">
        <f>IFERROR(__xludf.DUMMYFUNCTION("""COMPUTED_VALUE"""),"PC")</f>
        <v>PC</v>
      </c>
      <c r="E16" s="5" t="str">
        <f>IFERROR(__xludf.DUMMYFUNCTION("""COMPUTED_VALUE"""),"Test Driver")</f>
        <v>Test Driver</v>
      </c>
      <c r="F16" s="5">
        <f>IFERROR(__xludf.DUMMYFUNCTION("""COMPUTED_VALUE"""),0.006944444444444444)</f>
        <v>0.006944444444</v>
      </c>
      <c r="G16" s="5" t="str">
        <f>IFERROR(__xludf.DUMMYFUNCTION("""COMPUTED_VALUE"""),"AE86L-V2")</f>
        <v>AE86L-V2</v>
      </c>
      <c r="H16" s="5"/>
      <c r="I16" s="5" t="str">
        <f>IFERROR(__xludf.DUMMYFUNCTION("""COMPUTED_VALUE"""),"Test Driver")</f>
        <v>Test Driver</v>
      </c>
      <c r="J16" s="5">
        <f>IFERROR(__xludf.DUMMYFUNCTION("""COMPUTED_VALUE"""),0.006944444444444444)</f>
        <v>0.006944444444</v>
      </c>
      <c r="K16" s="5" t="str">
        <f>IFERROR(__xludf.DUMMYFUNCTION("""COMPUTED_VALUE"""),"284xs")</f>
        <v>284xs</v>
      </c>
      <c r="L16" s="5"/>
      <c r="M16" s="5"/>
      <c r="N16" s="5"/>
      <c r="O16" s="5"/>
      <c r="P16" s="5"/>
      <c r="Q16" s="5" t="str">
        <f>IFERROR(__xludf.DUMMYFUNCTION("""COMPUTED_VALUE"""),"Lolidia")</f>
        <v>Lolidia</v>
      </c>
      <c r="R16" s="5">
        <f>IFERROR(__xludf.DUMMYFUNCTION("""COMPUTED_VALUE"""),0.0010182638888888889)</f>
        <v>0.001018263889</v>
      </c>
      <c r="S16" s="5" t="str">
        <f>IFERROR(__xludf.DUMMYFUNCTION("""COMPUTED_VALUE"""),"EVO3")</f>
        <v>EVO3</v>
      </c>
      <c r="T16" s="5" t="str">
        <f>IFERROR(__xludf.DUMMYFUNCTION("""COMPUTED_VALUE"""),"PCVR")</f>
        <v>PCVR</v>
      </c>
      <c r="U16" s="5" t="str">
        <f>IFERROR(__xludf.DUMMYFUNCTION("""COMPUTED_VALUE"""),"#N/A")</f>
        <v>#N/A</v>
      </c>
      <c r="V16" s="5" t="str">
        <f>IFERROR(__xludf.DUMMYFUNCTION("""COMPUTED_VALUE"""),"#N/A")</f>
        <v>#N/A</v>
      </c>
      <c r="W16" s="5" t="str">
        <f>IFERROR(__xludf.DUMMYFUNCTION("""COMPUTED_VALUE"""),"#N/A")</f>
        <v>#N/A</v>
      </c>
      <c r="X16" s="5" t="str">
        <f>IFERROR(__xludf.DUMMYFUNCTION("""COMPUTED_VALUE"""),"#N/A")</f>
        <v>#N/A</v>
      </c>
      <c r="Y16" s="5"/>
      <c r="Z16" s="5"/>
      <c r="AA16" s="5"/>
      <c r="AB16" s="5"/>
      <c r="AC16" s="5"/>
      <c r="AD16" s="5"/>
      <c r="AE16" s="5"/>
      <c r="AF16" s="5"/>
      <c r="AG16" s="5"/>
      <c r="AH16" s="5"/>
      <c r="AI16" s="5"/>
      <c r="AJ16" s="5"/>
      <c r="AK16" s="5"/>
      <c r="AL16" s="5"/>
    </row>
    <row r="17">
      <c r="A17" s="5" t="str">
        <f>IFERROR(__xludf.DUMMYFUNCTION("""COMPUTED_VALUE"""),"StarRiver Arts")</f>
        <v>StarRiver Arts</v>
      </c>
      <c r="B17" s="5">
        <f>IFERROR(__xludf.DUMMYFUNCTION("""COMPUTED_VALUE"""),0.0032253124999999994)</f>
        <v>0.0032253125</v>
      </c>
      <c r="C17" s="5" t="str">
        <f>IFERROR(__xludf.DUMMYFUNCTION("""COMPUTED_VALUE"""),"AE86T")</f>
        <v>AE86T</v>
      </c>
      <c r="D17" s="5" t="str">
        <f>IFERROR(__xludf.DUMMYFUNCTION("""COMPUTED_VALUE"""),"PC")</f>
        <v>PC</v>
      </c>
      <c r="E17" s="5" t="str">
        <f>IFERROR(__xludf.DUMMYFUNCTION("""COMPUTED_VALUE"""),"Test Driver")</f>
        <v>Test Driver</v>
      </c>
      <c r="F17" s="5">
        <f>IFERROR(__xludf.DUMMYFUNCTION("""COMPUTED_VALUE"""),0.006944444444444444)</f>
        <v>0.006944444444</v>
      </c>
      <c r="G17" s="5" t="str">
        <f>IFERROR(__xludf.DUMMYFUNCTION("""COMPUTED_VALUE"""),"Hurricant(LB724)")</f>
        <v>Hurricant(LB724)</v>
      </c>
      <c r="H17" s="5"/>
      <c r="I17" s="5"/>
      <c r="J17" s="5"/>
      <c r="K17" s="5"/>
      <c r="L17" s="5"/>
      <c r="M17" s="5"/>
      <c r="N17" s="5"/>
      <c r="O17" s="5"/>
      <c r="P17" s="5"/>
      <c r="Q17" s="5" t="str">
        <f>IFERROR(__xludf.DUMMYFUNCTION("""COMPUTED_VALUE"""),"Light_Spirit")</f>
        <v>Light_Spirit</v>
      </c>
      <c r="R17" s="5">
        <f>IFERROR(__xludf.DUMMYFUNCTION("""COMPUTED_VALUE"""),0.0010786226851851853)</f>
        <v>0.001078622685</v>
      </c>
      <c r="S17" s="5" t="str">
        <f>IFERROR(__xludf.DUMMYFUNCTION("""COMPUTED_VALUE"""),"Macchiato")</f>
        <v>Macchiato</v>
      </c>
      <c r="T17" s="5" t="str">
        <f>IFERROR(__xludf.DUMMYFUNCTION("""COMPUTED_VALUE"""),"PCVR")</f>
        <v>PCVR</v>
      </c>
      <c r="U17" s="5"/>
      <c r="V17" s="5"/>
      <c r="W17" s="5"/>
      <c r="X17" s="5"/>
      <c r="Y17" s="5"/>
      <c r="Z17" s="5"/>
      <c r="AA17" s="5"/>
      <c r="AB17" s="5"/>
      <c r="AC17" s="5"/>
      <c r="AD17" s="5"/>
      <c r="AE17" s="5"/>
      <c r="AF17" s="5"/>
      <c r="AG17" s="5"/>
      <c r="AH17" s="5"/>
      <c r="AI17" s="5"/>
      <c r="AJ17" s="5"/>
      <c r="AK17" s="5"/>
      <c r="AL17" s="5"/>
    </row>
    <row r="18">
      <c r="A18" s="5" t="str">
        <f>IFERROR(__xludf.DUMMYFUNCTION("""COMPUTED_VALUE"""),"StarRiver Arts")</f>
        <v>StarRiver Arts</v>
      </c>
      <c r="B18" s="5">
        <f>IFERROR(__xludf.DUMMYFUNCTION("""COMPUTED_VALUE"""),0.003335451388888889)</f>
        <v>0.003335451389</v>
      </c>
      <c r="C18" s="5" t="str">
        <f>IFERROR(__xludf.DUMMYFUNCTION("""COMPUTED_VALUE"""),"AE85")</f>
        <v>AE85</v>
      </c>
      <c r="D18" s="5" t="str">
        <f>IFERROR(__xludf.DUMMYFUNCTION("""COMPUTED_VALUE"""),"PC")</f>
        <v>PC</v>
      </c>
      <c r="E18" s="5" t="str">
        <f>IFERROR(__xludf.DUMMYFUNCTION("""COMPUTED_VALUE"""),"Test Driver")</f>
        <v>Test Driver</v>
      </c>
      <c r="F18" s="5">
        <f>IFERROR(__xludf.DUMMYFUNCTION("""COMPUTED_VALUE"""),0.006944444444444444)</f>
        <v>0.006944444444</v>
      </c>
      <c r="G18" s="5" t="str">
        <f>IFERROR(__xludf.DUMMYFUNCTION("""COMPUTED_VALUE"""),"AE86T")</f>
        <v>AE86T</v>
      </c>
      <c r="H18" s="5"/>
      <c r="I18" s="5"/>
      <c r="J18" s="5"/>
      <c r="K18" s="5"/>
      <c r="L18" s="5"/>
      <c r="M18" s="5"/>
      <c r="N18" s="5"/>
      <c r="O18" s="5"/>
      <c r="P18" s="5"/>
      <c r="Q18" s="5" t="str">
        <f>IFERROR(__xludf.DUMMYFUNCTION("""COMPUTED_VALUE"""),"Yangtao")</f>
        <v>Yangtao</v>
      </c>
      <c r="R18" s="5">
        <f>IFERROR(__xludf.DUMMYFUNCTION("""COMPUTED_VALUE"""),0.0011427430555555555)</f>
        <v>0.001142743056</v>
      </c>
      <c r="S18" s="5" t="str">
        <f>IFERROR(__xludf.DUMMYFUNCTION("""COMPUTED_VALUE"""),"LapinTuned")</f>
        <v>LapinTuned</v>
      </c>
      <c r="T18" s="5" t="str">
        <f>IFERROR(__xludf.DUMMYFUNCTION("""COMPUTED_VALUE"""),"PCVR")</f>
        <v>PCVR</v>
      </c>
      <c r="U18" s="5"/>
      <c r="V18" s="5"/>
      <c r="W18" s="5"/>
      <c r="X18" s="5"/>
      <c r="Y18" s="5"/>
      <c r="Z18" s="5"/>
      <c r="AA18" s="5"/>
      <c r="AB18" s="5"/>
      <c r="AC18" s="5"/>
      <c r="AD18" s="5"/>
      <c r="AE18" s="5"/>
      <c r="AF18" s="5"/>
      <c r="AG18" s="5"/>
      <c r="AH18" s="5"/>
      <c r="AI18" s="5"/>
      <c r="AJ18" s="5"/>
      <c r="AK18" s="5"/>
      <c r="AL18" s="5"/>
    </row>
    <row r="19">
      <c r="A19" s="5" t="str">
        <f>IFERROR(__xludf.DUMMYFUNCTION("""COMPUTED_VALUE"""),"Test Driver")</f>
        <v>Test Driver</v>
      </c>
      <c r="B19" s="5">
        <f>IFERROR(__xludf.DUMMYFUNCTION("""COMPUTED_VALUE"""),0.006944444444444444)</f>
        <v>0.006944444444</v>
      </c>
      <c r="C19" s="5" t="str">
        <f>IFERROR(__xludf.DUMMYFUNCTION("""COMPUTED_VALUE"""),"AE86L")</f>
        <v>AE86L</v>
      </c>
      <c r="D19" s="5"/>
      <c r="E19" s="5" t="str">
        <f>IFERROR(__xludf.DUMMYFUNCTION("""COMPUTED_VALUE"""),"Test Driver")</f>
        <v>Test Driver</v>
      </c>
      <c r="F19" s="5">
        <f>IFERROR(__xludf.DUMMYFUNCTION("""COMPUTED_VALUE"""),0.006944444444444444)</f>
        <v>0.006944444444</v>
      </c>
      <c r="G19" s="5" t="str">
        <f>IFERROR(__xludf.DUMMYFUNCTION("""COMPUTED_VALUE"""),"AE85")</f>
        <v>AE85</v>
      </c>
      <c r="H19" s="5"/>
      <c r="I19" s="5"/>
      <c r="J19" s="5"/>
      <c r="K19" s="5"/>
      <c r="L19" s="5"/>
      <c r="M19" s="5"/>
      <c r="N19" s="5"/>
      <c r="O19" s="5"/>
      <c r="P19" s="5"/>
      <c r="Q19" s="5" t="str">
        <f>IFERROR(__xludf.DUMMYFUNCTION("""COMPUTED_VALUE"""),"ねぎたま")</f>
        <v>ねぎたま</v>
      </c>
      <c r="R19" s="5">
        <f>IFERROR(__xludf.DUMMYFUNCTION("""COMPUTED_VALUE"""),0.0012523032407407407)</f>
        <v>0.001252303241</v>
      </c>
      <c r="S19" s="5" t="str">
        <f>IFERROR(__xludf.DUMMYFUNCTION("""COMPUTED_VALUE"""),"CoachKart")</f>
        <v>CoachKart</v>
      </c>
      <c r="T19" s="5" t="str">
        <f>IFERROR(__xludf.DUMMYFUNCTION("""COMPUTED_VALUE"""),"PCVR")</f>
        <v>PCVR</v>
      </c>
      <c r="U19" s="5"/>
      <c r="V19" s="5"/>
      <c r="W19" s="5"/>
      <c r="X19" s="5"/>
      <c r="Y19" s="5"/>
      <c r="Z19" s="5"/>
      <c r="AA19" s="5"/>
      <c r="AB19" s="5"/>
      <c r="AC19" s="5"/>
      <c r="AD19" s="5"/>
      <c r="AE19" s="5"/>
      <c r="AF19" s="5"/>
      <c r="AG19" s="5"/>
      <c r="AH19" s="5"/>
      <c r="AI19" s="5"/>
      <c r="AJ19" s="5"/>
      <c r="AK19" s="5"/>
      <c r="AL19" s="5"/>
    </row>
    <row r="20">
      <c r="A20" s="5" t="str">
        <f>IFERROR(__xludf.DUMMYFUNCTION("""COMPUTED_VALUE"""),"Test Driver")</f>
        <v>Test Driver</v>
      </c>
      <c r="B20" s="5">
        <f>IFERROR(__xludf.DUMMYFUNCTION("""COMPUTED_VALUE"""),0.006944444444444444)</f>
        <v>0.006944444444</v>
      </c>
      <c r="C20" s="5" t="str">
        <f>IFERROR(__xludf.DUMMYFUNCTION("""COMPUTED_VALUE"""),"FD3S (RX7)(ST)")</f>
        <v>FD3S (RX7)(ST)</v>
      </c>
      <c r="D20" s="5"/>
      <c r="E20" s="5" t="str">
        <f>IFERROR(__xludf.DUMMYFUNCTION("""COMPUTED_VALUE"""),"Test Driver")</f>
        <v>Test Driver</v>
      </c>
      <c r="F20" s="5">
        <f>IFERROR(__xludf.DUMMYFUNCTION("""COMPUTED_VALUE"""),0.006944444444444444)</f>
        <v>0.006944444444</v>
      </c>
      <c r="G20" s="5" t="str">
        <f>IFERROR(__xludf.DUMMYFUNCTION("""COMPUTED_VALUE"""),"AE86L")</f>
        <v>AE86L</v>
      </c>
      <c r="H20" s="5"/>
      <c r="I20" s="5"/>
      <c r="J20" s="5"/>
      <c r="K20" s="5"/>
      <c r="L20" s="5"/>
      <c r="M20" s="5"/>
      <c r="N20" s="5"/>
      <c r="O20" s="5"/>
      <c r="P20" s="5"/>
      <c r="Q20" s="5" t="str">
        <f>IFERROR(__xludf.DUMMYFUNCTION("""COMPUTED_VALUE"""),"Linjeyooo")</f>
        <v>Linjeyooo</v>
      </c>
      <c r="R20" s="5">
        <f>IFERROR(__xludf.DUMMYFUNCTION("""COMPUTED_VALUE"""),0.002488425925925926)</f>
        <v>0.002488425926</v>
      </c>
      <c r="S20" s="5" t="str">
        <f>IFERROR(__xludf.DUMMYFUNCTION("""COMPUTED_VALUE"""),"PinoBus")</f>
        <v>PinoBus</v>
      </c>
      <c r="T20" s="5" t="str">
        <f>IFERROR(__xludf.DUMMYFUNCTION("""COMPUTED_VALUE"""),"PCVR")</f>
        <v>PCVR</v>
      </c>
      <c r="U20" s="5"/>
      <c r="V20" s="5"/>
      <c r="W20" s="5"/>
      <c r="X20" s="5"/>
      <c r="Y20" s="5"/>
      <c r="Z20" s="5"/>
      <c r="AA20" s="5"/>
      <c r="AB20" s="5"/>
      <c r="AC20" s="5"/>
      <c r="AD20" s="5"/>
      <c r="AE20" s="5"/>
      <c r="AF20" s="5"/>
      <c r="AG20" s="5"/>
      <c r="AH20" s="5"/>
      <c r="AI20" s="5"/>
      <c r="AJ20" s="5"/>
      <c r="AK20" s="5"/>
      <c r="AL20" s="5"/>
    </row>
    <row r="21">
      <c r="A21" s="5" t="str">
        <f>IFERROR(__xludf.DUMMYFUNCTION("""COMPUTED_VALUE"""),"Test Driver")</f>
        <v>Test Driver</v>
      </c>
      <c r="B21" s="5">
        <f>IFERROR(__xludf.DUMMYFUNCTION("""COMPUTED_VALUE"""),0.006944444444444444)</f>
        <v>0.006944444444</v>
      </c>
      <c r="C21" s="5" t="str">
        <f>IFERROR(__xludf.DUMMYFUNCTION("""COMPUTED_VALUE"""),"FC3S (RX7)")</f>
        <v>FC3S (RX7)</v>
      </c>
      <c r="D21" s="5"/>
      <c r="E21" s="5" t="str">
        <f>IFERROR(__xludf.DUMMYFUNCTION("""COMPUTED_VALUE"""),"Test Driver")</f>
        <v>Test Driver</v>
      </c>
      <c r="F21" s="5">
        <f>IFERROR(__xludf.DUMMYFUNCTION("""COMPUTED_VALUE"""),0.006944444444444444)</f>
        <v>0.006944444444</v>
      </c>
      <c r="G21" s="5" t="str">
        <f>IFERROR(__xludf.DUMMYFUNCTION("""COMPUTED_VALUE"""),"S30Z(Nissan Fairlady Z/Devil Z)")</f>
        <v>S30Z(Nissan Fairlady Z/Devil Z)</v>
      </c>
      <c r="H21" s="5"/>
      <c r="I21" s="5"/>
      <c r="J21" s="5"/>
      <c r="K21" s="5"/>
      <c r="L21" s="5"/>
      <c r="M21" s="5"/>
      <c r="N21" s="5"/>
      <c r="O21" s="5"/>
      <c r="P21" s="5"/>
      <c r="Q21" s="5" t="str">
        <f>IFERROR(__xludf.DUMMYFUNCTION("""COMPUTED_VALUE"""),"richardyukiko")</f>
        <v>richardyukiko</v>
      </c>
      <c r="R21" s="5">
        <f>IFERROR(__xludf.DUMMYFUNCTION("""COMPUTED_VALUE"""),0.0028493402777777775)</f>
        <v>0.002849340278</v>
      </c>
      <c r="S21" s="5" t="str">
        <f>IFERROR(__xludf.DUMMYFUNCTION("""COMPUTED_VALUE"""),"Stinger")</f>
        <v>Stinger</v>
      </c>
      <c r="T21" s="5" t="str">
        <f>IFERROR(__xludf.DUMMYFUNCTION("""COMPUTED_VALUE"""),"PC")</f>
        <v>PC</v>
      </c>
      <c r="U21" s="5"/>
      <c r="V21" s="5"/>
      <c r="W21" s="5"/>
      <c r="X21" s="5"/>
      <c r="Y21" s="5"/>
      <c r="Z21" s="5"/>
      <c r="AA21" s="5"/>
      <c r="AB21" s="5"/>
      <c r="AC21" s="5"/>
      <c r="AD21" s="5"/>
      <c r="AE21" s="5"/>
      <c r="AF21" s="5"/>
      <c r="AG21" s="5"/>
      <c r="AH21" s="5"/>
      <c r="AI21" s="5"/>
      <c r="AJ21" s="5"/>
      <c r="AK21" s="5"/>
      <c r="AL21" s="5"/>
    </row>
    <row r="22">
      <c r="A22" s="5" t="str">
        <f>IFERROR(__xludf.DUMMYFUNCTION("""COMPUTED_VALUE"""),"Test Driver")</f>
        <v>Test Driver</v>
      </c>
      <c r="B22" s="5">
        <f>IFERROR(__xludf.DUMMYFUNCTION("""COMPUTED_VALUE"""),0.006944444444444444)</f>
        <v>0.006944444444</v>
      </c>
      <c r="C22" s="5" t="str">
        <f>IFERROR(__xludf.DUMMYFUNCTION("""COMPUTED_VALUE"""),"S14")</f>
        <v>S14</v>
      </c>
      <c r="D22" s="5"/>
      <c r="E22" s="5" t="str">
        <f>IFERROR(__xludf.DUMMYFUNCTION("""COMPUTED_VALUE"""),"Test Driver")</f>
        <v>Test Driver</v>
      </c>
      <c r="F22" s="5">
        <f>IFERROR(__xludf.DUMMYFUNCTION("""COMPUTED_VALUE"""),0.006944444444444444)</f>
        <v>0.006944444444</v>
      </c>
      <c r="G22" s="5" t="str">
        <f>IFERROR(__xludf.DUMMYFUNCTION("""COMPUTED_VALUE"""),"GR86/ZN8")</f>
        <v>GR86/ZN8</v>
      </c>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c r="A23" s="5" t="str">
        <f>IFERROR(__xludf.DUMMYFUNCTION("""COMPUTED_VALUE"""),"Test Driver")</f>
        <v>Test Driver</v>
      </c>
      <c r="B23" s="5">
        <f>IFERROR(__xludf.DUMMYFUNCTION("""COMPUTED_VALUE"""),0.006944444444444444)</f>
        <v>0.006944444444</v>
      </c>
      <c r="C23" s="5" t="str">
        <f>IFERROR(__xludf.DUMMYFUNCTION("""COMPUTED_VALUE"""),"Blackbird")</f>
        <v>Blackbird</v>
      </c>
      <c r="D23" s="5"/>
      <c r="E23" s="5" t="str">
        <f>IFERROR(__xludf.DUMMYFUNCTION("""COMPUTED_VALUE"""),"Test Driver")</f>
        <v>Test Driver</v>
      </c>
      <c r="F23" s="5">
        <f>IFERROR(__xludf.DUMMYFUNCTION("""COMPUTED_VALUE"""),0.006944444444444444)</f>
        <v>0.006944444444</v>
      </c>
      <c r="G23" s="5" t="str">
        <f>IFERROR(__xludf.DUMMYFUNCTION("""COMPUTED_VALUE"""),"GC8-F (Impreza)")</f>
        <v>GC8-F (Impreza)</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 r="A24" s="5" t="str">
        <f>IFERROR(__xludf.DUMMYFUNCTION("""COMPUTED_VALUE"""),"Test Driver")</f>
        <v>Test Driver</v>
      </c>
      <c r="B24" s="5">
        <f>IFERROR(__xludf.DUMMYFUNCTION("""COMPUTED_VALUE"""),0.006944444444444444)</f>
        <v>0.006944444444</v>
      </c>
      <c r="C24" s="5" t="str">
        <f>IFERROR(__xludf.DUMMYFUNCTION("""COMPUTED_VALUE"""),"DB42 (GR Supra)")</f>
        <v>DB42 (GR Supra)</v>
      </c>
      <c r="D24" s="5"/>
      <c r="E24" s="5" t="str">
        <f>IFERROR(__xludf.DUMMYFUNCTION("""COMPUTED_VALUE"""),"Test Driver")</f>
        <v>Test Driver</v>
      </c>
      <c r="F24" s="5">
        <f>IFERROR(__xludf.DUMMYFUNCTION("""COMPUTED_VALUE"""),0.006944444444444444)</f>
        <v>0.006944444444</v>
      </c>
      <c r="G24" s="5" t="str">
        <f>IFERROR(__xludf.DUMMYFUNCTION("""COMPUTED_VALUE"""),"FD3S (RX7)(TT)")</f>
        <v>FD3S (RX7)(TT)</v>
      </c>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 r="A25" s="5" t="str">
        <f>IFERROR(__xludf.DUMMYFUNCTION("""COMPUTED_VALUE"""),"Test Driver")</f>
        <v>Test Driver</v>
      </c>
      <c r="B25" s="5">
        <f>IFERROR(__xludf.DUMMYFUNCTION("""COMPUTED_VALUE"""),0.006944444444444444)</f>
        <v>0.006944444444</v>
      </c>
      <c r="C25" s="5" t="str">
        <f>IFERROR(__xludf.DUMMYFUNCTION("""COMPUTED_VALUE"""),"SW20 (MR2)")</f>
        <v>SW20 (MR2)</v>
      </c>
      <c r="D25" s="5"/>
      <c r="E25" s="5" t="str">
        <f>IFERROR(__xludf.DUMMYFUNCTION("""COMPUTED_VALUE"""),"Test Driver")</f>
        <v>Test Driver</v>
      </c>
      <c r="F25" s="5">
        <f>IFERROR(__xludf.DUMMYFUNCTION("""COMPUTED_VALUE"""),0.006944444444444444)</f>
        <v>0.006944444444</v>
      </c>
      <c r="G25" s="5" t="str">
        <f>IFERROR(__xludf.DUMMYFUNCTION("""COMPUTED_VALUE"""),"EG6 (civic)")</f>
        <v>EG6 (civic)</v>
      </c>
      <c r="H25" s="5"/>
      <c r="I25" s="15" t="s">
        <v>14</v>
      </c>
      <c r="M25" s="59"/>
      <c r="Q25" s="5"/>
      <c r="R25" s="5"/>
      <c r="S25" s="5"/>
      <c r="T25" s="5"/>
      <c r="U25" s="5"/>
      <c r="V25" s="5"/>
      <c r="W25" s="5"/>
      <c r="X25" s="5"/>
      <c r="Y25" s="5"/>
      <c r="Z25" s="5"/>
      <c r="AA25" s="5"/>
      <c r="AB25" s="5"/>
      <c r="AC25" s="5"/>
      <c r="AD25" s="5"/>
      <c r="AE25" s="5"/>
      <c r="AF25" s="5"/>
      <c r="AG25" s="5"/>
      <c r="AH25" s="5"/>
      <c r="AI25" s="5"/>
      <c r="AJ25" s="5"/>
      <c r="AK25" s="5"/>
      <c r="AL25" s="5"/>
    </row>
    <row r="26">
      <c r="A26" s="5" t="str">
        <f>IFERROR(__xludf.DUMMYFUNCTION("""COMPUTED_VALUE"""),"Test Driver")</f>
        <v>Test Driver</v>
      </c>
      <c r="B26" s="5">
        <f>IFERROR(__xludf.DUMMYFUNCTION("""COMPUTED_VALUE"""),0.006944444444444444)</f>
        <v>0.006944444444</v>
      </c>
      <c r="C26" s="5" t="str">
        <f>IFERROR(__xludf.DUMMYFUNCTION("""COMPUTED_VALUE"""),"180SX")</f>
        <v>180SX</v>
      </c>
      <c r="D26" s="5"/>
      <c r="E26" s="5" t="str">
        <f>IFERROR(__xludf.DUMMYFUNCTION("""COMPUTED_VALUE"""),"Test Driver")</f>
        <v>Test Driver</v>
      </c>
      <c r="F26" s="5">
        <f>IFERROR(__xludf.DUMMYFUNCTION("""COMPUTED_VALUE"""),0.006944444444444444)</f>
        <v>0.006944444444</v>
      </c>
      <c r="G26" s="5" t="str">
        <f>IFERROR(__xludf.DUMMYFUNCTION("""COMPUTED_VALUE"""),"BNR32")</f>
        <v>BNR32</v>
      </c>
      <c r="H26" s="5"/>
      <c r="I26" s="11" t="str">
        <f>IFERROR(__xludf.DUMMYFUNCTION("LET(
  賽道, ""Momiji"",
  路線, ""DH"",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J26" s="11" t="str">
        <f>IFERROR(__xludf.DUMMYFUNCTION("""COMPUTED_VALUE"""),"Time時間")</f>
        <v>Time時間</v>
      </c>
      <c r="K26" s="11" t="str">
        <f>IFERROR(__xludf.DUMMYFUNCTION("""COMPUTED_VALUE"""),"Car車種")</f>
        <v>Car車種</v>
      </c>
      <c r="L26" s="11" t="str">
        <f>IFERROR(__xludf.DUMMYFUNCTION("""COMPUTED_VALUE"""),"Platform平台")</f>
        <v>Platform平台</v>
      </c>
      <c r="M26" s="11" t="str">
        <f>IFERROR(__xludf.DUMMYFUNCTION("LET(
  賽道, """",
  路線, ""DH"",
  系統, ""CVS"",
  原始, FILTER('歷史紀錄'!$E$2:$H1244, '歷史紀錄'!$B18:$B1244=賽道, '歷史紀錄'!$C$2:$C1244=路線, '歷史紀錄'!$I$2:$I1244=系統),
  排序後, SORT(原始, 2, TRUE),
  車輛, INDEX(排序後,,3),
  唯一車輛, UNIQUE(車輛),
  結果,
    MAP(唯一車輛, LAMBDA(p,
      IND"&amp;"EX(FILTER(排序後, INDEX(排序後,,3)=p),1,0)
    )),
  表頭, {""Player玩家"",""Time時間"",""Car車種"",""Platform平台""},
  VSTACK(表頭, 結果)
)
"),"Player玩家")</f>
        <v>Player玩家</v>
      </c>
      <c r="N26" s="11" t="str">
        <f>IFERROR(__xludf.DUMMYFUNCTION("""COMPUTED_VALUE"""),"Time時間")</f>
        <v>Time時間</v>
      </c>
      <c r="O26" s="11" t="str">
        <f>IFERROR(__xludf.DUMMYFUNCTION("""COMPUTED_VALUE"""),"Car車種")</f>
        <v>Car車種</v>
      </c>
      <c r="P26" s="11" t="str">
        <f>IFERROR(__xludf.DUMMYFUNCTION("""COMPUTED_VALUE"""),"Platform平台")</f>
        <v>Platform平台</v>
      </c>
      <c r="Q26" s="5"/>
      <c r="R26" s="5"/>
      <c r="S26" s="5"/>
      <c r="T26" s="5"/>
      <c r="U26" s="5"/>
      <c r="V26" s="5"/>
      <c r="W26" s="5"/>
      <c r="X26" s="5"/>
      <c r="Y26" s="5"/>
      <c r="Z26" s="5"/>
      <c r="AA26" s="5"/>
      <c r="AB26" s="5"/>
      <c r="AC26" s="5"/>
      <c r="AD26" s="5"/>
      <c r="AE26" s="5"/>
      <c r="AF26" s="5"/>
      <c r="AG26" s="5"/>
      <c r="AH26" s="5"/>
      <c r="AI26" s="5"/>
      <c r="AJ26" s="5"/>
      <c r="AK26" s="5"/>
      <c r="AL26" s="5"/>
    </row>
    <row r="27">
      <c r="A27" s="5"/>
      <c r="B27" s="5"/>
      <c r="C27" s="5"/>
      <c r="D27" s="5"/>
      <c r="E27" s="5"/>
      <c r="F27" s="5"/>
      <c r="G27" s="5"/>
      <c r="H27" s="5"/>
      <c r="I27" s="18" t="str">
        <f>IFERROR(__xludf.DUMMYFUNCTION("""COMPUTED_VALUE"""),"Lolidia")</f>
        <v>Lolidia</v>
      </c>
      <c r="J27" s="18">
        <f>IFERROR(__xludf.DUMMYFUNCTION("""COMPUTED_VALUE"""),0.0022057291666666666)</f>
        <v>0.002205729167</v>
      </c>
      <c r="K27" s="18" t="str">
        <f>IFERROR(__xludf.DUMMYFUNCTION("""COMPUTED_VALUE"""),"Karin 96")</f>
        <v>Karin 96</v>
      </c>
      <c r="L27" s="18" t="str">
        <f>IFERROR(__xludf.DUMMYFUNCTION("""COMPUTED_VALUE"""),"PCVR")</f>
        <v>PCVR</v>
      </c>
      <c r="M27" s="5" t="str">
        <f>IFERROR(__xludf.DUMMYFUNCTION("""COMPUTED_VALUE"""),"#N/A")</f>
        <v>#N/A</v>
      </c>
      <c r="N27" s="5" t="str">
        <f>IFERROR(__xludf.DUMMYFUNCTION("""COMPUTED_VALUE"""),"#N/A")</f>
        <v>#N/A</v>
      </c>
      <c r="O27" s="5" t="str">
        <f>IFERROR(__xludf.DUMMYFUNCTION("""COMPUTED_VALUE"""),"#N/A")</f>
        <v>#N/A</v>
      </c>
      <c r="P27" s="5" t="str">
        <f>IFERROR(__xludf.DUMMYFUNCTION("""COMPUTED_VALUE"""),"#N/A")</f>
        <v>#N/A</v>
      </c>
      <c r="Q27" s="5"/>
      <c r="R27" s="5"/>
      <c r="S27" s="5"/>
      <c r="T27" s="5"/>
      <c r="U27" s="5"/>
      <c r="V27" s="5"/>
      <c r="W27" s="5"/>
      <c r="X27" s="5"/>
      <c r="Y27" s="5"/>
      <c r="Z27" s="5"/>
      <c r="AA27" s="5"/>
      <c r="AB27" s="5"/>
      <c r="AC27" s="5"/>
      <c r="AD27" s="5"/>
      <c r="AE27" s="5"/>
      <c r="AF27" s="5"/>
      <c r="AG27" s="5"/>
      <c r="AH27" s="5"/>
      <c r="AI27" s="5"/>
      <c r="AJ27" s="5"/>
      <c r="AK27" s="5"/>
      <c r="AL27" s="5"/>
    </row>
    <row r="28">
      <c r="A28" s="5"/>
      <c r="B28" s="5"/>
      <c r="C28" s="5"/>
      <c r="D28" s="5"/>
      <c r="E28" s="5"/>
      <c r="F28" s="5"/>
      <c r="G28" s="5"/>
      <c r="H28" s="5"/>
      <c r="I28" s="5" t="str">
        <f>IFERROR(__xludf.DUMMYFUNCTION("""COMPUTED_VALUE"""),"ねぎたま")</f>
        <v>ねぎたま</v>
      </c>
      <c r="J28" s="5">
        <f>IFERROR(__xludf.DUMMYFUNCTION("""COMPUTED_VALUE"""),0.002222199074074074)</f>
        <v>0.002222199074</v>
      </c>
      <c r="K28" s="5" t="str">
        <f>IFERROR(__xludf.DUMMYFUNCTION("""COMPUTED_VALUE"""),"X7 RR")</f>
        <v>X7 RR</v>
      </c>
      <c r="L28" s="5" t="str">
        <f>IFERROR(__xludf.DUMMYFUNCTION("""COMPUTED_VALUE"""),"PCVR")</f>
        <v>PCVR</v>
      </c>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c r="A29" s="5"/>
      <c r="B29" s="5"/>
      <c r="C29" s="5"/>
      <c r="D29" s="5"/>
      <c r="E29" s="5"/>
      <c r="F29" s="5"/>
      <c r="G29" s="5"/>
      <c r="H29" s="5"/>
      <c r="I29" s="5" t="str">
        <f>IFERROR(__xludf.DUMMYFUNCTION("""COMPUTED_VALUE"""),"BannRaven")</f>
        <v>BannRaven</v>
      </c>
      <c r="J29" s="5">
        <f>IFERROR(__xludf.DUMMYFUNCTION("""COMPUTED_VALUE"""),0.002424664351851852)</f>
        <v>0.002424664352</v>
      </c>
      <c r="K29" s="5" t="str">
        <f>IFERROR(__xludf.DUMMYFUNCTION("""COMPUTED_VALUE"""),"Revolution VIII")</f>
        <v>Revolution VIII</v>
      </c>
      <c r="L29" s="5" t="str">
        <f>IFERROR(__xludf.DUMMYFUNCTION("""COMPUTED_VALUE"""),"PCVR")</f>
        <v>PCVR</v>
      </c>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 r="A30" s="5"/>
      <c r="B30" s="5"/>
      <c r="C30" s="5"/>
      <c r="D30" s="5"/>
      <c r="E30" s="5"/>
      <c r="F30" s="5"/>
      <c r="G30" s="5"/>
      <c r="H30" s="5"/>
      <c r="I30" s="5" t="str">
        <f>IFERROR(__xludf.DUMMYFUNCTION("""COMPUTED_VALUE"""),"VRCGPaul")</f>
        <v>VRCGPaul</v>
      </c>
      <c r="J30" s="5">
        <f>IFERROR(__xludf.DUMMYFUNCTION("""COMPUTED_VALUE"""),0.002528541666666667)</f>
        <v>0.002528541667</v>
      </c>
      <c r="K30" s="5" t="str">
        <f>IFERROR(__xludf.DUMMYFUNCTION("""COMPUTED_VALUE"""),"Emrydes")</f>
        <v>Emrydes</v>
      </c>
      <c r="L30" s="5" t="str">
        <f>IFERROR(__xludf.DUMMYFUNCTION("""COMPUTED_VALUE"""),"PCVR")</f>
        <v>PCVR</v>
      </c>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 r="A31" s="5"/>
      <c r="B31" s="5"/>
      <c r="C31" s="5"/>
      <c r="D31" s="5"/>
      <c r="E31" s="5"/>
      <c r="F31" s="5"/>
      <c r="G31" s="5"/>
      <c r="H31" s="5"/>
      <c r="I31" s="5" t="str">
        <f>IFERROR(__xludf.DUMMYFUNCTION("""COMPUTED_VALUE"""),"LinWu_05")</f>
        <v>LinWu_05</v>
      </c>
      <c r="J31" s="5">
        <f>IFERROR(__xludf.DUMMYFUNCTION("""COMPUTED_VALUE"""),0.0029710763888888894)</f>
        <v>0.002971076389</v>
      </c>
      <c r="K31" s="5" t="str">
        <f>IFERROR(__xludf.DUMMYFUNCTION("""COMPUTED_VALUE"""),"NA1 (NSX)")</f>
        <v>NA1 (NSX)</v>
      </c>
      <c r="L31" s="5" t="str">
        <f>IFERROR(__xludf.DUMMYFUNCTION("""COMPUTED_VALUE"""),"PC")</f>
        <v>PC</v>
      </c>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 r="A32" s="21" t="s">
        <v>20</v>
      </c>
      <c r="E32" s="21" t="s">
        <v>21</v>
      </c>
      <c r="I32" s="5" t="str">
        <f>IFERROR(__xludf.DUMMYFUNCTION("""COMPUTED_VALUE"""),"StarRiver Arts")</f>
        <v>StarRiver Arts</v>
      </c>
      <c r="J32" s="5">
        <f>IFERROR(__xludf.DUMMYFUNCTION("""COMPUTED_VALUE"""),0.0031942476851851854)</f>
        <v>0.003194247685</v>
      </c>
      <c r="K32" s="5" t="str">
        <f>IFERROR(__xludf.DUMMYFUNCTION("""COMPUTED_VALUE"""),"Highline TT")</f>
        <v>Highline TT</v>
      </c>
      <c r="L32" s="5" t="str">
        <f>IFERROR(__xludf.DUMMYFUNCTION("""COMPUTED_VALUE"""),"PC")</f>
        <v>PC</v>
      </c>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 r="A33" s="11" t="str">
        <f>IFERROR(__xludf.DUMMYFUNCTION("LET(
  賽道, ""AkinaUN"",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33" s="11" t="str">
        <f>IFERROR(__xludf.DUMMYFUNCTION("""COMPUTED_VALUE"""),"Time時間")</f>
        <v>Time時間</v>
      </c>
      <c r="C33" s="11" t="str">
        <f>IFERROR(__xludf.DUMMYFUNCTION("""COMPUTED_VALUE"""),"Car車種")</f>
        <v>Car車種</v>
      </c>
      <c r="D33" s="11" t="str">
        <f>IFERROR(__xludf.DUMMYFUNCTION("""COMPUTED_VALUE"""),"Platform平台")</f>
        <v>Platform平台</v>
      </c>
      <c r="E33" s="11" t="str">
        <f>IFERROR(__xludf.DUMMYFUNCTION("LET(
  賽道, ""AkinaUN"",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33" s="11" t="str">
        <f>IFERROR(__xludf.DUMMYFUNCTION("""COMPUTED_VALUE"""),"Time時間")</f>
        <v>Time時間</v>
      </c>
      <c r="G33" s="11" t="str">
        <f>IFERROR(__xludf.DUMMYFUNCTION("""COMPUTED_VALUE"""),"Car車種")</f>
        <v>Car車種</v>
      </c>
      <c r="H33" s="11" t="str">
        <f>IFERROR(__xludf.DUMMYFUNCTION("""COMPUTED_VALUE"""),"Platform平台")</f>
        <v>Platform平台</v>
      </c>
      <c r="I33" s="5" t="str">
        <f>IFERROR(__xludf.DUMMYFUNCTION("""COMPUTED_VALUE"""),"Test Driver")</f>
        <v>Test Driver</v>
      </c>
      <c r="J33" s="5">
        <f>IFERROR(__xludf.DUMMYFUNCTION("""COMPUTED_VALUE"""),0.006944444444444444)</f>
        <v>0.006944444444</v>
      </c>
      <c r="K33" s="5" t="str">
        <f>IFERROR(__xludf.DUMMYFUNCTION("""COMPUTED_VALUE"""),"Karin Saikou")</f>
        <v>Karin Saikou</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 r="A34" s="5" t="str">
        <f>IFERROR(__xludf.DUMMYFUNCTION("""COMPUTED_VALUE"""),"Lolidia")</f>
        <v>Lolidia</v>
      </c>
      <c r="B34" s="5">
        <f>IFERROR(__xludf.DUMMYFUNCTION("""COMPUTED_VALUE"""),0.0025432175925925926)</f>
        <v>0.002543217593</v>
      </c>
      <c r="C34" s="5" t="str">
        <f>IFERROR(__xludf.DUMMYFUNCTION("""COMPUTED_VALUE"""),"AE86T")</f>
        <v>AE86T</v>
      </c>
      <c r="D34" s="5" t="str">
        <f>IFERROR(__xludf.DUMMYFUNCTION("""COMPUTED_VALUE"""),"PCVR")</f>
        <v>PCVR</v>
      </c>
      <c r="E34" s="5" t="str">
        <f>IFERROR(__xludf.DUMMYFUNCTION("""COMPUTED_VALUE"""),"Test Driver")</f>
        <v>Test Driver</v>
      </c>
      <c r="F34" s="5">
        <f>IFERROR(__xludf.DUMMYFUNCTION("""COMPUTED_VALUE"""),0.006944444444444444)</f>
        <v>0.006944444444</v>
      </c>
      <c r="G34" s="5" t="str">
        <f>IFERROR(__xludf.DUMMYFUNCTION("""COMPUTED_VALUE"""),"AE86T-V2")</f>
        <v>AE86T-V2</v>
      </c>
      <c r="H34" s="5"/>
      <c r="I34" s="5" t="str">
        <f>IFERROR(__xludf.DUMMYFUNCTION("""COMPUTED_VALUE"""),"Test Driver")</f>
        <v>Test Driver</v>
      </c>
      <c r="J34" s="5">
        <f>IFERROR(__xludf.DUMMYFUNCTION("""COMPUTED_VALUE"""),0.006944444444444444)</f>
        <v>0.006944444444</v>
      </c>
      <c r="K34" s="5" t="str">
        <f>IFERROR(__xludf.DUMMYFUNCTION("""COMPUTED_VALUE"""),"Highline T4")</f>
        <v>Highline T4</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 r="A35" s="5" t="str">
        <f>IFERROR(__xludf.DUMMYFUNCTION("""COMPUTED_VALUE"""),"ikuhopen")</f>
        <v>ikuhopen</v>
      </c>
      <c r="B35" s="5">
        <f>IFERROR(__xludf.DUMMYFUNCTION("""COMPUTED_VALUE"""),0.0025631944444444448)</f>
        <v>0.002563194444</v>
      </c>
      <c r="C35" s="5" t="str">
        <f>IFERROR(__xludf.DUMMYFUNCTION("""COMPUTED_VALUE"""),"GT86/ZN6")</f>
        <v>GT86/ZN6</v>
      </c>
      <c r="D35" s="5" t="str">
        <f>IFERROR(__xludf.DUMMYFUNCTION("""COMPUTED_VALUE"""),"PCVR")</f>
        <v>PCVR</v>
      </c>
      <c r="E35" s="5" t="str">
        <f>IFERROR(__xludf.DUMMYFUNCTION("""COMPUTED_VALUE"""),"Test Driver")</f>
        <v>Test Driver</v>
      </c>
      <c r="F35" s="5">
        <f>IFERROR(__xludf.DUMMYFUNCTION("""COMPUTED_VALUE"""),0.006944444444444444)</f>
        <v>0.006944444444</v>
      </c>
      <c r="G35" s="5" t="str">
        <f>IFERROR(__xludf.DUMMYFUNCTION("""COMPUTED_VALUE"""),"GT86/ZN6")</f>
        <v>GT86/ZN6</v>
      </c>
      <c r="H35" s="5"/>
      <c r="I35" s="5" t="str">
        <f>IFERROR(__xludf.DUMMYFUNCTION("""COMPUTED_VALUE"""),"Test Driver")</f>
        <v>Test Driver</v>
      </c>
      <c r="J35" s="5">
        <f>IFERROR(__xludf.DUMMYFUNCTION("""COMPUTED_VALUE"""),0.006944444444444444)</f>
        <v>0.006944444444</v>
      </c>
      <c r="K35" s="5" t="str">
        <f>IFERROR(__xludf.DUMMYFUNCTION("""COMPUTED_VALUE"""),"N2X (NSX)")</f>
        <v>N2X (NSX)</v>
      </c>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 r="A36" s="5" t="str">
        <f>IFERROR(__xludf.DUMMYFUNCTION("""COMPUTED_VALUE"""),"StarRiver Arts")</f>
        <v>StarRiver Arts</v>
      </c>
      <c r="B36" s="5">
        <f>IFERROR(__xludf.DUMMYFUNCTION("""COMPUTED_VALUE"""),0.0029052893518518516)</f>
        <v>0.002905289352</v>
      </c>
      <c r="C36" s="5" t="str">
        <f>IFERROR(__xludf.DUMMYFUNCTION("""COMPUTED_VALUE"""),"Comfort")</f>
        <v>Comfort</v>
      </c>
      <c r="D36" s="5" t="str">
        <f>IFERROR(__xludf.DUMMYFUNCTION("""COMPUTED_VALUE"""),"PC")</f>
        <v>PC</v>
      </c>
      <c r="E36" s="5" t="str">
        <f>IFERROR(__xludf.DUMMYFUNCTION("""COMPUTED_VALUE"""),"Test Driver")</f>
        <v>Test Driver</v>
      </c>
      <c r="F36" s="5">
        <f>IFERROR(__xludf.DUMMYFUNCTION("""COMPUTED_VALUE"""),0.006944444444444444)</f>
        <v>0.006944444444</v>
      </c>
      <c r="G36" s="5" t="str">
        <f>IFERROR(__xludf.DUMMYFUNCTION("""COMPUTED_VALUE"""),"Comfort")</f>
        <v>Comfort</v>
      </c>
      <c r="H36" s="5"/>
      <c r="I36" s="5" t="str">
        <f>IFERROR(__xludf.DUMMYFUNCTION("""COMPUTED_VALUE"""),"Test Driver")</f>
        <v>Test Driver</v>
      </c>
      <c r="J36" s="5">
        <f>IFERROR(__xludf.DUMMYFUNCTION("""COMPUTED_VALUE"""),0.006944444444444444)</f>
        <v>0.006944444444</v>
      </c>
      <c r="K36" s="5" t="str">
        <f>IFERROR(__xludf.DUMMYFUNCTION("""COMPUTED_VALUE"""),"Highline T2")</f>
        <v>Highline T2</v>
      </c>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 r="A37" s="5" t="str">
        <f>IFERROR(__xludf.DUMMYFUNCTION("""COMPUTED_VALUE"""),"StarRiver Arts")</f>
        <v>StarRiver Arts</v>
      </c>
      <c r="B37" s="5">
        <f>IFERROR(__xludf.DUMMYFUNCTION("""COMPUTED_VALUE"""),0.0031464120370370374)</f>
        <v>0.003146412037</v>
      </c>
      <c r="C37" s="5" t="str">
        <f>IFERROR(__xludf.DUMMYFUNCTION("""COMPUTED_VALUE"""),"Benz S203")</f>
        <v>Benz S203</v>
      </c>
      <c r="D37" s="5" t="str">
        <f>IFERROR(__xludf.DUMMYFUNCTION("""COMPUTED_VALUE"""),"PC")</f>
        <v>PC</v>
      </c>
      <c r="E37" s="5" t="str">
        <f>IFERROR(__xludf.DUMMYFUNCTION("""COMPUTED_VALUE"""),"Test Driver")</f>
        <v>Test Driver</v>
      </c>
      <c r="F37" s="5">
        <f>IFERROR(__xludf.DUMMYFUNCTION("""COMPUTED_VALUE"""),0.006944444444444444)</f>
        <v>0.006944444444</v>
      </c>
      <c r="G37" s="5" t="str">
        <f>IFERROR(__xludf.DUMMYFUNCTION("""COMPUTED_VALUE"""),"Benz S203")</f>
        <v>Benz S203</v>
      </c>
      <c r="H37" s="5"/>
      <c r="I37" s="5" t="str">
        <f>IFERROR(__xludf.DUMMYFUNCTION("""COMPUTED_VALUE"""),"Test Driver")</f>
        <v>Test Driver</v>
      </c>
      <c r="J37" s="5">
        <f>IFERROR(__xludf.DUMMYFUNCTION("""COMPUTED_VALUE"""),0.006944444444444444)</f>
        <v>0.006944444444</v>
      </c>
      <c r="K37" s="5" t="str">
        <f>IFERROR(__xludf.DUMMYFUNCTION("""COMPUTED_VALUE"""),"Karin Saikou KRD")</f>
        <v>Karin Saikou KRD</v>
      </c>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 r="A38" s="5" t="str">
        <f>IFERROR(__xludf.DUMMYFUNCTION("""COMPUTED_VALUE"""),"ZihChin")</f>
        <v>ZihChin</v>
      </c>
      <c r="B38" s="5">
        <f>IFERROR(__xludf.DUMMYFUNCTION("""COMPUTED_VALUE"""),0.003164930555555556)</f>
        <v>0.003164930556</v>
      </c>
      <c r="C38" s="5" t="str">
        <f>IFERROR(__xludf.DUMMYFUNCTION("""COMPUTED_VALUE"""),"HCR32")</f>
        <v>HCR32</v>
      </c>
      <c r="D38" s="5" t="str">
        <f>IFERROR(__xludf.DUMMYFUNCTION("""COMPUTED_VALUE"""),"PC")</f>
        <v>PC</v>
      </c>
      <c r="E38" s="5" t="str">
        <f>IFERROR(__xludf.DUMMYFUNCTION("""COMPUTED_VALUE"""),"Test Driver")</f>
        <v>Test Driver</v>
      </c>
      <c r="F38" s="5">
        <f>IFERROR(__xludf.DUMMYFUNCTION("""COMPUTED_VALUE"""),0.006944444444444444)</f>
        <v>0.006944444444</v>
      </c>
      <c r="G38" s="5" t="str">
        <f>IFERROR(__xludf.DUMMYFUNCTION("""COMPUTED_VALUE"""),"HCR32")</f>
        <v>HCR32</v>
      </c>
      <c r="H38" s="5"/>
      <c r="I38" s="5" t="str">
        <f>IFERROR(__xludf.DUMMYFUNCTION("""COMPUTED_VALUE"""),"Test Driver")</f>
        <v>Test Driver</v>
      </c>
      <c r="J38" s="5">
        <f>IFERROR(__xludf.DUMMYFUNCTION("""COMPUTED_VALUE"""),0.006944444444444444)</f>
        <v>0.006944444444</v>
      </c>
      <c r="K38" s="5" t="str">
        <f>IFERROR(__xludf.DUMMYFUNCTION("""COMPUTED_VALUE"""),"Kanjo9")</f>
        <v>Kanjo9</v>
      </c>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 r="A39" s="5" t="str">
        <f>IFERROR(__xludf.DUMMYFUNCTION("""COMPUTED_VALUE"""),"Test Driver")</f>
        <v>Test Driver</v>
      </c>
      <c r="B39" s="5">
        <f>IFERROR(__xludf.DUMMYFUNCTION("""COMPUTED_VALUE"""),0.006944444444444444)</f>
        <v>0.006944444444</v>
      </c>
      <c r="C39" s="5" t="str">
        <f>IFERROR(__xludf.DUMMYFUNCTION("""COMPUTED_VALUE"""),"2000GT")</f>
        <v>2000GT</v>
      </c>
      <c r="D39" s="5"/>
      <c r="E39" s="5" t="str">
        <f>IFERROR(__xludf.DUMMYFUNCTION("""COMPUTED_VALUE"""),"Test Driver")</f>
        <v>Test Driver</v>
      </c>
      <c r="F39" s="5">
        <f>IFERROR(__xludf.DUMMYFUNCTION("""COMPUTED_VALUE"""),0.006944444444444444)</f>
        <v>0.006944444444</v>
      </c>
      <c r="G39" s="5" t="str">
        <f>IFERROR(__xludf.DUMMYFUNCTION("""COMPUTED_VALUE"""),"2000GT")</f>
        <v>2000GT</v>
      </c>
      <c r="H39" s="5"/>
      <c r="I39" s="5" t="str">
        <f>IFERROR(__xludf.DUMMYFUNCTION("""COMPUTED_VALUE"""),"Test Driver")</f>
        <v>Test Driver</v>
      </c>
      <c r="J39" s="5">
        <f>IFERROR(__xludf.DUMMYFUNCTION("""COMPUTED_VALUE"""),0.006944444444444444)</f>
        <v>0.006944444444</v>
      </c>
      <c r="K39" s="5" t="str">
        <f>IFERROR(__xludf.DUMMYFUNCTION("""COMPUTED_VALUE"""),"280xs(380SX)")</f>
        <v>280xs(380SX)</v>
      </c>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 r="A40" s="5" t="str">
        <f>IFERROR(__xludf.DUMMYFUNCTION("""COMPUTED_VALUE"""),"Test Driver")</f>
        <v>Test Driver</v>
      </c>
      <c r="B40" s="5">
        <f>IFERROR(__xludf.DUMMYFUNCTION("""COMPUTED_VALUE"""),0.006944444444444444)</f>
        <v>0.006944444444</v>
      </c>
      <c r="C40" s="5" t="str">
        <f>IFERROR(__xludf.DUMMYFUNCTION("""COMPUTED_VALUE"""),"NSX")</f>
        <v>NSX</v>
      </c>
      <c r="D40" s="5"/>
      <c r="E40" s="5" t="str">
        <f>IFERROR(__xludf.DUMMYFUNCTION("""COMPUTED_VALUE"""),"Test Driver")</f>
        <v>Test Driver</v>
      </c>
      <c r="F40" s="5">
        <f>IFERROR(__xludf.DUMMYFUNCTION("""COMPUTED_VALUE"""),0.006944444444444444)</f>
        <v>0.006944444444</v>
      </c>
      <c r="G40" s="5" t="str">
        <f>IFERROR(__xludf.DUMMYFUNCTION("""COMPUTED_VALUE"""),"NSX")</f>
        <v>NSX</v>
      </c>
      <c r="H40" s="5"/>
      <c r="I40" s="5" t="str">
        <f>IFERROR(__xludf.DUMMYFUNCTION("""COMPUTED_VALUE"""),"Test Driver")</f>
        <v>Test Driver</v>
      </c>
      <c r="J40" s="5">
        <f>IFERROR(__xludf.DUMMYFUNCTION("""COMPUTED_VALUE"""),0.006944444444444444)</f>
        <v>0.006944444444</v>
      </c>
      <c r="K40" s="5" t="str">
        <f>IFERROR(__xludf.DUMMYFUNCTION("""COMPUTED_VALUE"""),"Highline XL")</f>
        <v>Highline XL</v>
      </c>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 r="A41" s="5" t="str">
        <f>IFERROR(__xludf.DUMMYFUNCTION("""COMPUTED_VALUE"""),"Test Driver")</f>
        <v>Test Driver</v>
      </c>
      <c r="B41" s="5">
        <f>IFERROR(__xludf.DUMMYFUNCTION("""COMPUTED_VALUE"""),0.006944444444444444)</f>
        <v>0.006944444444</v>
      </c>
      <c r="C41" s="5" t="str">
        <f>IFERROR(__xludf.DUMMYFUNCTION("""COMPUTED_VALUE"""),"Copen")</f>
        <v>Copen</v>
      </c>
      <c r="D41" s="5"/>
      <c r="E41" s="5" t="str">
        <f>IFERROR(__xludf.DUMMYFUNCTION("""COMPUTED_VALUE"""),"Test Driver")</f>
        <v>Test Driver</v>
      </c>
      <c r="F41" s="5">
        <f>IFERROR(__xludf.DUMMYFUNCTION("""COMPUTED_VALUE"""),0.006944444444444444)</f>
        <v>0.006944444444</v>
      </c>
      <c r="G41" s="5" t="str">
        <f>IFERROR(__xludf.DUMMYFUNCTION("""COMPUTED_VALUE"""),"Copen")</f>
        <v>Copen</v>
      </c>
      <c r="H41" s="5"/>
      <c r="I41" s="5" t="str">
        <f>IFERROR(__xludf.DUMMYFUNCTION("""COMPUTED_VALUE"""),"MrValentine")</f>
        <v>MrValentine</v>
      </c>
      <c r="J41" s="5">
        <f>IFERROR(__xludf.DUMMYFUNCTION("""COMPUTED_VALUE"""),0.0078115393518518525)</f>
        <v>0.007811539352</v>
      </c>
      <c r="K41" s="5" t="str">
        <f>IFERROR(__xludf.DUMMYFUNCTION("""COMPUTED_VALUE"""),"Comet Custom")</f>
        <v>Comet Custom</v>
      </c>
      <c r="L41" s="5" t="str">
        <f>IFERROR(__xludf.DUMMYFUNCTION("""COMPUTED_VALUE"""),"PC")</f>
        <v>PC</v>
      </c>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 r="A43" s="24" t="s">
        <v>25</v>
      </c>
      <c r="E43" s="24" t="s">
        <v>26</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 r="A44" s="11" t="str">
        <f>IFERROR(__xludf.DUMMYFUNCTION("LET(
  賽道, ""Myogi (ASV)"",
  路線, ""DH"",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B44" s="11" t="str">
        <f>IFERROR(__xludf.DUMMYFUNCTION("""COMPUTED_VALUE"""),"Time時間")</f>
        <v>Time時間</v>
      </c>
      <c r="C44" s="11" t="str">
        <f>IFERROR(__xludf.DUMMYFUNCTION("""COMPUTED_VALUE"""),"Car車種")</f>
        <v>Car車種</v>
      </c>
      <c r="D44" s="11" t="str">
        <f>IFERROR(__xludf.DUMMYFUNCTION("""COMPUTED_VALUE"""),"Platform平台")</f>
        <v>Platform平台</v>
      </c>
      <c r="E44" s="11" t="str">
        <f>IFERROR(__xludf.DUMMYFUNCTION("LET(
  賽道, ""Myogi (ASV)"",
  路線, ""UH"",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F44" s="11" t="str">
        <f>IFERROR(__xludf.DUMMYFUNCTION("""COMPUTED_VALUE"""),"Time時間")</f>
        <v>Time時間</v>
      </c>
      <c r="G44" s="11" t="str">
        <f>IFERROR(__xludf.DUMMYFUNCTION("""COMPUTED_VALUE"""),"Car車種")</f>
        <v>Car車種</v>
      </c>
      <c r="H44" s="11" t="str">
        <f>IFERROR(__xludf.DUMMYFUNCTION("""COMPUTED_VALUE"""),"Platform平台")</f>
        <v>Platform平台</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 r="A45" s="5" t="str">
        <f>IFERROR(__xludf.DUMMYFUNCTION("""COMPUTED_VALUE"""),"Lolidia")</f>
        <v>Lolidia</v>
      </c>
      <c r="B45" s="5">
        <f>IFERROR(__xludf.DUMMYFUNCTION("""COMPUTED_VALUE"""),0.002172326388888889)</f>
        <v>0.002172326389</v>
      </c>
      <c r="C45" s="5" t="str">
        <f>IFERROR(__xludf.DUMMYFUNCTION("""COMPUTED_VALUE"""),"BNR32")</f>
        <v>BNR32</v>
      </c>
      <c r="D45" s="5" t="str">
        <f>IFERROR(__xludf.DUMMYFUNCTION("""COMPUTED_VALUE"""),"PCVR")</f>
        <v>PCVR</v>
      </c>
      <c r="E45" s="5" t="str">
        <f>IFERROR(__xludf.DUMMYFUNCTION("""COMPUTED_VALUE"""),"StarRiver Arts")</f>
        <v>StarRiver Arts</v>
      </c>
      <c r="F45" s="5">
        <f>IFERROR(__xludf.DUMMYFUNCTION("""COMPUTED_VALUE"""),0.002464525462962963)</f>
        <v>0.002464525463</v>
      </c>
      <c r="G45" s="5" t="str">
        <f>IFERROR(__xludf.DUMMYFUNCTION("""COMPUTED_VALUE"""),"EVOVII/CT9A")</f>
        <v>EVOVII/CT9A</v>
      </c>
      <c r="H45" s="5" t="str">
        <f>IFERROR(__xludf.DUMMYFUNCTION("""COMPUTED_VALUE"""),"PC")</f>
        <v>PC</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 r="A46" s="5" t="str">
        <f>IFERROR(__xludf.DUMMYFUNCTION("""COMPUTED_VALUE"""),"~Antidote~")</f>
        <v>~Antidote~</v>
      </c>
      <c r="B46" s="5">
        <f>IFERROR(__xludf.DUMMYFUNCTION("""COMPUTED_VALUE"""),0.002233321759259259)</f>
        <v>0.002233321759</v>
      </c>
      <c r="C46" s="5" t="str">
        <f>IFERROR(__xludf.DUMMYFUNCTION("""COMPUTED_VALUE"""),"EVOVII/CT9A")</f>
        <v>EVOVII/CT9A</v>
      </c>
      <c r="D46" s="5" t="str">
        <f>IFERROR(__xludf.DUMMYFUNCTION("""COMPUTED_VALUE"""),"PCVR")</f>
        <v>PCVR</v>
      </c>
      <c r="E46" s="5" t="str">
        <f>IFERROR(__xludf.DUMMYFUNCTION("""COMPUTED_VALUE"""),"LinWu_05")</f>
        <v>LinWu_05</v>
      </c>
      <c r="F46" s="5">
        <f>IFERROR(__xludf.DUMMYFUNCTION("""COMPUTED_VALUE"""),0.0024857407407407406)</f>
        <v>0.002485740741</v>
      </c>
      <c r="G46" s="5" t="str">
        <f>IFERROR(__xludf.DUMMYFUNCTION("""COMPUTED_VALUE"""),"380SX")</f>
        <v>380SX</v>
      </c>
      <c r="H46" s="5" t="str">
        <f>IFERROR(__xludf.DUMMYFUNCTION("""COMPUTED_VALUE"""),"PC")</f>
        <v>PC</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 r="A47" s="5" t="str">
        <f>IFERROR(__xludf.DUMMYFUNCTION("""COMPUTED_VALUE"""),"Yune")</f>
        <v>Yune</v>
      </c>
      <c r="B47" s="5">
        <f>IFERROR(__xludf.DUMMYFUNCTION("""COMPUTED_VALUE"""),0.002247222222222222)</f>
        <v>0.002247222222</v>
      </c>
      <c r="C47" s="5" t="str">
        <f>IFERROR(__xludf.DUMMYFUNCTION("""COMPUTED_VALUE"""),"SilEighty")</f>
        <v>SilEighty</v>
      </c>
      <c r="D47" s="5" t="str">
        <f>IFERROR(__xludf.DUMMYFUNCTION("""COMPUTED_VALUE"""),"PC")</f>
        <v>PC</v>
      </c>
      <c r="E47" s="5" t="str">
        <f>IFERROR(__xludf.DUMMYFUNCTION("""COMPUTED_VALUE"""),"Test Driver")</f>
        <v>Test Driver</v>
      </c>
      <c r="F47" s="5">
        <f>IFERROR(__xludf.DUMMYFUNCTION("""COMPUTED_VALUE"""),0.006944444444444444)</f>
        <v>0.006944444444</v>
      </c>
      <c r="G47" s="5" t="str">
        <f>IFERROR(__xludf.DUMMYFUNCTION("""COMPUTED_VALUE"""),"BNR32")</f>
        <v>BNR32</v>
      </c>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 r="A48" s="5" t="str">
        <f>IFERROR(__xludf.DUMMYFUNCTION("""COMPUTED_VALUE"""),"Kinokono_Tenka")</f>
        <v>Kinokono_Tenka</v>
      </c>
      <c r="B48" s="5">
        <f>IFERROR(__xludf.DUMMYFUNCTION("""COMPUTED_VALUE"""),0.0022519675925925923)</f>
        <v>0.002251967593</v>
      </c>
      <c r="C48" s="5" t="str">
        <f>IFERROR(__xludf.DUMMYFUNCTION("""COMPUTED_VALUE"""),"EG6 (civic)")</f>
        <v>EG6 (civic)</v>
      </c>
      <c r="D48" s="5" t="str">
        <f>IFERROR(__xludf.DUMMYFUNCTION("""COMPUTED_VALUE"""),"PCVR")</f>
        <v>PCVR</v>
      </c>
      <c r="E48" s="5" t="str">
        <f>IFERROR(__xludf.DUMMYFUNCTION("""COMPUTED_VALUE"""),"Test Driver")</f>
        <v>Test Driver</v>
      </c>
      <c r="F48" s="5">
        <f>IFERROR(__xludf.DUMMYFUNCTION("""COMPUTED_VALUE"""),0.006944444444444444)</f>
        <v>0.006944444444</v>
      </c>
      <c r="G48" s="5" t="str">
        <f>IFERROR(__xludf.DUMMYFUNCTION("""COMPUTED_VALUE"""),"EG6 (civic)")</f>
        <v>EG6 (civic)</v>
      </c>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 r="A49" s="5" t="str">
        <f>IFERROR(__xludf.DUMMYFUNCTION("""COMPUTED_VALUE"""),"Yune")</f>
        <v>Yune</v>
      </c>
      <c r="B49" s="5">
        <f>IFERROR(__xludf.DUMMYFUNCTION("""COMPUTED_VALUE"""),0.002291863425925926)</f>
        <v>0.002291863426</v>
      </c>
      <c r="C49" s="5" t="str">
        <f>IFERROR(__xludf.DUMMYFUNCTION("""COMPUTED_VALUE"""),"FD3S (RX7)")</f>
        <v>FD3S (RX7)</v>
      </c>
      <c r="D49" s="5" t="str">
        <f>IFERROR(__xludf.DUMMYFUNCTION("""COMPUTED_VALUE"""),"PC")</f>
        <v>PC</v>
      </c>
      <c r="E49" s="5" t="str">
        <f>IFERROR(__xludf.DUMMYFUNCTION("""COMPUTED_VALUE"""),"Test Driver")</f>
        <v>Test Driver</v>
      </c>
      <c r="F49" s="5">
        <f>IFERROR(__xludf.DUMMYFUNCTION("""COMPUTED_VALUE"""),0.006944444444444444)</f>
        <v>0.006944444444</v>
      </c>
      <c r="G49" s="5" t="str">
        <f>IFERROR(__xludf.DUMMYFUNCTION("""COMPUTED_VALUE"""),"SilEighty")</f>
        <v>SilEighty</v>
      </c>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 r="A50" s="5" t="str">
        <f>IFERROR(__xludf.DUMMYFUNCTION("""COMPUTED_VALUE"""),"ikuhopen")</f>
        <v>ikuhopen</v>
      </c>
      <c r="B50" s="5">
        <f>IFERROR(__xludf.DUMMYFUNCTION("""COMPUTED_VALUE"""),0.0022929050925925925)</f>
        <v>0.002292905093</v>
      </c>
      <c r="C50" s="5" t="str">
        <f>IFERROR(__xludf.DUMMYFUNCTION("""COMPUTED_VALUE"""),"S14Q")</f>
        <v>S14Q</v>
      </c>
      <c r="D50" s="5" t="str">
        <f>IFERROR(__xludf.DUMMYFUNCTION("""COMPUTED_VALUE"""),"PC")</f>
        <v>PC</v>
      </c>
      <c r="E50" s="5" t="str">
        <f>IFERROR(__xludf.DUMMYFUNCTION("""COMPUTED_VALUE"""),"Test Driver")</f>
        <v>Test Driver</v>
      </c>
      <c r="F50" s="5">
        <f>IFERROR(__xludf.DUMMYFUNCTION("""COMPUTED_VALUE"""),0.006944444444444444)</f>
        <v>0.006944444444</v>
      </c>
      <c r="G50" s="5" t="str">
        <f>IFERROR(__xludf.DUMMYFUNCTION("""COMPUTED_VALUE"""),"FD3S (RX7)")</f>
        <v>FD3S (RX7)</v>
      </c>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 r="A51" s="5" t="str">
        <f>IFERROR(__xludf.DUMMYFUNCTION("""COMPUTED_VALUE"""),"LinWu_05")</f>
        <v>LinWu_05</v>
      </c>
      <c r="B51" s="5">
        <f>IFERROR(__xludf.DUMMYFUNCTION("""COMPUTED_VALUE"""),0.0023516666666666664)</f>
        <v>0.002351666667</v>
      </c>
      <c r="C51" s="5" t="str">
        <f>IFERROR(__xludf.DUMMYFUNCTION("""COMPUTED_VALUE"""),"380SX")</f>
        <v>380SX</v>
      </c>
      <c r="D51" s="5" t="str">
        <f>IFERROR(__xludf.DUMMYFUNCTION("""COMPUTED_VALUE"""),"PC")</f>
        <v>PC</v>
      </c>
      <c r="E51" s="5" t="str">
        <f>IFERROR(__xludf.DUMMYFUNCTION("""COMPUTED_VALUE"""),"Test Driver")</f>
        <v>Test Driver</v>
      </c>
      <c r="F51" s="5">
        <f>IFERROR(__xludf.DUMMYFUNCTION("""COMPUTED_VALUE"""),0.006944444444444444)</f>
        <v>0.006944444444</v>
      </c>
      <c r="G51" s="5" t="str">
        <f>IFERROR(__xludf.DUMMYFUNCTION("""COMPUTED_VALUE"""),"S14Q")</f>
        <v>S14Q</v>
      </c>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 r="A52" s="5" t="str">
        <f>IFERROR(__xludf.DUMMYFUNCTION("""COMPUTED_VALUE"""),"Yuanji Deca")</f>
        <v>Yuanji Deca</v>
      </c>
      <c r="B52" s="5">
        <f>IFERROR(__xludf.DUMMYFUNCTION("""COMPUTED_VALUE"""),0.0024362615740740738)</f>
        <v>0.002436261574</v>
      </c>
      <c r="C52" s="5" t="str">
        <f>IFERROR(__xludf.DUMMYFUNCTION("""COMPUTED_VALUE"""),"EVOIV/CN9A")</f>
        <v>EVOIV/CN9A</v>
      </c>
      <c r="D52" s="5" t="str">
        <f>IFERROR(__xludf.DUMMYFUNCTION("""COMPUTED_VALUE"""),"PC")</f>
        <v>PC</v>
      </c>
      <c r="E52" s="5" t="str">
        <f>IFERROR(__xludf.DUMMYFUNCTION("""COMPUTED_VALUE"""),"Test Driver")</f>
        <v>Test Driver</v>
      </c>
      <c r="F52" s="5">
        <f>IFERROR(__xludf.DUMMYFUNCTION("""COMPUTED_VALUE"""),0.006944444444444444)</f>
        <v>0.006944444444</v>
      </c>
      <c r="G52" s="5" t="str">
        <f>IFERROR(__xludf.DUMMYFUNCTION("""COMPUTED_VALUE"""),"EVOIV/CN9A")</f>
        <v>EVOIV/CN9A</v>
      </c>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 r="A53" s="5" t="str">
        <f>IFERROR(__xludf.DUMMYFUNCTION("""COMPUTED_VALUE"""),"Yuanji Deca")</f>
        <v>Yuanji Deca</v>
      </c>
      <c r="B53" s="5">
        <f>IFERROR(__xludf.DUMMYFUNCTION("""COMPUTED_VALUE"""),0.0030103009259259254)</f>
        <v>0.003010300926</v>
      </c>
      <c r="C53" s="5" t="str">
        <f>IFERROR(__xludf.DUMMYFUNCTION("""COMPUTED_VALUE"""),"RPS13 (180SX)")</f>
        <v>RPS13 (180SX)</v>
      </c>
      <c r="D53" s="5" t="str">
        <f>IFERROR(__xludf.DUMMYFUNCTION("""COMPUTED_VALUE"""),"PC")</f>
        <v>PC</v>
      </c>
      <c r="E53" s="5" t="str">
        <f>IFERROR(__xludf.DUMMYFUNCTION("""COMPUTED_VALUE"""),"Test Driver")</f>
        <v>Test Driver</v>
      </c>
      <c r="F53" s="5">
        <f>IFERROR(__xludf.DUMMYFUNCTION("""COMPUTED_VALUE"""),0.006944444444444444)</f>
        <v>0.006944444444</v>
      </c>
      <c r="G53" s="5" t="str">
        <f>IFERROR(__xludf.DUMMYFUNCTION("""COMPUTED_VALUE"""),"RPS13 (180SX)")</f>
        <v>RPS13 (180SX)</v>
      </c>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 r="A56" s="5"/>
      <c r="B56" s="5"/>
      <c r="C56" s="5"/>
      <c r="D56" s="5"/>
      <c r="E56" s="5"/>
      <c r="F56" s="5"/>
      <c r="G56" s="5"/>
      <c r="H56" s="5"/>
      <c r="I56" s="5"/>
      <c r="J56" s="5"/>
      <c r="K56" s="5"/>
      <c r="L56" s="5"/>
      <c r="M56" s="5"/>
      <c r="N56" s="5"/>
      <c r="O56" s="5"/>
      <c r="P56" s="5"/>
      <c r="Q56" s="5"/>
      <c r="Y56" s="5"/>
      <c r="Z56" s="5"/>
      <c r="AA56" s="5"/>
      <c r="AB56" s="5"/>
      <c r="AC56" s="5"/>
      <c r="AD56" s="5"/>
      <c r="AE56" s="5"/>
      <c r="AF56" s="5"/>
      <c r="AG56" s="5"/>
      <c r="AH56" s="5"/>
      <c r="AI56" s="5"/>
      <c r="AJ56" s="5"/>
      <c r="AK56" s="5"/>
      <c r="AL56" s="5"/>
    </row>
    <row r="57">
      <c r="A57" s="5"/>
      <c r="B57" s="5"/>
      <c r="C57" s="5"/>
      <c r="D57" s="5"/>
      <c r="E57" s="5"/>
      <c r="F57" s="5"/>
      <c r="G57" s="5"/>
      <c r="H57" s="5"/>
      <c r="I57" s="25" t="s">
        <v>27</v>
      </c>
      <c r="Q57" s="30" t="s">
        <v>37</v>
      </c>
      <c r="Y57" s="5"/>
      <c r="Z57" s="5"/>
      <c r="AA57" s="5"/>
      <c r="AB57" s="5"/>
      <c r="AC57" s="5"/>
      <c r="AD57" s="5"/>
      <c r="AE57" s="5"/>
      <c r="AF57" s="5"/>
      <c r="AG57" s="5"/>
      <c r="AH57" s="5"/>
      <c r="AI57" s="5"/>
      <c r="AJ57" s="5"/>
      <c r="AK57" s="5"/>
      <c r="AL57" s="5"/>
    </row>
    <row r="58">
      <c r="A58" s="5"/>
      <c r="B58" s="5"/>
      <c r="C58" s="5"/>
      <c r="D58" s="5"/>
      <c r="E58" s="5"/>
      <c r="F58" s="5"/>
      <c r="G58" s="5"/>
      <c r="H58" s="5"/>
      <c r="I58" s="22" t="s">
        <v>28</v>
      </c>
      <c r="M58" s="22" t="s">
        <v>29</v>
      </c>
      <c r="Q58" s="32" t="s">
        <v>41</v>
      </c>
      <c r="U58" s="5"/>
      <c r="V58" s="5"/>
      <c r="W58" s="5"/>
      <c r="X58" s="5"/>
      <c r="Y58" s="5"/>
      <c r="Z58" s="5"/>
      <c r="AA58" s="5"/>
      <c r="AB58" s="5"/>
      <c r="AC58" s="5"/>
      <c r="AD58" s="5"/>
      <c r="AE58" s="5"/>
      <c r="AF58" s="5"/>
      <c r="AG58" s="5"/>
      <c r="AH58" s="5"/>
      <c r="AI58" s="5"/>
      <c r="AJ58" s="5"/>
      <c r="AK58" s="5"/>
      <c r="AL58" s="5"/>
    </row>
    <row r="59">
      <c r="A59" s="5"/>
      <c r="B59" s="5"/>
      <c r="C59" s="5"/>
      <c r="D59" s="5"/>
      <c r="E59" s="5"/>
      <c r="F59" s="5"/>
      <c r="G59" s="5"/>
      <c r="H59" s="5"/>
      <c r="I59" s="11" t="str">
        <f>IFERROR(__xludf.DUMMYFUNCTION("LET(
  賽道, ""Silverstone"",
  路線, """",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J59" s="11" t="str">
        <f>IFERROR(__xludf.DUMMYFUNCTION("""COMPUTED_VALUE"""),"Time時間")</f>
        <v>Time時間</v>
      </c>
      <c r="K59" s="11" t="str">
        <f>IFERROR(__xludf.DUMMYFUNCTION("""COMPUTED_VALUE"""),"Car車種")</f>
        <v>Car車種</v>
      </c>
      <c r="L59" s="11" t="str">
        <f>IFERROR(__xludf.DUMMYFUNCTION("""COMPUTED_VALUE"""),"Platform平台")</f>
        <v>Platform平台</v>
      </c>
      <c r="M59" s="11" t="str">
        <f>IFERROR(__xludf.DUMMYFUNCTION("LET(
  賽道, ""LasVegas"",
  路線, """",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N59" s="11" t="str">
        <f>IFERROR(__xludf.DUMMYFUNCTION("""COMPUTED_VALUE"""),"Time時間")</f>
        <v>Time時間</v>
      </c>
      <c r="O59" s="11" t="str">
        <f>IFERROR(__xludf.DUMMYFUNCTION("""COMPUTED_VALUE"""),"Car車種")</f>
        <v>Car車種</v>
      </c>
      <c r="P59" s="11" t="str">
        <f>IFERROR(__xludf.DUMMYFUNCTION("""COMPUTED_VALUE"""),"Platform平台")</f>
        <v>Platform平台</v>
      </c>
      <c r="Q59" s="11" t="str">
        <f>IFERROR(__xludf.DUMMYFUNCTION("LET(
  賽道, ""UsuiDAA"",
  路線, ""CC"",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R59" s="11" t="str">
        <f>IFERROR(__xludf.DUMMYFUNCTION("""COMPUTED_VALUE"""),"Time時間")</f>
        <v>Time時間</v>
      </c>
      <c r="S59" s="11" t="str">
        <f>IFERROR(__xludf.DUMMYFUNCTION("""COMPUTED_VALUE"""),"Car車種")</f>
        <v>Car車種</v>
      </c>
      <c r="T59" s="11" t="str">
        <f>IFERROR(__xludf.DUMMYFUNCTION("""COMPUTED_VALUE"""),"Platform平台")</f>
        <v>Platform平台</v>
      </c>
      <c r="U59" s="5"/>
      <c r="V59" s="5"/>
      <c r="W59" s="5"/>
      <c r="X59" s="5"/>
      <c r="Y59" s="5"/>
      <c r="Z59" s="5"/>
      <c r="AA59" s="5"/>
      <c r="AB59" s="5"/>
      <c r="AC59" s="5"/>
      <c r="AD59" s="5"/>
      <c r="AE59" s="5"/>
      <c r="AF59" s="5"/>
      <c r="AG59" s="5"/>
      <c r="AH59" s="5"/>
      <c r="AI59" s="5"/>
      <c r="AJ59" s="5"/>
      <c r="AK59" s="5"/>
      <c r="AL59" s="5"/>
    </row>
    <row r="60">
      <c r="A60" s="5"/>
      <c r="B60" s="5"/>
      <c r="C60" s="5"/>
      <c r="D60" s="5"/>
      <c r="E60" s="5"/>
      <c r="F60" s="5"/>
      <c r="G60" s="5"/>
      <c r="H60" s="5"/>
      <c r="I60" s="5" t="str">
        <f>IFERROR(__xludf.DUMMYFUNCTION("""COMPUTED_VALUE"""),"BannRaven")</f>
        <v>BannRaven</v>
      </c>
      <c r="J60" s="5">
        <f>IFERROR(__xludf.DUMMYFUNCTION("""COMPUTED_VALUE"""),8.630787037037036E-4)</f>
        <v>0.0008630787037</v>
      </c>
      <c r="K60" s="5" t="str">
        <f>IFERROR(__xludf.DUMMYFUNCTION("""COMPUTED_VALUE"""),"rb21(RedBull)")</f>
        <v>rb21(RedBull)</v>
      </c>
      <c r="L60" s="5" t="str">
        <f>IFERROR(__xludf.DUMMYFUNCTION("""COMPUTED_VALUE"""),"PCVR")</f>
        <v>PCVR</v>
      </c>
      <c r="M60" s="5" t="str">
        <f>IFERROR(__xludf.DUMMYFUNCTION("""COMPUTED_VALUE"""),"VRCGPaul")</f>
        <v>VRCGPaul</v>
      </c>
      <c r="N60" s="5">
        <f>IFERROR(__xludf.DUMMYFUNCTION("""COMPUTED_VALUE"""),0.0010448842592592593)</f>
        <v>0.001044884259</v>
      </c>
      <c r="O60" s="5" t="str">
        <f>IFERROR(__xludf.DUMMYFUNCTION("""COMPUTED_VALUE"""),"mcl39(McLaren)")</f>
        <v>mcl39(McLaren)</v>
      </c>
      <c r="P60" s="5" t="str">
        <f>IFERROR(__xludf.DUMMYFUNCTION("""COMPUTED_VALUE"""),"PCVR")</f>
        <v>PCVR</v>
      </c>
      <c r="Q60" s="5" t="str">
        <f>IFERROR(__xludf.DUMMYFUNCTION("""COMPUTED_VALUE"""),"ねぎたま")</f>
        <v>ねぎたま</v>
      </c>
      <c r="R60" s="5">
        <f>IFERROR(__xludf.DUMMYFUNCTION("""COMPUTED_VALUE"""),0.0012375578703703704)</f>
        <v>0.00123755787</v>
      </c>
      <c r="S60" s="5" t="str">
        <f>IFERROR(__xludf.DUMMYFUNCTION("""COMPUTED_VALUE"""),"R34")</f>
        <v>R34</v>
      </c>
      <c r="T60" s="5" t="str">
        <f>IFERROR(__xludf.DUMMYFUNCTION("""COMPUTED_VALUE"""),"PCVR")</f>
        <v>PCVR</v>
      </c>
      <c r="U60" s="5"/>
      <c r="V60" s="5"/>
      <c r="W60" s="5"/>
      <c r="X60" s="5"/>
      <c r="Y60" s="5"/>
      <c r="Z60" s="5"/>
      <c r="AA60" s="5"/>
      <c r="AB60" s="5"/>
      <c r="AC60" s="5"/>
      <c r="AD60" s="5"/>
      <c r="AE60" s="5"/>
      <c r="AF60" s="5"/>
      <c r="AG60" s="5"/>
      <c r="AH60" s="5"/>
      <c r="AI60" s="5"/>
      <c r="AJ60" s="5"/>
      <c r="AK60" s="5"/>
      <c r="AL60" s="5"/>
    </row>
    <row r="61">
      <c r="A61" s="26" t="s">
        <v>30</v>
      </c>
      <c r="E61" s="5"/>
      <c r="F61" s="5"/>
      <c r="G61" s="5"/>
      <c r="H61" s="5"/>
      <c r="I61" s="5" t="str">
        <f>IFERROR(__xludf.DUMMYFUNCTION("""COMPUTED_VALUE"""),"羽沫嫇夏")</f>
        <v>羽沫嫇夏</v>
      </c>
      <c r="J61" s="5">
        <f>IFERROR(__xludf.DUMMYFUNCTION("""COMPUTED_VALUE"""),8.64837962962963E-4)</f>
        <v>0.000864837963</v>
      </c>
      <c r="K61" s="5" t="str">
        <f>IFERROR(__xludf.DUMMYFUNCTION("""COMPUTED_VALUE"""),"c45(KickSauber)")</f>
        <v>c45(KickSauber)</v>
      </c>
      <c r="L61" s="5" t="str">
        <f>IFERROR(__xludf.DUMMYFUNCTION("""COMPUTED_VALUE"""),"PCVR")</f>
        <v>PCVR</v>
      </c>
      <c r="M61" s="5" t="str">
        <f>IFERROR(__xludf.DUMMYFUNCTION("""COMPUTED_VALUE"""),"Azucia")</f>
        <v>Azucia</v>
      </c>
      <c r="N61" s="5">
        <f>IFERROR(__xludf.DUMMYFUNCTION("""COMPUTED_VALUE"""),0.0016032754629629628)</f>
        <v>0.001603275463</v>
      </c>
      <c r="O61" s="5" t="str">
        <f>IFERROR(__xludf.DUMMYFUNCTION("""COMPUTED_VALUE"""),"w16(Mercedes)")</f>
        <v>w16(Mercedes)</v>
      </c>
      <c r="P61" s="5" t="str">
        <f>IFERROR(__xludf.DUMMYFUNCTION("""COMPUTED_VALUE"""),"PCVR")</f>
        <v>PCVR</v>
      </c>
      <c r="Q61" s="5" t="str">
        <f>IFERROR(__xludf.DUMMYFUNCTION("""COMPUTED_VALUE"""),"StarRiver Arts")</f>
        <v>StarRiver Arts</v>
      </c>
      <c r="R61" s="5">
        <f>IFERROR(__xludf.DUMMYFUNCTION("""COMPUTED_VALUE"""),0.0012741087962962964)</f>
        <v>0.001274108796</v>
      </c>
      <c r="S61" s="5" t="str">
        <f>IFERROR(__xludf.DUMMYFUNCTION("""COMPUTED_VALUE"""),"BMW CS")</f>
        <v>BMW CS</v>
      </c>
      <c r="T61" s="5" t="str">
        <f>IFERROR(__xludf.DUMMYFUNCTION("""COMPUTED_VALUE"""),"PC")</f>
        <v>PC</v>
      </c>
      <c r="U61" s="5"/>
      <c r="V61" s="5"/>
      <c r="W61" s="5"/>
      <c r="X61" s="5"/>
      <c r="Y61" s="5"/>
      <c r="Z61" s="5"/>
      <c r="AA61" s="5"/>
      <c r="AB61" s="5"/>
      <c r="AC61" s="5"/>
      <c r="AD61" s="5"/>
      <c r="AE61" s="5"/>
      <c r="AF61" s="5"/>
      <c r="AG61" s="5"/>
      <c r="AH61" s="5"/>
      <c r="AI61" s="5"/>
      <c r="AJ61" s="5"/>
      <c r="AK61" s="5"/>
      <c r="AL61" s="5"/>
    </row>
    <row r="62">
      <c r="A62" s="11" t="str">
        <f>IFERROR(__xludf.DUMMYFUNCTION("LET(
  賽道, ""Irohazaka"",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62" s="11" t="str">
        <f>IFERROR(__xludf.DUMMYFUNCTION("""COMPUTED_VALUE"""),"Time時間")</f>
        <v>Time時間</v>
      </c>
      <c r="C62" s="11" t="str">
        <f>IFERROR(__xludf.DUMMYFUNCTION("""COMPUTED_VALUE"""),"Car車種")</f>
        <v>Car車種</v>
      </c>
      <c r="D62" s="11" t="str">
        <f>IFERROR(__xludf.DUMMYFUNCTION("""COMPUTED_VALUE"""),"Platform平台")</f>
        <v>Platform平台</v>
      </c>
      <c r="E62" s="5"/>
      <c r="F62" s="5"/>
      <c r="G62" s="5"/>
      <c r="H62" s="5"/>
      <c r="I62" s="5" t="str">
        <f>IFERROR(__xludf.DUMMYFUNCTION("""COMPUTED_VALUE"""),"Hayasaka_Ishimi")</f>
        <v>Hayasaka_Ishimi</v>
      </c>
      <c r="J62" s="5">
        <f>IFERROR(__xludf.DUMMYFUNCTION("""COMPUTED_VALUE"""),8.842592592592592E-4)</f>
        <v>0.0008842592593</v>
      </c>
      <c r="K62" s="5" t="str">
        <f>IFERROR(__xludf.DUMMYFUNCTION("""COMPUTED_VALUE"""),"sf25(Ferrari)")</f>
        <v>sf25(Ferrari)</v>
      </c>
      <c r="L62" s="5" t="str">
        <f>IFERROR(__xludf.DUMMYFUNCTION("""COMPUTED_VALUE"""),"PCVR")</f>
        <v>PCVR</v>
      </c>
      <c r="M62" s="5" t="str">
        <f>IFERROR(__xludf.DUMMYFUNCTION("""COMPUTED_VALUE"""),"StarRiver Arts")</f>
        <v>StarRiver Arts</v>
      </c>
      <c r="N62" s="5">
        <f>IFERROR(__xludf.DUMMYFUNCTION("""COMPUTED_VALUE"""),0.0019336458333333334)</f>
        <v>0.001933645833</v>
      </c>
      <c r="O62" s="5" t="str">
        <f>IFERROR(__xludf.DUMMYFUNCTION("""COMPUTED_VALUE"""),"sf25(Ferrari)")</f>
        <v>sf25(Ferrari)</v>
      </c>
      <c r="P62" s="5" t="str">
        <f>IFERROR(__xludf.DUMMYFUNCTION("""COMPUTED_VALUE"""),"PC")</f>
        <v>PC</v>
      </c>
      <c r="Q62" s="5" t="str">
        <f>IFERROR(__xludf.DUMMYFUNCTION("""COMPUTED_VALUE"""),"StarRiver Arts")</f>
        <v>StarRiver Arts</v>
      </c>
      <c r="R62" s="5">
        <f>IFERROR(__xludf.DUMMYFUNCTION("""COMPUTED_VALUE"""),0.0016533564814814813)</f>
        <v>0.001653356481</v>
      </c>
      <c r="S62" s="5" t="str">
        <f>IFERROR(__xludf.DUMMYFUNCTION("""COMPUTED_VALUE"""),"GT86")</f>
        <v>GT86</v>
      </c>
      <c r="T62" s="5" t="str">
        <f>IFERROR(__xludf.DUMMYFUNCTION("""COMPUTED_VALUE"""),"PC")</f>
        <v>PC</v>
      </c>
      <c r="U62" s="5"/>
      <c r="V62" s="5"/>
      <c r="W62" s="5"/>
      <c r="X62" s="5"/>
      <c r="Y62" s="5"/>
      <c r="Z62" s="5"/>
      <c r="AA62" s="5"/>
      <c r="AB62" s="5"/>
      <c r="AC62" s="5"/>
      <c r="AD62" s="5"/>
      <c r="AE62" s="5"/>
      <c r="AF62" s="5"/>
      <c r="AG62" s="5"/>
      <c r="AH62" s="5"/>
      <c r="AI62" s="5"/>
      <c r="AJ62" s="5"/>
      <c r="AK62" s="5"/>
      <c r="AL62" s="5"/>
    </row>
    <row r="63">
      <c r="A63" s="5" t="str">
        <f>IFERROR(__xludf.DUMMYFUNCTION("""COMPUTED_VALUE"""),"Lolidia")</f>
        <v>Lolidia</v>
      </c>
      <c r="B63" s="5">
        <f>IFERROR(__xludf.DUMMYFUNCTION("""COMPUTED_VALUE"""),0.002450613425925926)</f>
        <v>0.002450613426</v>
      </c>
      <c r="C63" s="5" t="str">
        <f>IFERROR(__xludf.DUMMYFUNCTION("""COMPUTED_VALUE"""),"AE86T")</f>
        <v>AE86T</v>
      </c>
      <c r="D63" s="5" t="str">
        <f>IFERROR(__xludf.DUMMYFUNCTION("""COMPUTED_VALUE"""),"PCVR")</f>
        <v>PCVR</v>
      </c>
      <c r="E63" s="5"/>
      <c r="F63" s="5"/>
      <c r="G63" s="5"/>
      <c r="H63" s="5"/>
      <c r="I63" s="5" t="str">
        <f>IFERROR(__xludf.DUMMYFUNCTION("""COMPUTED_VALUE"""),"windnight5")</f>
        <v>windnight5</v>
      </c>
      <c r="J63" s="5">
        <f>IFERROR(__xludf.DUMMYFUNCTION("""COMPUTED_VALUE"""),8.942592592592591E-4)</f>
        <v>0.0008942592593</v>
      </c>
      <c r="K63" s="5" t="str">
        <f>IFERROR(__xludf.DUMMYFUNCTION("""COMPUTED_VALUE"""),"e45")</f>
        <v>e45</v>
      </c>
      <c r="L63" s="5" t="str">
        <f>IFERROR(__xludf.DUMMYFUNCTION("""COMPUTED_VALUE"""),"PCVR")</f>
        <v>PCVR</v>
      </c>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 r="A64" s="5" t="str">
        <f>IFERROR(__xludf.DUMMYFUNCTION("""COMPUTED_VALUE"""),"Yune")</f>
        <v>Yune</v>
      </c>
      <c r="B64" s="5">
        <f>IFERROR(__xludf.DUMMYFUNCTION("""COMPUTED_VALUE"""),0.002516875)</f>
        <v>0.002516875</v>
      </c>
      <c r="C64" s="5" t="str">
        <f>IFERROR(__xludf.DUMMYFUNCTION("""COMPUTED_VALUE"""),"SilEighty")</f>
        <v>SilEighty</v>
      </c>
      <c r="D64" s="5" t="str">
        <f>IFERROR(__xludf.DUMMYFUNCTION("""COMPUTED_VALUE"""),"PC")</f>
        <v>PC</v>
      </c>
      <c r="E64" s="5"/>
      <c r="F64" s="5"/>
      <c r="G64" s="5"/>
      <c r="H64" s="5"/>
      <c r="I64" s="5" t="str">
        <f>IFERROR(__xludf.DUMMYFUNCTION("""COMPUTED_VALUE"""),"windnight5")</f>
        <v>windnight5</v>
      </c>
      <c r="J64" s="5">
        <f>IFERROR(__xludf.DUMMYFUNCTION("""COMPUTED_VALUE"""),9.09050925925926E-4)</f>
        <v>0.0009090509259</v>
      </c>
      <c r="K64" s="5" t="str">
        <f>IFERROR(__xludf.DUMMYFUNCTION("""COMPUTED_VALUE"""),"mcl39(McLaren)")</f>
        <v>mcl39(McLaren)</v>
      </c>
      <c r="L64" s="5" t="str">
        <f>IFERROR(__xludf.DUMMYFUNCTION("""COMPUTED_VALUE"""),"PCVR")</f>
        <v>PCVR</v>
      </c>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 r="A65" s="5" t="str">
        <f>IFERROR(__xludf.DUMMYFUNCTION("""COMPUTED_VALUE"""),"StarRiver Arts")</f>
        <v>StarRiver Arts</v>
      </c>
      <c r="B65" s="5">
        <f>IFERROR(__xludf.DUMMYFUNCTION("""COMPUTED_VALUE"""),0.0025451273148148147)</f>
        <v>0.002545127315</v>
      </c>
      <c r="C65" s="5" t="str">
        <f>IFERROR(__xludf.DUMMYFUNCTION("""COMPUTED_VALUE"""),"GC8-F (Impreza)")</f>
        <v>GC8-F (Impreza)</v>
      </c>
      <c r="D65" s="5" t="str">
        <f>IFERROR(__xludf.DUMMYFUNCTION("""COMPUTED_VALUE"""),"PC")</f>
        <v>PC</v>
      </c>
      <c r="E65" s="5"/>
      <c r="F65" s="5"/>
      <c r="G65" s="5"/>
      <c r="H65" s="5"/>
      <c r="I65" s="5" t="str">
        <f>IFERROR(__xludf.DUMMYFUNCTION("""COMPUTED_VALUE"""),"Hayasaka_Ishimi")</f>
        <v>Hayasaka_Ishimi</v>
      </c>
      <c r="J65" s="5">
        <f>IFERROR(__xludf.DUMMYFUNCTION("""COMPUTED_VALUE"""),9.220717592592593E-4)</f>
        <v>0.0009220717593</v>
      </c>
      <c r="K65" s="5" t="str">
        <f>IFERROR(__xludf.DUMMYFUNCTION("""COMPUTED_VALUE"""),"w16(Mercedes)")</f>
        <v>w16(Mercedes)</v>
      </c>
      <c r="L65" s="5" t="str">
        <f>IFERROR(__xludf.DUMMYFUNCTION("""COMPUTED_VALUE"""),"PCVR")</f>
        <v>PCVR</v>
      </c>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 r="A66" s="5" t="str">
        <f>IFERROR(__xludf.DUMMYFUNCTION("""COMPUTED_VALUE"""),"菲娜 希琉絲")</f>
        <v>菲娜 希琉絲</v>
      </c>
      <c r="B66" s="5">
        <f>IFERROR(__xludf.DUMMYFUNCTION("""COMPUTED_VALUE"""),0.0025714699074074073)</f>
        <v>0.002571469907</v>
      </c>
      <c r="C66" s="5" t="str">
        <f>IFERROR(__xludf.DUMMYFUNCTION("""COMPUTED_VALUE"""),"FD3S (RX7)(TT)")</f>
        <v>FD3S (RX7)(TT)</v>
      </c>
      <c r="D66" s="5" t="str">
        <f>IFERROR(__xludf.DUMMYFUNCTION("""COMPUTED_VALUE"""),"PCVR")</f>
        <v>PCVR</v>
      </c>
      <c r="E66" s="5"/>
      <c r="F66" s="5"/>
      <c r="G66" s="5"/>
      <c r="H66" s="5"/>
      <c r="I66" s="5" t="str">
        <f>IFERROR(__xludf.DUMMYFUNCTION("""COMPUTED_VALUE"""),"不會玩遊戲的屑")</f>
        <v>不會玩遊戲的屑</v>
      </c>
      <c r="J66" s="5">
        <f>IFERROR(__xludf.DUMMYFUNCTION("""COMPUTED_VALUE"""),0.0012483101851851852)</f>
        <v>0.001248310185</v>
      </c>
      <c r="K66" s="5" t="str">
        <f>IFERROR(__xludf.DUMMYFUNCTION("""COMPUTED_VALUE"""),"amr25(AstonMartin)")</f>
        <v>amr25(AstonMartin)</v>
      </c>
      <c r="L66" s="5" t="str">
        <f>IFERROR(__xludf.DUMMYFUNCTION("""COMPUTED_VALUE"""),"PCVR")</f>
        <v>PCVR</v>
      </c>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 r="A67" s="5" t="str">
        <f>IFERROR(__xludf.DUMMYFUNCTION("""COMPUTED_VALUE"""),"Rushia Angel")</f>
        <v>Rushia Angel</v>
      </c>
      <c r="B67" s="5">
        <f>IFERROR(__xludf.DUMMYFUNCTION("""COMPUTED_VALUE"""),0.002593229166666667)</f>
        <v>0.002593229167</v>
      </c>
      <c r="C67" s="5" t="str">
        <f>IFERROR(__xludf.DUMMYFUNCTION("""COMPUTED_VALUE"""),"SW20 (MR2)")</f>
        <v>SW20 (MR2)</v>
      </c>
      <c r="D67" s="5" t="str">
        <f>IFERROR(__xludf.DUMMYFUNCTION("""COMPUTED_VALUE"""),"PC")</f>
        <v>PC</v>
      </c>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 r="A68" s="5" t="str">
        <f>IFERROR(__xludf.DUMMYFUNCTION("""COMPUTED_VALUE"""),"アビドサスヒカリ")</f>
        <v>アビドサスヒカリ</v>
      </c>
      <c r="B68" s="5">
        <f>IFERROR(__xludf.DUMMYFUNCTION("""COMPUTED_VALUE"""),0.002640046296296296)</f>
        <v>0.002640046296</v>
      </c>
      <c r="C68" s="5" t="str">
        <f>IFERROR(__xludf.DUMMYFUNCTION("""COMPUTED_VALUE"""),"EVOIII/CE9A")</f>
        <v>EVOIII/CE9A</v>
      </c>
      <c r="D68" s="5" t="str">
        <f>IFERROR(__xludf.DUMMYFUNCTION("""COMPUTED_VALUE"""),"PC")</f>
        <v>PC</v>
      </c>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 r="A69" s="5" t="str">
        <f>IFERROR(__xludf.DUMMYFUNCTION("""COMPUTED_VALUE"""),"StarRiver Arts")</f>
        <v>StarRiver Arts</v>
      </c>
      <c r="B69" s="5">
        <f>IFERROR(__xludf.DUMMYFUNCTION("""COMPUTED_VALUE"""),0.002828321759259259)</f>
        <v>0.002828321759</v>
      </c>
      <c r="C69" s="5" t="str">
        <f>IFERROR(__xludf.DUMMYFUNCTION("""COMPUTED_VALUE"""),"EVOIV/CN9A")</f>
        <v>EVOIV/CN9A</v>
      </c>
      <c r="D69" s="5" t="str">
        <f>IFERROR(__xludf.DUMMYFUNCTION("""COMPUTED_VALUE"""),"PC")</f>
        <v>PC</v>
      </c>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 r="A70" s="5" t="str">
        <f>IFERROR(__xludf.DUMMYFUNCTION("""COMPUTED_VALUE"""),"StarRiver Arts")</f>
        <v>StarRiver Arts</v>
      </c>
      <c r="B70" s="5">
        <f>IFERROR(__xludf.DUMMYFUNCTION("""COMPUTED_VALUE"""),0.0033628472222222224)</f>
        <v>0.003362847222</v>
      </c>
      <c r="C70" s="5" t="str">
        <f>IFERROR(__xludf.DUMMYFUNCTION("""COMPUTED_VALUE"""),"FD3S (RX7)")</f>
        <v>FD3S (RX7)</v>
      </c>
      <c r="D70" s="5" t="str">
        <f>IFERROR(__xludf.DUMMYFUNCTION("""COMPUTED_VALUE"""),"PC")</f>
        <v>PC</v>
      </c>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 r="A71" s="5"/>
      <c r="B71" s="5"/>
      <c r="C71" s="5"/>
      <c r="D71" s="5"/>
      <c r="E71" s="5"/>
      <c r="F71" s="5"/>
      <c r="G71" s="5"/>
      <c r="H71" s="5"/>
      <c r="I71" s="28" t="s">
        <v>35</v>
      </c>
      <c r="M71" s="29" t="s">
        <v>36</v>
      </c>
      <c r="Q71" s="5"/>
      <c r="R71" s="5"/>
      <c r="S71" s="5"/>
      <c r="T71" s="5"/>
      <c r="U71" s="5"/>
      <c r="V71" s="5"/>
      <c r="W71" s="5"/>
      <c r="X71" s="5"/>
      <c r="Y71" s="5"/>
      <c r="Z71" s="5"/>
      <c r="AA71" s="5"/>
      <c r="AB71" s="5"/>
      <c r="AC71" s="5"/>
      <c r="AD71" s="5"/>
      <c r="AE71" s="5"/>
      <c r="AF71" s="5"/>
      <c r="AG71" s="5"/>
      <c r="AH71" s="5"/>
      <c r="AI71" s="5"/>
      <c r="AJ71" s="5"/>
      <c r="AK71" s="5"/>
      <c r="AL71" s="5"/>
    </row>
    <row r="72">
      <c r="A72" s="5"/>
      <c r="B72" s="5"/>
      <c r="C72" s="5"/>
      <c r="D72" s="5"/>
      <c r="E72" s="5"/>
      <c r="F72" s="5"/>
      <c r="G72" s="5"/>
      <c r="H72" s="5"/>
      <c r="I72" s="47" t="str">
        <f>IFERROR(__xludf.DUMMYFUNCTION("LET(
  賽道, ""Monaco"",
  路線, """",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J72" s="47" t="str">
        <f>IFERROR(__xludf.DUMMYFUNCTION("""COMPUTED_VALUE"""),"Time時間")</f>
        <v>Time時間</v>
      </c>
      <c r="K72" s="47" t="str">
        <f>IFERROR(__xludf.DUMMYFUNCTION("""COMPUTED_VALUE"""),"Car車種")</f>
        <v>Car車種</v>
      </c>
      <c r="L72" s="47" t="str">
        <f>IFERROR(__xludf.DUMMYFUNCTION("""COMPUTED_VALUE"""),"Platform平台")</f>
        <v>Platform平台</v>
      </c>
      <c r="M72" s="47" t="str">
        <f>IFERROR(__xludf.DUMMYFUNCTION("LET(
  賽道, ""Nurburgring"",
  路線, ""Nord"",
  系統, ""Cvs"",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N72" s="47" t="str">
        <f>IFERROR(__xludf.DUMMYFUNCTION("""COMPUTED_VALUE"""),"Time時間")</f>
        <v>Time時間</v>
      </c>
      <c r="O72" s="47" t="str">
        <f>IFERROR(__xludf.DUMMYFUNCTION("""COMPUTED_VALUE"""),"Car車種")</f>
        <v>Car車種</v>
      </c>
      <c r="P72" s="47" t="str">
        <f>IFERROR(__xludf.DUMMYFUNCTION("""COMPUTED_VALUE"""),"Platform平台")</f>
        <v>Platform平台</v>
      </c>
      <c r="Q72" s="5"/>
      <c r="R72" s="5"/>
      <c r="S72" s="5"/>
      <c r="T72" s="5"/>
      <c r="U72" s="5"/>
      <c r="V72" s="5"/>
      <c r="W72" s="5"/>
      <c r="X72" s="5"/>
      <c r="Y72" s="5"/>
      <c r="Z72" s="5"/>
      <c r="AA72" s="5"/>
      <c r="AB72" s="5"/>
      <c r="AC72" s="5"/>
      <c r="AD72" s="5"/>
      <c r="AE72" s="5"/>
      <c r="AF72" s="5"/>
      <c r="AG72" s="5"/>
      <c r="AH72" s="5"/>
      <c r="AI72" s="5"/>
      <c r="AJ72" s="5"/>
      <c r="AK72" s="5"/>
      <c r="AL72" s="5"/>
    </row>
    <row r="73">
      <c r="A73" s="5"/>
      <c r="B73" s="5"/>
      <c r="C73" s="5"/>
      <c r="D73" s="5"/>
      <c r="E73" s="5"/>
      <c r="F73" s="5"/>
      <c r="G73" s="5"/>
      <c r="H73" s="5"/>
      <c r="I73" s="5" t="str">
        <f>IFERROR(__xludf.DUMMYFUNCTION("""COMPUTED_VALUE"""),"ねぎたま")</f>
        <v>ねぎたま</v>
      </c>
      <c r="J73" s="5">
        <f>IFERROR(__xludf.DUMMYFUNCTION("""COMPUTED_VALUE"""),7.215740740740741E-4)</f>
        <v>0.0007215740741</v>
      </c>
      <c r="K73" s="5" t="str">
        <f>IFERROR(__xludf.DUMMYFUNCTION("""COMPUTED_VALUE"""),"rb21(RedBull)")</f>
        <v>rb21(RedBull)</v>
      </c>
      <c r="L73" s="5" t="str">
        <f>IFERROR(__xludf.DUMMYFUNCTION("""COMPUTED_VALUE"""),"PCVR")</f>
        <v>PCVR</v>
      </c>
      <c r="M73" s="5" t="str">
        <f>IFERROR(__xludf.DUMMYFUNCTION("""COMPUTED_VALUE"""),"BannRaven")</f>
        <v>BannRaven</v>
      </c>
      <c r="N73" s="5">
        <f>IFERROR(__xludf.DUMMYFUNCTION("""COMPUTED_VALUE"""),0.005019456018518519)</f>
        <v>0.005019456019</v>
      </c>
      <c r="O73" s="5" t="str">
        <f>IFERROR(__xludf.DUMMYFUNCTION("""COMPUTED_VALUE"""),"NA1 (NSX)")</f>
        <v>NA1 (NSX)</v>
      </c>
      <c r="P73" s="5" t="str">
        <f>IFERROR(__xludf.DUMMYFUNCTION("""COMPUTED_VALUE"""),"PCVR")</f>
        <v>PCVR</v>
      </c>
      <c r="Q73" s="5"/>
      <c r="R73" s="5"/>
      <c r="S73" s="5"/>
      <c r="T73" s="5"/>
      <c r="U73" s="5"/>
      <c r="V73" s="5"/>
      <c r="W73" s="5"/>
      <c r="X73" s="5"/>
      <c r="Y73" s="5"/>
      <c r="Z73" s="5"/>
      <c r="AA73" s="5"/>
      <c r="AB73" s="5"/>
      <c r="AC73" s="5"/>
      <c r="AD73" s="5"/>
      <c r="AE73" s="5"/>
      <c r="AF73" s="5"/>
      <c r="AG73" s="5"/>
      <c r="AH73" s="5"/>
      <c r="AI73" s="5"/>
      <c r="AJ73" s="5"/>
      <c r="AK73" s="5"/>
      <c r="AL73" s="5"/>
    </row>
    <row r="74">
      <c r="A74" s="38" t="s">
        <v>33</v>
      </c>
      <c r="E74" s="38" t="s">
        <v>34</v>
      </c>
      <c r="I74" s="5" t="str">
        <f>IFERROR(__xludf.DUMMYFUNCTION("""COMPUTED_VALUE"""),"ねぎたま")</f>
        <v>ねぎたま</v>
      </c>
      <c r="J74" s="5">
        <f>IFERROR(__xludf.DUMMYFUNCTION("""COMPUTED_VALUE"""),7.236226851851852E-4)</f>
        <v>0.0007236226852</v>
      </c>
      <c r="K74" s="5" t="str">
        <f>IFERROR(__xludf.DUMMYFUNCTION("""COMPUTED_VALUE"""),"mcl39(McLaren)")</f>
        <v>mcl39(McLaren)</v>
      </c>
      <c r="L74" s="5" t="str">
        <f>IFERROR(__xludf.DUMMYFUNCTION("""COMPUTED_VALUE"""),"PCVR")</f>
        <v>PCVR</v>
      </c>
      <c r="M74" s="5" t="str">
        <f>IFERROR(__xludf.DUMMYFUNCTION("""COMPUTED_VALUE"""),"StarRiver Arts")</f>
        <v>StarRiver Arts</v>
      </c>
      <c r="N74" s="5">
        <f>IFERROR(__xludf.DUMMYFUNCTION("""COMPUTED_VALUE"""),0.0062355324074074075)</f>
        <v>0.006235532407</v>
      </c>
      <c r="O74" s="5" t="str">
        <f>IFERROR(__xludf.DUMMYFUNCTION("""COMPUTED_VALUE"""),"R35")</f>
        <v>R35</v>
      </c>
      <c r="P74" s="5" t="str">
        <f>IFERROR(__xludf.DUMMYFUNCTION("""COMPUTED_VALUE"""),"PC")</f>
        <v>PC</v>
      </c>
      <c r="Q74" s="5"/>
      <c r="R74" s="5"/>
      <c r="S74" s="5"/>
      <c r="T74" s="5"/>
      <c r="U74" s="5"/>
      <c r="V74" s="5"/>
      <c r="W74" s="5"/>
      <c r="X74" s="5"/>
      <c r="Y74" s="5"/>
      <c r="Z74" s="5"/>
      <c r="AA74" s="5"/>
      <c r="AB74" s="5"/>
      <c r="AC74" s="5"/>
      <c r="AD74" s="5"/>
      <c r="AE74" s="5"/>
      <c r="AF74" s="5"/>
      <c r="AG74" s="5"/>
      <c r="AH74" s="5"/>
      <c r="AI74" s="5"/>
      <c r="AJ74" s="5"/>
      <c r="AK74" s="5"/>
      <c r="AL74" s="5"/>
    </row>
    <row r="75">
      <c r="A75" s="11" t="str">
        <f>IFERROR(__xludf.DUMMYFUNCTION("LET(
  賽道, ""Myogi(CC)"",
  路線, ""CW"",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75" s="11" t="str">
        <f>IFERROR(__xludf.DUMMYFUNCTION("""COMPUTED_VALUE"""),"Time時間")</f>
        <v>Time時間</v>
      </c>
      <c r="C75" s="11" t="str">
        <f>IFERROR(__xludf.DUMMYFUNCTION("""COMPUTED_VALUE"""),"Car車種")</f>
        <v>Car車種</v>
      </c>
      <c r="D75" s="11" t="str">
        <f>IFERROR(__xludf.DUMMYFUNCTION("""COMPUTED_VALUE"""),"Platform平台")</f>
        <v>Platform平台</v>
      </c>
      <c r="E75" s="11" t="str">
        <f>IFERROR(__xludf.DUMMYFUNCTION("LET(
  賽道, ""Myogi(CC)"",
  路線, ""CC"",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75" s="11" t="str">
        <f>IFERROR(__xludf.DUMMYFUNCTION("""COMPUTED_VALUE"""),"Time時間")</f>
        <v>Time時間</v>
      </c>
      <c r="G75" s="11" t="str">
        <f>IFERROR(__xludf.DUMMYFUNCTION("""COMPUTED_VALUE"""),"Car車種")</f>
        <v>Car車種</v>
      </c>
      <c r="H75" s="11" t="str">
        <f>IFERROR(__xludf.DUMMYFUNCTION("""COMPUTED_VALUE"""),"Platform平台")</f>
        <v>Platform平台</v>
      </c>
      <c r="I75" s="5" t="str">
        <f>IFERROR(__xludf.DUMMYFUNCTION("""COMPUTED_VALUE"""),"ねぎたま")</f>
        <v>ねぎたま</v>
      </c>
      <c r="J75" s="5">
        <f>IFERROR(__xludf.DUMMYFUNCTION("""COMPUTED_VALUE"""),7.299305555555556E-4)</f>
        <v>0.0007299305556</v>
      </c>
      <c r="K75" s="5" t="str">
        <f>IFERROR(__xludf.DUMMYFUNCTION("""COMPUTED_VALUE"""),"w16(Mercedes)")</f>
        <v>w16(Mercedes)</v>
      </c>
      <c r="L75" s="5" t="str">
        <f>IFERROR(__xludf.DUMMYFUNCTION("""COMPUTED_VALUE"""),"PCVR")</f>
        <v>PCVR</v>
      </c>
      <c r="M75" s="5" t="str">
        <f>IFERROR(__xludf.DUMMYFUNCTION("""COMPUTED_VALUE"""),"Test Driver")</f>
        <v>Test Driver</v>
      </c>
      <c r="N75" s="5">
        <f>IFERROR(__xludf.DUMMYFUNCTION("""COMPUTED_VALUE"""),0.006944444444444444)</f>
        <v>0.006944444444</v>
      </c>
      <c r="O75" s="5" t="str">
        <f>IFERROR(__xludf.DUMMYFUNCTION("""COMPUTED_VALUE"""),"992(911 GT3)")</f>
        <v>992(911 GT3)</v>
      </c>
      <c r="P75" s="5"/>
      <c r="Q75" s="5"/>
      <c r="R75" s="5"/>
      <c r="S75" s="5"/>
      <c r="T75" s="5"/>
      <c r="U75" s="5"/>
      <c r="V75" s="5"/>
      <c r="W75" s="5"/>
      <c r="X75" s="5"/>
      <c r="Y75" s="5"/>
      <c r="Z75" s="5"/>
      <c r="AA75" s="5"/>
      <c r="AB75" s="5"/>
      <c r="AC75" s="5"/>
      <c r="AD75" s="5"/>
      <c r="AE75" s="5"/>
      <c r="AF75" s="5"/>
      <c r="AG75" s="5"/>
      <c r="AH75" s="5"/>
      <c r="AI75" s="5"/>
      <c r="AJ75" s="5"/>
      <c r="AK75" s="5"/>
      <c r="AL75" s="5"/>
    </row>
    <row r="76">
      <c r="A76" s="5" t="str">
        <f>IFERROR(__xludf.DUMMYFUNCTION("""COMPUTED_VALUE"""),"Kinokono_Tenka")</f>
        <v>Kinokono_Tenka</v>
      </c>
      <c r="B76" s="5">
        <f>IFERROR(__xludf.DUMMYFUNCTION("""COMPUTED_VALUE"""),0.002265289351851852)</f>
        <v>0.002265289352</v>
      </c>
      <c r="C76" s="5" t="str">
        <f>IFERROR(__xludf.DUMMYFUNCTION("""COMPUTED_VALUE"""),"EG6 (civic)")</f>
        <v>EG6 (civic)</v>
      </c>
      <c r="D76" s="5" t="str">
        <f>IFERROR(__xludf.DUMMYFUNCTION("""COMPUTED_VALUE"""),"PCVR")</f>
        <v>PCVR</v>
      </c>
      <c r="E76" s="5" t="str">
        <f>IFERROR(__xludf.DUMMYFUNCTION("""COMPUTED_VALUE"""),"Redfrogss")</f>
        <v>Redfrogss</v>
      </c>
      <c r="F76" s="5">
        <f>IFERROR(__xludf.DUMMYFUNCTION("""COMPUTED_VALUE"""),0.0022780555555555557)</f>
        <v>0.002278055556</v>
      </c>
      <c r="G76" s="5" t="str">
        <f>IFERROR(__xludf.DUMMYFUNCTION("""COMPUTED_VALUE"""),"S13")</f>
        <v>S13</v>
      </c>
      <c r="H76" s="5" t="str">
        <f>IFERROR(__xludf.DUMMYFUNCTION("""COMPUTED_VALUE"""),"PCVR")</f>
        <v>PCVR</v>
      </c>
      <c r="I76" s="5" t="str">
        <f>IFERROR(__xludf.DUMMYFUNCTION("""COMPUTED_VALUE"""),"ねぎたま")</f>
        <v>ねぎたま</v>
      </c>
      <c r="J76" s="5">
        <f>IFERROR(__xludf.DUMMYFUNCTION("""COMPUTED_VALUE"""),7.344328703703704E-4)</f>
        <v>0.0007344328704</v>
      </c>
      <c r="K76" s="5" t="str">
        <f>IFERROR(__xludf.DUMMYFUNCTION("""COMPUTED_VALUE"""),"sf25(Ferrari)")</f>
        <v>sf25(Ferrari)</v>
      </c>
      <c r="L76" s="5" t="str">
        <f>IFERROR(__xludf.DUMMYFUNCTION("""COMPUTED_VALUE"""),"PCVR")</f>
        <v>PCVR</v>
      </c>
      <c r="M76" s="5" t="str">
        <f>IFERROR(__xludf.DUMMYFUNCTION("""COMPUTED_VALUE"""),"Test Driver")</f>
        <v>Test Driver</v>
      </c>
      <c r="N76" s="5">
        <f>IFERROR(__xludf.DUMMYFUNCTION("""COMPUTED_VALUE"""),0.006944444444444444)</f>
        <v>0.006944444444</v>
      </c>
      <c r="O76" s="5" t="str">
        <f>IFERROR(__xludf.DUMMYFUNCTION("""COMPUTED_VALUE"""),"NSX                                                 ")</f>
        <v>NSX                                                 </v>
      </c>
      <c r="P76" s="5"/>
      <c r="Q76" s="5"/>
      <c r="R76" s="5"/>
      <c r="S76" s="5"/>
      <c r="T76" s="5"/>
      <c r="U76" s="5"/>
      <c r="V76" s="5"/>
      <c r="W76" s="5"/>
      <c r="X76" s="5"/>
      <c r="Y76" s="5"/>
      <c r="Z76" s="5"/>
      <c r="AA76" s="5"/>
      <c r="AB76" s="5"/>
      <c r="AC76" s="5"/>
      <c r="AD76" s="5"/>
      <c r="AE76" s="5"/>
      <c r="AF76" s="5"/>
      <c r="AG76" s="5"/>
      <c r="AH76" s="5"/>
      <c r="AI76" s="5"/>
      <c r="AJ76" s="5"/>
      <c r="AK76" s="5"/>
      <c r="AL76" s="5"/>
    </row>
    <row r="77">
      <c r="A77" s="5" t="str">
        <f>IFERROR(__xludf.DUMMYFUNCTION("""COMPUTED_VALUE"""),"StarRiver Arts")</f>
        <v>StarRiver Arts</v>
      </c>
      <c r="B77" s="5">
        <f>IFERROR(__xludf.DUMMYFUNCTION("""COMPUTED_VALUE"""),0.0022710300925925927)</f>
        <v>0.002271030093</v>
      </c>
      <c r="C77" s="5" t="str">
        <f>IFERROR(__xludf.DUMMYFUNCTION("""COMPUTED_VALUE"""),"S13")</f>
        <v>S13</v>
      </c>
      <c r="D77" s="5" t="str">
        <f>IFERROR(__xludf.DUMMYFUNCTION("""COMPUTED_VALUE"""),"PC")</f>
        <v>PC</v>
      </c>
      <c r="E77" s="5" t="str">
        <f>IFERROR(__xludf.DUMMYFUNCTION("""COMPUTED_VALUE"""),"Kinokono_Tenka")</f>
        <v>Kinokono_Tenka</v>
      </c>
      <c r="F77" s="5">
        <f>IFERROR(__xludf.DUMMYFUNCTION("""COMPUTED_VALUE"""),0.0023177546296296292)</f>
        <v>0.00231775463</v>
      </c>
      <c r="G77" s="5" t="str">
        <f>IFERROR(__xludf.DUMMYFUNCTION("""COMPUTED_VALUE"""),"EG6 (civic)")</f>
        <v>EG6 (civic)</v>
      </c>
      <c r="H77" s="5" t="str">
        <f>IFERROR(__xludf.DUMMYFUNCTION("""COMPUTED_VALUE"""),"PCVR")</f>
        <v>PCVR</v>
      </c>
      <c r="I77" s="5"/>
      <c r="J77" s="5"/>
      <c r="K77" s="5"/>
      <c r="L77" s="5"/>
      <c r="M77" s="5" t="str">
        <f>IFERROR(__xludf.DUMMYFUNCTION("""COMPUTED_VALUE"""),"Test Driver")</f>
        <v>Test Driver</v>
      </c>
      <c r="N77" s="5">
        <f>IFERROR(__xludf.DUMMYFUNCTION("""COMPUTED_VALUE"""),0.006944444444444444)</f>
        <v>0.006944444444</v>
      </c>
      <c r="O77" s="5" t="str">
        <f>IFERROR(__xludf.DUMMYFUNCTION("""COMPUTED_VALUE"""),"M4 akrapovic")</f>
        <v>M4 akrapovic</v>
      </c>
      <c r="P77" s="5"/>
      <c r="Q77" s="5"/>
      <c r="R77" s="5"/>
      <c r="S77" s="5"/>
      <c r="T77" s="5"/>
      <c r="U77" s="5"/>
      <c r="V77" s="5"/>
      <c r="W77" s="5"/>
      <c r="X77" s="5"/>
      <c r="Y77" s="5"/>
      <c r="Z77" s="5"/>
      <c r="AA77" s="5"/>
      <c r="AB77" s="5"/>
      <c r="AC77" s="5"/>
      <c r="AD77" s="5"/>
      <c r="AE77" s="5"/>
      <c r="AF77" s="5"/>
      <c r="AG77" s="5"/>
      <c r="AH77" s="5"/>
      <c r="AI77" s="5"/>
      <c r="AJ77" s="5"/>
      <c r="AK77" s="5"/>
      <c r="AL77" s="5"/>
    </row>
    <row r="78">
      <c r="A78" s="5" t="str">
        <f>IFERROR(__xludf.DUMMYFUNCTION("""COMPUTED_VALUE"""),"LinWu_05")</f>
        <v>LinWu_05</v>
      </c>
      <c r="B78" s="5">
        <f>IFERROR(__xludf.DUMMYFUNCTION("""COMPUTED_VALUE"""),0.002429976851851852)</f>
        <v>0.002429976852</v>
      </c>
      <c r="C78" s="5" t="str">
        <f>IFERROR(__xludf.DUMMYFUNCTION("""COMPUTED_VALUE"""),"BNR32")</f>
        <v>BNR32</v>
      </c>
      <c r="D78" s="5" t="str">
        <f>IFERROR(__xludf.DUMMYFUNCTION("""COMPUTED_VALUE"""),"PC")</f>
        <v>PC</v>
      </c>
      <c r="E78" s="5" t="str">
        <f>IFERROR(__xludf.DUMMYFUNCTION("""COMPUTED_VALUE"""),"StarRiver Arts")</f>
        <v>StarRiver Arts</v>
      </c>
      <c r="F78" s="5">
        <f>IFERROR(__xludf.DUMMYFUNCTION("""COMPUTED_VALUE"""),0.0023960300925925924)</f>
        <v>0.002396030093</v>
      </c>
      <c r="G78" s="5" t="str">
        <f>IFERROR(__xludf.DUMMYFUNCTION("""COMPUTED_VALUE"""),"BNR32")</f>
        <v>BNR32</v>
      </c>
      <c r="H78" s="5" t="str">
        <f>IFERROR(__xludf.DUMMYFUNCTION("""COMPUTED_VALUE"""),"PC")</f>
        <v>PC</v>
      </c>
      <c r="I78" s="5"/>
      <c r="J78" s="5"/>
      <c r="K78" s="5"/>
      <c r="L78" s="5"/>
      <c r="M78" s="5" t="str">
        <f>IFERROR(__xludf.DUMMYFUNCTION("""COMPUTED_VALUE"""),"Test Driver")</f>
        <v>Test Driver</v>
      </c>
      <c r="N78" s="5">
        <f>IFERROR(__xludf.DUMMYFUNCTION("""COMPUTED_VALUE"""),0.006944444444444444)</f>
        <v>0.006944444444</v>
      </c>
      <c r="O78" s="5" t="str">
        <f>IFERROR(__xludf.DUMMYFUNCTION("""COMPUTED_VALUE"""),"Nvision74")</f>
        <v>Nvision74</v>
      </c>
      <c r="P78" s="5"/>
      <c r="Q78" s="5"/>
      <c r="R78" s="5"/>
      <c r="S78" s="5"/>
      <c r="T78" s="5"/>
      <c r="U78" s="5"/>
      <c r="V78" s="5"/>
      <c r="W78" s="5"/>
      <c r="X78" s="5"/>
      <c r="Y78" s="5"/>
      <c r="Z78" s="5"/>
      <c r="AA78" s="5"/>
      <c r="AB78" s="5"/>
      <c r="AC78" s="5"/>
      <c r="AD78" s="5"/>
      <c r="AE78" s="5"/>
      <c r="AF78" s="5"/>
      <c r="AG78" s="5"/>
      <c r="AH78" s="5"/>
      <c r="AI78" s="5"/>
      <c r="AJ78" s="5"/>
      <c r="AK78" s="5"/>
      <c r="AL78" s="5"/>
    </row>
    <row r="79">
      <c r="A79" s="5" t="str">
        <f>IFERROR(__xludf.DUMMYFUNCTION("""COMPUTED_VALUE"""),"Test Driver")</f>
        <v>Test Driver</v>
      </c>
      <c r="B79" s="5">
        <f>IFERROR(__xludf.DUMMYFUNCTION("""COMPUTED_VALUE"""),0.006944444444444444)</f>
        <v>0.006944444444</v>
      </c>
      <c r="C79" s="5" t="str">
        <f>IFERROR(__xludf.DUMMYFUNCTION("""COMPUTED_VALUE"""),"180SX")</f>
        <v>180SX</v>
      </c>
      <c r="D79" s="5"/>
      <c r="E79" s="5" t="str">
        <f>IFERROR(__xludf.DUMMYFUNCTION("""COMPUTED_VALUE"""),"StarRiver Arts")</f>
        <v>StarRiver Arts</v>
      </c>
      <c r="F79" s="5">
        <f>IFERROR(__xludf.DUMMYFUNCTION("""COMPUTED_VALUE"""),0.002621331018518519)</f>
        <v>0.002621331019</v>
      </c>
      <c r="G79" s="5" t="str">
        <f>IFERROR(__xludf.DUMMYFUNCTION("""COMPUTED_VALUE"""),"GC8-G (Impreza)")</f>
        <v>GC8-G (Impreza)</v>
      </c>
      <c r="H79" s="5" t="str">
        <f>IFERROR(__xludf.DUMMYFUNCTION("""COMPUTED_VALUE"""),"PC")</f>
        <v>PC</v>
      </c>
      <c r="I79" s="5"/>
      <c r="J79" s="5"/>
      <c r="K79" s="5"/>
      <c r="L79" s="5"/>
      <c r="M79" s="5" t="str">
        <f>IFERROR(__xludf.DUMMYFUNCTION("""COMPUTED_VALUE"""),"Test Driver")</f>
        <v>Test Driver</v>
      </c>
      <c r="N79" s="5">
        <f>IFERROR(__xludf.DUMMYFUNCTION("""COMPUTED_VALUE"""),0.006944444444444444)</f>
        <v>0.006944444444</v>
      </c>
      <c r="O79" s="5" t="str">
        <f>IFERROR(__xludf.DUMMYFUNCTION("""COMPUTED_VALUE"""),"GR86/ZN8                                                 ")</f>
        <v>GR86/ZN8                                                 </v>
      </c>
      <c r="P79" s="5"/>
      <c r="Q79" s="5"/>
      <c r="R79" s="5"/>
      <c r="S79" s="5"/>
      <c r="T79" s="5"/>
      <c r="U79" s="5"/>
      <c r="V79" s="5"/>
      <c r="W79" s="5"/>
      <c r="X79" s="5"/>
      <c r="Y79" s="5"/>
      <c r="Z79" s="5"/>
      <c r="AA79" s="5"/>
      <c r="AB79" s="5"/>
      <c r="AC79" s="5"/>
      <c r="AD79" s="5"/>
      <c r="AE79" s="5"/>
      <c r="AF79" s="5"/>
      <c r="AG79" s="5"/>
      <c r="AH79" s="5"/>
      <c r="AI79" s="5"/>
      <c r="AJ79" s="5"/>
      <c r="AK79" s="5"/>
      <c r="AL79" s="5"/>
    </row>
    <row r="80">
      <c r="A80" s="5" t="str">
        <f>IFERROR(__xludf.DUMMYFUNCTION("""COMPUTED_VALUE"""),"Test Driver")</f>
        <v>Test Driver</v>
      </c>
      <c r="B80" s="5">
        <f>IFERROR(__xludf.DUMMYFUNCTION("""COMPUTED_VALUE"""),0.006944444444444444)</f>
        <v>0.006944444444</v>
      </c>
      <c r="C80" s="5" t="str">
        <f>IFERROR(__xludf.DUMMYFUNCTION("""COMPUTED_VALUE"""),"AE85")</f>
        <v>AE85</v>
      </c>
      <c r="D80" s="5"/>
      <c r="E80" s="5" t="str">
        <f>IFERROR(__xludf.DUMMYFUNCTION("""COMPUTED_VALUE"""),"Test Driver")</f>
        <v>Test Driver</v>
      </c>
      <c r="F80" s="5">
        <f>IFERROR(__xludf.DUMMYFUNCTION("""COMPUTED_VALUE"""),0.006944444444444444)</f>
        <v>0.006944444444</v>
      </c>
      <c r="G80" s="5" t="str">
        <f>IFERROR(__xludf.DUMMYFUNCTION("""COMPUTED_VALUE"""),"180SX")</f>
        <v>180SX</v>
      </c>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 r="A81" s="5" t="str">
        <f>IFERROR(__xludf.DUMMYFUNCTION("""COMPUTED_VALUE"""),"Test Driver")</f>
        <v>Test Driver</v>
      </c>
      <c r="B81" s="5">
        <f>IFERROR(__xludf.DUMMYFUNCTION("""COMPUTED_VALUE"""),0.006944444444444444)</f>
        <v>0.006944444444</v>
      </c>
      <c r="C81" s="5" t="str">
        <f>IFERROR(__xludf.DUMMYFUNCTION("""COMPUTED_VALUE"""),"S14")</f>
        <v>S14</v>
      </c>
      <c r="D81" s="5"/>
      <c r="E81" s="5" t="str">
        <f>IFERROR(__xludf.DUMMYFUNCTION("""COMPUTED_VALUE"""),"Test Driver")</f>
        <v>Test Driver</v>
      </c>
      <c r="F81" s="5">
        <f>IFERROR(__xludf.DUMMYFUNCTION("""COMPUTED_VALUE"""),0.006944444444444444)</f>
        <v>0.006944444444</v>
      </c>
      <c r="G81" s="5" t="str">
        <f>IFERROR(__xludf.DUMMYFUNCTION("""COMPUTED_VALUE"""),"AE85")</f>
        <v>AE85</v>
      </c>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 r="A82" s="5" t="str">
        <f>IFERROR(__xludf.DUMMYFUNCTION("""COMPUTED_VALUE"""),"Test Driver")</f>
        <v>Test Driver</v>
      </c>
      <c r="B82" s="5">
        <f>IFERROR(__xludf.DUMMYFUNCTION("""COMPUTED_VALUE"""),0.006944444444444444)</f>
        <v>0.006944444444</v>
      </c>
      <c r="C82" s="5" t="str">
        <f>IFERROR(__xludf.DUMMYFUNCTION("""COMPUTED_VALUE"""),"GDB-F (Impreza WRX STi)")</f>
        <v>GDB-F (Impreza WRX STi)</v>
      </c>
      <c r="D82" s="5"/>
      <c r="E82" s="5" t="str">
        <f>IFERROR(__xludf.DUMMYFUNCTION("""COMPUTED_VALUE"""),"Test Driver")</f>
        <v>Test Driver</v>
      </c>
      <c r="F82" s="5">
        <f>IFERROR(__xludf.DUMMYFUNCTION("""COMPUTED_VALUE"""),0.006944444444444444)</f>
        <v>0.006944444444</v>
      </c>
      <c r="G82" s="5" t="str">
        <f>IFERROR(__xludf.DUMMYFUNCTION("""COMPUTED_VALUE"""),"S14")</f>
        <v>S14</v>
      </c>
      <c r="H82" s="5"/>
      <c r="I82" s="29" t="s">
        <v>40</v>
      </c>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 r="A83" s="5" t="str">
        <f>IFERROR(__xludf.DUMMYFUNCTION("""COMPUTED_VALUE"""),"Test Driver")</f>
        <v>Test Driver</v>
      </c>
      <c r="B83" s="5">
        <f>IFERROR(__xludf.DUMMYFUNCTION("""COMPUTED_VALUE"""),0.006944444444444444)</f>
        <v>0.006944444444</v>
      </c>
      <c r="C83" s="5" t="str">
        <f>IFERROR(__xludf.DUMMYFUNCTION("""COMPUTED_VALUE"""),"GC8-G (Impreza)")</f>
        <v>GC8-G (Impreza)</v>
      </c>
      <c r="D83" s="5"/>
      <c r="E83" s="5" t="str">
        <f>IFERROR(__xludf.DUMMYFUNCTION("""COMPUTED_VALUE"""),"Test Driver")</f>
        <v>Test Driver</v>
      </c>
      <c r="F83" s="5">
        <f>IFERROR(__xludf.DUMMYFUNCTION("""COMPUTED_VALUE"""),0.006944444444444444)</f>
        <v>0.006944444444</v>
      </c>
      <c r="G83" s="5" t="str">
        <f>IFERROR(__xludf.DUMMYFUNCTION("""COMPUTED_VALUE"""),"GDB-F (Impreza WRX STi)")</f>
        <v>GDB-F (Impreza WRX STi)</v>
      </c>
      <c r="H83" s="5"/>
      <c r="I83" s="47" t="str">
        <f>IFERROR(__xludf.DUMMYFUNCTION("LET(
  賽道, ""Nurburgring"",
  路線, ""GP"",
  系統, ""Cvs"",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J83" s="47" t="str">
        <f>IFERROR(__xludf.DUMMYFUNCTION("""COMPUTED_VALUE"""),"Time時間")</f>
        <v>Time時間</v>
      </c>
      <c r="K83" s="47" t="str">
        <f>IFERROR(__xludf.DUMMYFUNCTION("""COMPUTED_VALUE"""),"Car車種")</f>
        <v>Car車種</v>
      </c>
      <c r="L83" s="47" t="str">
        <f>IFERROR(__xludf.DUMMYFUNCTION("""COMPUTED_VALUE"""),"Platform平台")</f>
        <v>Platform平台</v>
      </c>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 r="A84" s="5"/>
      <c r="B84" s="5"/>
      <c r="C84" s="5"/>
      <c r="D84" s="5"/>
      <c r="E84" s="5"/>
      <c r="F84" s="5"/>
      <c r="G84" s="5"/>
      <c r="H84" s="5"/>
      <c r="I84" s="5" t="str">
        <f>IFERROR(__xludf.DUMMYFUNCTION("""COMPUTED_VALUE"""),"StarRiver Arts")</f>
        <v>StarRiver Arts</v>
      </c>
      <c r="J84" s="5">
        <f>IFERROR(__xludf.DUMMYFUNCTION("""COMPUTED_VALUE"""),0.0016525810185185185)</f>
        <v>0.001652581019</v>
      </c>
      <c r="K84" s="5" t="str">
        <f>IFERROR(__xludf.DUMMYFUNCTION("""COMPUTED_VALUE"""),"R35")</f>
        <v>R35</v>
      </c>
      <c r="L84" s="5" t="str">
        <f>IFERROR(__xludf.DUMMYFUNCTION("""COMPUTED_VALUE"""),"PC")</f>
        <v>PC</v>
      </c>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 r="A85" s="31" t="s">
        <v>38</v>
      </c>
      <c r="E85" s="31" t="s">
        <v>39</v>
      </c>
      <c r="I85" s="5" t="str">
        <f>IFERROR(__xludf.DUMMYFUNCTION("""COMPUTED_VALUE"""),"Too突突兔To")</f>
        <v>Too突突兔To</v>
      </c>
      <c r="J85" s="5">
        <f>IFERROR(__xludf.DUMMYFUNCTION("""COMPUTED_VALUE"""),0.0018237268518518518)</f>
        <v>0.001823726852</v>
      </c>
      <c r="K85" s="5" t="str">
        <f>IFERROR(__xludf.DUMMYFUNCTION("""COMPUTED_VALUE"""),"992(911 GT3)")</f>
        <v>992(911 GT3)</v>
      </c>
      <c r="L85" s="5" t="str">
        <f>IFERROR(__xludf.DUMMYFUNCTION("""COMPUTED_VALUE"""),"PCVR")</f>
        <v>PCVR</v>
      </c>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 r="A86" s="11" t="str">
        <f>IFERROR(__xludf.DUMMYFUNCTION("LET(
  賽道, ""Akagi"",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86" s="11" t="str">
        <f>IFERROR(__xludf.DUMMYFUNCTION("""COMPUTED_VALUE"""),"Time時間")</f>
        <v>Time時間</v>
      </c>
      <c r="C86" s="11" t="str">
        <f>IFERROR(__xludf.DUMMYFUNCTION("""COMPUTED_VALUE"""),"Car車種")</f>
        <v>Car車種</v>
      </c>
      <c r="D86" s="11" t="str">
        <f>IFERROR(__xludf.DUMMYFUNCTION("""COMPUTED_VALUE"""),"Platform平台")</f>
        <v>Platform平台</v>
      </c>
      <c r="E86" s="11" t="str">
        <f>IFERROR(__xludf.DUMMYFUNCTION("LET(
  賽道, ""Akagi"",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86" s="11" t="str">
        <f>IFERROR(__xludf.DUMMYFUNCTION("""COMPUTED_VALUE"""),"Time時間")</f>
        <v>Time時間</v>
      </c>
      <c r="G86" s="11" t="str">
        <f>IFERROR(__xludf.DUMMYFUNCTION("""COMPUTED_VALUE"""),"Car車種")</f>
        <v>Car車種</v>
      </c>
      <c r="H86" s="11" t="str">
        <f>IFERROR(__xludf.DUMMYFUNCTION("""COMPUTED_VALUE"""),"Platform平台")</f>
        <v>Platform平台</v>
      </c>
      <c r="I86" s="5" t="str">
        <f>IFERROR(__xludf.DUMMYFUNCTION("""COMPUTED_VALUE"""),"Test Driver")</f>
        <v>Test Driver</v>
      </c>
      <c r="J86" s="5">
        <f>IFERROR(__xludf.DUMMYFUNCTION("""COMPUTED_VALUE"""),0.006944444444444444)</f>
        <v>0.006944444444</v>
      </c>
      <c r="K86" s="5" t="str">
        <f>IFERROR(__xludf.DUMMYFUNCTION("""COMPUTED_VALUE"""),"NSX                                                 ")</f>
        <v>NSX                                                 </v>
      </c>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 r="A87" s="5" t="str">
        <f>IFERROR(__xludf.DUMMYFUNCTION("""COMPUTED_VALUE"""),"Lolidia")</f>
        <v>Lolidia</v>
      </c>
      <c r="B87" s="5">
        <f>IFERROR(__xludf.DUMMYFUNCTION("""COMPUTED_VALUE"""),0.002051909722222222)</f>
        <v>0.002051909722</v>
      </c>
      <c r="C87" s="5" t="str">
        <f>IFERROR(__xludf.DUMMYFUNCTION("""COMPUTED_VALUE"""),"FD3S (RX7) V2")</f>
        <v>FD3S (RX7) V2</v>
      </c>
      <c r="D87" s="5" t="str">
        <f>IFERROR(__xludf.DUMMYFUNCTION("""COMPUTED_VALUE"""),"PCVR")</f>
        <v>PCVR</v>
      </c>
      <c r="E87" s="5" t="str">
        <f>IFERROR(__xludf.DUMMYFUNCTION("""COMPUTED_VALUE"""),"Redfrogss")</f>
        <v>Redfrogss</v>
      </c>
      <c r="F87" s="5">
        <f>IFERROR(__xludf.DUMMYFUNCTION("""COMPUTED_VALUE"""),0.002389363425925926)</f>
        <v>0.002389363426</v>
      </c>
      <c r="G87" s="5" t="str">
        <f>IFERROR(__xludf.DUMMYFUNCTION("""COMPUTED_VALUE"""),"FD3S (RX7) V2                                                 ")</f>
        <v>FD3S (RX7) V2                                                 </v>
      </c>
      <c r="H87" s="5" t="str">
        <f>IFERROR(__xludf.DUMMYFUNCTION("""COMPUTED_VALUE"""),"PCVR")</f>
        <v>PCVR</v>
      </c>
      <c r="I87" s="5" t="str">
        <f>IFERROR(__xludf.DUMMYFUNCTION("""COMPUTED_VALUE"""),"Test Driver")</f>
        <v>Test Driver</v>
      </c>
      <c r="J87" s="5">
        <f>IFERROR(__xludf.DUMMYFUNCTION("""COMPUTED_VALUE"""),0.006944444444444444)</f>
        <v>0.006944444444</v>
      </c>
      <c r="K87" s="5" t="str">
        <f>IFERROR(__xludf.DUMMYFUNCTION("""COMPUTED_VALUE"""),"M4 akrapovic")</f>
        <v>M4 akrapovic</v>
      </c>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 r="A88" s="5" t="str">
        <f>IFERROR(__xludf.DUMMYFUNCTION("""COMPUTED_VALUE"""),"Redfrogss")</f>
        <v>Redfrogss</v>
      </c>
      <c r="B88" s="5">
        <f>IFERROR(__xludf.DUMMYFUNCTION("""COMPUTED_VALUE"""),0.002204675925925926)</f>
        <v>0.002204675926</v>
      </c>
      <c r="C88" s="5" t="str">
        <f>IFERROR(__xludf.DUMMYFUNCTION("""COMPUTED_VALUE"""),"FD3S (RX7) V2                                                 ")</f>
        <v>FD3S (RX7) V2                                                 </v>
      </c>
      <c r="D88" s="5" t="str">
        <f>IFERROR(__xludf.DUMMYFUNCTION("""COMPUTED_VALUE"""),"PCVR")</f>
        <v>PCVR</v>
      </c>
      <c r="E88" s="5" t="str">
        <f>IFERROR(__xludf.DUMMYFUNCTION("""COMPUTED_VALUE"""),"Test Driver")</f>
        <v>Test Driver</v>
      </c>
      <c r="F88" s="5">
        <f>IFERROR(__xludf.DUMMYFUNCTION("""COMPUTED_VALUE"""),0.006944444444444444)</f>
        <v>0.006944444444</v>
      </c>
      <c r="G88" s="5" t="str">
        <f>IFERROR(__xludf.DUMMYFUNCTION("""COMPUTED_VALUE"""),"FC3S (RX7)")</f>
        <v>FC3S (RX7)</v>
      </c>
      <c r="H88" s="5"/>
      <c r="I88" s="5" t="str">
        <f>IFERROR(__xludf.DUMMYFUNCTION("""COMPUTED_VALUE"""),"Test Driver")</f>
        <v>Test Driver</v>
      </c>
      <c r="J88" s="5">
        <f>IFERROR(__xludf.DUMMYFUNCTION("""COMPUTED_VALUE"""),0.006944444444444444)</f>
        <v>0.006944444444</v>
      </c>
      <c r="K88" s="5" t="str">
        <f>IFERROR(__xludf.DUMMYFUNCTION("""COMPUTED_VALUE"""),"Nvision74")</f>
        <v>Nvision74</v>
      </c>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 r="A89" s="5" t="str">
        <f>IFERROR(__xludf.DUMMYFUNCTION("""COMPUTED_VALUE"""),"StarRiver Arts")</f>
        <v>StarRiver Arts</v>
      </c>
      <c r="B89" s="5">
        <f>IFERROR(__xludf.DUMMYFUNCTION("""COMPUTED_VALUE"""),0.0023354513888888886)</f>
        <v>0.002335451389</v>
      </c>
      <c r="C89" s="5" t="str">
        <f>IFERROR(__xludf.DUMMYFUNCTION("""COMPUTED_VALUE"""),"AE86T-V2")</f>
        <v>AE86T-V2</v>
      </c>
      <c r="D89" s="5" t="str">
        <f>IFERROR(__xludf.DUMMYFUNCTION("""COMPUTED_VALUE"""),"PC")</f>
        <v>PC</v>
      </c>
      <c r="E89" s="5" t="str">
        <f>IFERROR(__xludf.DUMMYFUNCTION("""COMPUTED_VALUE"""),"Test Driver")</f>
        <v>Test Driver</v>
      </c>
      <c r="F89" s="5">
        <f>IFERROR(__xludf.DUMMYFUNCTION("""COMPUTED_VALUE"""),0.006944444444444444)</f>
        <v>0.006944444444</v>
      </c>
      <c r="G89" s="5" t="str">
        <f>IFERROR(__xludf.DUMMYFUNCTION("""COMPUTED_VALUE"""),"AE86T-V2")</f>
        <v>AE86T-V2</v>
      </c>
      <c r="H89" s="5"/>
      <c r="I89" s="5" t="str">
        <f>IFERROR(__xludf.DUMMYFUNCTION("""COMPUTED_VALUE"""),"Test Driver")</f>
        <v>Test Driver</v>
      </c>
      <c r="J89" s="5">
        <f>IFERROR(__xludf.DUMMYFUNCTION("""COMPUTED_VALUE"""),0.006944444444444444)</f>
        <v>0.006944444444</v>
      </c>
      <c r="K89" s="5" t="str">
        <f>IFERROR(__xludf.DUMMYFUNCTION("""COMPUTED_VALUE"""),"GR86/ZN8                                                 ")</f>
        <v>GR86/ZN8                                                 </v>
      </c>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 r="A90" s="5" t="str">
        <f>IFERROR(__xludf.DUMMYFUNCTION("""COMPUTED_VALUE"""),"アビドサスヒカリ")</f>
        <v>アビドサスヒカリ</v>
      </c>
      <c r="B90" s="5">
        <f>IFERROR(__xludf.DUMMYFUNCTION("""COMPUTED_VALUE"""),0.002350821759259259)</f>
        <v>0.002350821759</v>
      </c>
      <c r="C90" s="5" t="str">
        <f>IFERROR(__xludf.DUMMYFUNCTION("""COMPUTED_VALUE"""),"EVOIII/CE9A")</f>
        <v>EVOIII/CE9A</v>
      </c>
      <c r="D90" s="5" t="str">
        <f>IFERROR(__xludf.DUMMYFUNCTION("""COMPUTED_VALUE"""),"PCVR")</f>
        <v>PCVR</v>
      </c>
      <c r="E90" s="5" t="str">
        <f>IFERROR(__xludf.DUMMYFUNCTION("""COMPUTED_VALUE"""),"Test Driver")</f>
        <v>Test Driver</v>
      </c>
      <c r="F90" s="5">
        <f>IFERROR(__xludf.DUMMYFUNCTION("""COMPUTED_VALUE"""),0.006944444444444444)</f>
        <v>0.006944444444</v>
      </c>
      <c r="G90" s="5" t="str">
        <f>IFERROR(__xludf.DUMMYFUNCTION("""COMPUTED_VALUE"""),"AE86L-V2")</f>
        <v>AE86L-V2</v>
      </c>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 r="A91" s="27" t="str">
        <f>IFERROR(__xludf.DUMMYFUNCTION("""COMPUTED_VALUE"""),"Yuanji Deca")</f>
        <v>Yuanji Deca</v>
      </c>
      <c r="B91" s="5">
        <f>IFERROR(__xludf.DUMMYFUNCTION("""COMPUTED_VALUE"""),0.0026181481481481485)</f>
        <v>0.002618148148</v>
      </c>
      <c r="C91" s="5" t="str">
        <f>IFERROR(__xludf.DUMMYFUNCTION("""COMPUTED_VALUE"""),"DB42 (GR Supra)")</f>
        <v>DB42 (GR Supra)</v>
      </c>
      <c r="D91" s="5" t="str">
        <f>IFERROR(__xludf.DUMMYFUNCTION("""COMPUTED_VALUE"""),"PC")</f>
        <v>PC</v>
      </c>
      <c r="E91" s="5" t="str">
        <f>IFERROR(__xludf.DUMMYFUNCTION("""COMPUTED_VALUE"""),"Test Driver")</f>
        <v>Test Driver</v>
      </c>
      <c r="F91" s="5">
        <f>IFERROR(__xludf.DUMMYFUNCTION("""COMPUTED_VALUE"""),0.006944444444444444)</f>
        <v>0.006944444444</v>
      </c>
      <c r="G91" s="5" t="str">
        <f>IFERROR(__xludf.DUMMYFUNCTION("""COMPUTED_VALUE"""),"GT86/ZN6")</f>
        <v>GT86/ZN6</v>
      </c>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 r="A92" s="5" t="str">
        <f>IFERROR(__xludf.DUMMYFUNCTION("""COMPUTED_VALUE"""),"Sakanakokokoko")</f>
        <v>Sakanakokokoko</v>
      </c>
      <c r="B92" s="5">
        <f>IFERROR(__xludf.DUMMYFUNCTION("""COMPUTED_VALUE"""),0.0028111458333333335)</f>
        <v>0.002811145833</v>
      </c>
      <c r="C92" s="5" t="str">
        <f>IFERROR(__xludf.DUMMYFUNCTION("""COMPUTED_VALUE"""),"S14Q")</f>
        <v>S14Q</v>
      </c>
      <c r="D92" s="5" t="str">
        <f>IFERROR(__xludf.DUMMYFUNCTION("""COMPUTED_VALUE"""),"PC")</f>
        <v>PC</v>
      </c>
      <c r="E92" s="5" t="str">
        <f>IFERROR(__xludf.DUMMYFUNCTION("""COMPUTED_VALUE"""),"Test Driver")</f>
        <v>Test Driver</v>
      </c>
      <c r="F92" s="5">
        <f>IFERROR(__xludf.DUMMYFUNCTION("""COMPUTED_VALUE"""),0.006944444444444444)</f>
        <v>0.006944444444</v>
      </c>
      <c r="G92" s="5" t="str">
        <f>IFERROR(__xludf.DUMMYFUNCTION("""COMPUTED_VALUE"""),"180SX")</f>
        <v>180SX</v>
      </c>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 r="A93" s="5" t="str">
        <f>IFERROR(__xludf.DUMMYFUNCTION("""COMPUTED_VALUE"""),"StarRiver Arts")</f>
        <v>StarRiver Arts</v>
      </c>
      <c r="B93" s="5">
        <f>IFERROR(__xludf.DUMMYFUNCTION("""COMPUTED_VALUE"""),0.006944444444444444)</f>
        <v>0.006944444444</v>
      </c>
      <c r="C93" s="5" t="str">
        <f>IFERROR(__xludf.DUMMYFUNCTION("""COMPUTED_VALUE"""),"FC3S (RX7)")</f>
        <v>FC3S (RX7)</v>
      </c>
      <c r="D93" s="5" t="str">
        <f>IFERROR(__xludf.DUMMYFUNCTION("""COMPUTED_VALUE"""),"PC")</f>
        <v>PC</v>
      </c>
      <c r="E93" s="5" t="str">
        <f>IFERROR(__xludf.DUMMYFUNCTION("""COMPUTED_VALUE"""),"Test Driver")</f>
        <v>Test Driver</v>
      </c>
      <c r="F93" s="5">
        <f>IFERROR(__xludf.DUMMYFUNCTION("""COMPUTED_VALUE"""),0.006944444444444444)</f>
        <v>0.006944444444</v>
      </c>
      <c r="G93" s="5" t="str">
        <f>IFERROR(__xludf.DUMMYFUNCTION("""COMPUTED_VALUE"""),"S13")</f>
        <v>S13</v>
      </c>
      <c r="H93" s="5"/>
      <c r="I93" s="60" t="s">
        <v>114</v>
      </c>
      <c r="Q93" s="35" t="s">
        <v>54</v>
      </c>
      <c r="Y93" s="5"/>
      <c r="Z93" s="5"/>
      <c r="AA93" s="5"/>
      <c r="AB93" s="5"/>
      <c r="AC93" s="5"/>
      <c r="AD93" s="5"/>
      <c r="AE93" s="5"/>
      <c r="AF93" s="5"/>
      <c r="AG93" s="5"/>
      <c r="AH93" s="5"/>
      <c r="AI93" s="5"/>
      <c r="AJ93" s="5"/>
      <c r="AK93" s="5"/>
      <c r="AL93" s="5"/>
    </row>
    <row r="94">
      <c r="A94" s="5" t="str">
        <f>IFERROR(__xludf.DUMMYFUNCTION("""COMPUTED_VALUE"""),"Test Driver")</f>
        <v>Test Driver</v>
      </c>
      <c r="B94" s="5">
        <f>IFERROR(__xludf.DUMMYFUNCTION("""COMPUTED_VALUE"""),0.006944444444444444)</f>
        <v>0.006944444444</v>
      </c>
      <c r="C94" s="5" t="str">
        <f>IFERROR(__xludf.DUMMYFUNCTION("""COMPUTED_VALUE"""),"AE86L-V2")</f>
        <v>AE86L-V2</v>
      </c>
      <c r="D94" s="5"/>
      <c r="E94" s="5" t="str">
        <f>IFERROR(__xludf.DUMMYFUNCTION("""COMPUTED_VALUE"""),"Test Driver")</f>
        <v>Test Driver</v>
      </c>
      <c r="F94" s="5">
        <f>IFERROR(__xludf.DUMMYFUNCTION("""COMPUTED_VALUE"""),0.006944444444444444)</f>
        <v>0.006944444444</v>
      </c>
      <c r="G94" s="5" t="str">
        <f>IFERROR(__xludf.DUMMYFUNCTION("""COMPUTED_VALUE"""),"EVOIV/CN9A")</f>
        <v>EVOIV/CN9A</v>
      </c>
      <c r="H94" s="5"/>
      <c r="I94" s="22" t="s">
        <v>46</v>
      </c>
      <c r="M94" s="22" t="s">
        <v>47</v>
      </c>
      <c r="Q94" s="37" t="s">
        <v>55</v>
      </c>
      <c r="V94" s="5"/>
      <c r="W94" s="5"/>
      <c r="X94" s="5"/>
      <c r="Y94" s="5"/>
      <c r="Z94" s="5"/>
      <c r="AA94" s="5"/>
      <c r="AB94" s="5"/>
      <c r="AC94" s="5"/>
      <c r="AD94" s="5"/>
      <c r="AE94" s="5"/>
      <c r="AF94" s="5"/>
      <c r="AG94" s="5"/>
      <c r="AH94" s="5"/>
      <c r="AI94" s="5"/>
      <c r="AJ94" s="5"/>
      <c r="AK94" s="5"/>
      <c r="AL94" s="5"/>
    </row>
    <row r="95">
      <c r="A95" s="5" t="str">
        <f>IFERROR(__xludf.DUMMYFUNCTION("""COMPUTED_VALUE"""),"Test Driver")</f>
        <v>Test Driver</v>
      </c>
      <c r="B95" s="5">
        <f>IFERROR(__xludf.DUMMYFUNCTION("""COMPUTED_VALUE"""),0.006944444444444444)</f>
        <v>0.006944444444</v>
      </c>
      <c r="C95" s="5" t="str">
        <f>IFERROR(__xludf.DUMMYFUNCTION("""COMPUTED_VALUE"""),"GT86/ZN6")</f>
        <v>GT86/ZN6</v>
      </c>
      <c r="D95" s="5"/>
      <c r="E95" s="5" t="str">
        <f>IFERROR(__xludf.DUMMYFUNCTION("""COMPUTED_VALUE"""),"Test Driver")</f>
        <v>Test Driver</v>
      </c>
      <c r="F95" s="5">
        <f>IFERROR(__xludf.DUMMYFUNCTION("""COMPUTED_VALUE"""),0.006944444444444444)</f>
        <v>0.006944444444</v>
      </c>
      <c r="G95" s="5" t="str">
        <f>IFERROR(__xludf.DUMMYFUNCTION("""COMPUTED_VALUE"""),"FD3S (RX7)(ST)")</f>
        <v>FD3S (RX7)(ST)</v>
      </c>
      <c r="H95" s="5"/>
      <c r="I95" s="11" t="str">
        <f>IFERROR(__xludf.DUMMYFUNCTION("LET(
  賽道, ""Kamidomarizaka"",
  路線, ""DH"",
  系統, ""Cvs"",
  原始, FILTER('歷史紀錄'!$E$2:$H1244, '歷史紀錄'!$B$2:$B1244=賽道, '歷史紀錄'!$C$2:$C1244=路線, '歷史紀錄'!$I$2:$I1244=系統),
  排序後, SORT(原始, 2, TRUE),
  車輛, INDEX(排序後,,3),
  唯一車輛, UNIQUE(車輛),
  結果,
    MAP(唯一車輛, LAMBD"&amp;"A(p,
      INDEX(FILTER(排序後, INDEX(排序後,,3)=p),1,0)
    )),
  表頭, {""Player玩家"",""Time時間"",""Car車種"",""Platform平台""},
  VSTACK(表頭, 結果)
)
"),"Player玩家")</f>
        <v>Player玩家</v>
      </c>
      <c r="J95" s="11" t="str">
        <f>IFERROR(__xludf.DUMMYFUNCTION("""COMPUTED_VALUE"""),"Time時間")</f>
        <v>Time時間</v>
      </c>
      <c r="K95" s="11" t="str">
        <f>IFERROR(__xludf.DUMMYFUNCTION("""COMPUTED_VALUE"""),"Car車種")</f>
        <v>Car車種</v>
      </c>
      <c r="L95" s="11" t="str">
        <f>IFERROR(__xludf.DUMMYFUNCTION("""COMPUTED_VALUE"""),"Platform平台")</f>
        <v>Platform平台</v>
      </c>
      <c r="M95" s="11" t="str">
        <f>IFERROR(__xludf.DUMMYFUNCTION("LET(
  賽道, ""Futatsukane"",
  路線, ""CC"",
  系統, ""Cvs"",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N95" s="11" t="str">
        <f>IFERROR(__xludf.DUMMYFUNCTION("""COMPUTED_VALUE"""),"Time時間")</f>
        <v>Time時間</v>
      </c>
      <c r="O95" s="11" t="str">
        <f>IFERROR(__xludf.DUMMYFUNCTION("""COMPUTED_VALUE"""),"Car車種")</f>
        <v>Car車種</v>
      </c>
      <c r="P95" s="11" t="str">
        <f>IFERROR(__xludf.DUMMYFUNCTION("""COMPUTED_VALUE"""),"Platform平台")</f>
        <v>Platform平台</v>
      </c>
      <c r="Q95" s="11" t="str">
        <f>IFERROR(__xludf.DUMMYFUNCTION("LET(
  賽道, ""Chikuyasan"",
  路線, """",
  系統, ""Cvs"",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R95" s="5" t="str">
        <f>IFERROR(__xludf.DUMMYFUNCTION("""COMPUTED_VALUE"""),"Time時間")</f>
        <v>Time時間</v>
      </c>
      <c r="S95" s="5" t="str">
        <f>IFERROR(__xludf.DUMMYFUNCTION("""COMPUTED_VALUE"""),"Car車種")</f>
        <v>Car車種</v>
      </c>
      <c r="T95" s="5" t="str">
        <f>IFERROR(__xludf.DUMMYFUNCTION("""COMPUTED_VALUE"""),"Platform平台")</f>
        <v>Platform平台</v>
      </c>
      <c r="U95" s="5"/>
      <c r="V95" s="5"/>
      <c r="W95" s="5"/>
      <c r="X95" s="5"/>
      <c r="Y95" s="5"/>
      <c r="Z95" s="5"/>
      <c r="AA95" s="5"/>
      <c r="AB95" s="5"/>
      <c r="AC95" s="5"/>
      <c r="AD95" s="5"/>
      <c r="AE95" s="5"/>
      <c r="AF95" s="5"/>
      <c r="AG95" s="5"/>
      <c r="AH95" s="5"/>
      <c r="AI95" s="5"/>
      <c r="AJ95" s="5"/>
      <c r="AK95" s="5"/>
      <c r="AL95" s="5"/>
    </row>
    <row r="96">
      <c r="A96" s="5" t="str">
        <f>IFERROR(__xludf.DUMMYFUNCTION("""COMPUTED_VALUE"""),"Test Driver")</f>
        <v>Test Driver</v>
      </c>
      <c r="B96" s="5">
        <f>IFERROR(__xludf.DUMMYFUNCTION("""COMPUTED_VALUE"""),0.006944444444444444)</f>
        <v>0.006944444444</v>
      </c>
      <c r="C96" s="5" t="str">
        <f>IFERROR(__xludf.DUMMYFUNCTION("""COMPUTED_VALUE"""),"180SX")</f>
        <v>180SX</v>
      </c>
      <c r="D96" s="5"/>
      <c r="E96" s="5" t="str">
        <f>IFERROR(__xludf.DUMMYFUNCTION("""COMPUTED_VALUE"""),"Test Driver")</f>
        <v>Test Driver</v>
      </c>
      <c r="F96" s="5">
        <f>IFERROR(__xludf.DUMMYFUNCTION("""COMPUTED_VALUE"""),0.006944444444444444)</f>
        <v>0.006944444444</v>
      </c>
      <c r="G96" s="5" t="str">
        <f>IFERROR(__xludf.DUMMYFUNCTION("""COMPUTED_VALUE"""),"FD3S (RX7)")</f>
        <v>FD3S (RX7)</v>
      </c>
      <c r="H96" s="5"/>
      <c r="I96" s="5" t="str">
        <f>IFERROR(__xludf.DUMMYFUNCTION("""COMPUTED_VALUE"""),"BannRaven")</f>
        <v>BannRaven</v>
      </c>
      <c r="J96" s="5">
        <f>IFERROR(__xludf.DUMMYFUNCTION("""COMPUTED_VALUE"""),0.0015639004629629631)</f>
        <v>0.001563900463</v>
      </c>
      <c r="K96" s="5" t="str">
        <f>IFERROR(__xludf.DUMMYFUNCTION("""COMPUTED_VALUE"""),"NSX")</f>
        <v>NSX</v>
      </c>
      <c r="L96" s="5" t="str">
        <f>IFERROR(__xludf.DUMMYFUNCTION("""COMPUTED_VALUE"""),"PCVR")</f>
        <v>PCVR</v>
      </c>
      <c r="M96" s="5" t="str">
        <f>IFERROR(__xludf.DUMMYFUNCTION("""COMPUTED_VALUE"""),"redfrogss")</f>
        <v>redfrogss</v>
      </c>
      <c r="N96" s="5">
        <f>IFERROR(__xludf.DUMMYFUNCTION("""COMPUTED_VALUE"""),0.0032091087962962963)</f>
        <v>0.003209108796</v>
      </c>
      <c r="O96" s="5" t="str">
        <f>IFERROR(__xludf.DUMMYFUNCTION("""COMPUTED_VALUE"""),"Wonder-ATTACK-1")</f>
        <v>Wonder-ATTACK-1</v>
      </c>
      <c r="P96" s="5" t="str">
        <f>IFERROR(__xludf.DUMMYFUNCTION("""COMPUTED_VALUE"""),"PCVR")</f>
        <v>PCVR</v>
      </c>
      <c r="Q96" s="5" t="str">
        <f>IFERROR(__xludf.DUMMYFUNCTION("""COMPUTED_VALUE"""),"BannRaven")</f>
        <v>BannRaven</v>
      </c>
      <c r="R96" s="5">
        <f>IFERROR(__xludf.DUMMYFUNCTION("""COMPUTED_VALUE"""),0.0017595833333333333)</f>
        <v>0.001759583333</v>
      </c>
      <c r="S96" s="5" t="str">
        <f>IFERROR(__xludf.DUMMYFUNCTION("""COMPUTED_VALUE"""),"VRR250R")</f>
        <v>VRR250R</v>
      </c>
      <c r="T96" s="5" t="str">
        <f>IFERROR(__xludf.DUMMYFUNCTION("""COMPUTED_VALUE"""),"PC")</f>
        <v>PC</v>
      </c>
      <c r="U96" s="5"/>
      <c r="V96" s="5"/>
      <c r="W96" s="5"/>
      <c r="X96" s="5"/>
      <c r="Y96" s="5"/>
      <c r="Z96" s="5"/>
      <c r="AA96" s="5"/>
      <c r="AB96" s="5"/>
      <c r="AC96" s="5"/>
      <c r="AD96" s="5"/>
      <c r="AE96" s="5"/>
      <c r="AF96" s="5"/>
      <c r="AG96" s="5"/>
      <c r="AH96" s="5"/>
      <c r="AI96" s="5"/>
      <c r="AJ96" s="5"/>
      <c r="AK96" s="5"/>
      <c r="AL96" s="5"/>
    </row>
    <row r="97">
      <c r="A97" s="5" t="str">
        <f>IFERROR(__xludf.DUMMYFUNCTION("""COMPUTED_VALUE"""),"Test Driver")</f>
        <v>Test Driver</v>
      </c>
      <c r="B97" s="5">
        <f>IFERROR(__xludf.DUMMYFUNCTION("""COMPUTED_VALUE"""),0.006944444444444444)</f>
        <v>0.006944444444</v>
      </c>
      <c r="C97" s="5" t="str">
        <f>IFERROR(__xludf.DUMMYFUNCTION("""COMPUTED_VALUE"""),"S13")</f>
        <v>S13</v>
      </c>
      <c r="D97" s="5"/>
      <c r="E97" s="5" t="str">
        <f>IFERROR(__xludf.DUMMYFUNCTION("""COMPUTED_VALUE"""),"Test Driver")</f>
        <v>Test Driver</v>
      </c>
      <c r="F97" s="5">
        <f>IFERROR(__xludf.DUMMYFUNCTION("""COMPUTED_VALUE"""),0.006944444444444444)</f>
        <v>0.006944444444</v>
      </c>
      <c r="G97" s="5" t="str">
        <f>IFERROR(__xludf.DUMMYFUNCTION("""COMPUTED_VALUE"""),"FD3S (RX7) V2")</f>
        <v>FD3S (RX7) V2</v>
      </c>
      <c r="H97" s="5"/>
      <c r="I97" s="5"/>
      <c r="J97" s="5"/>
      <c r="K97" s="5"/>
      <c r="L97" s="5"/>
      <c r="M97" s="5" t="str">
        <f>IFERROR(__xludf.DUMMYFUNCTION("""COMPUTED_VALUE"""),"redfrogss")</f>
        <v>redfrogss</v>
      </c>
      <c r="N97" s="5">
        <f>IFERROR(__xludf.DUMMYFUNCTION("""COMPUTED_VALUE"""),0.0032727662037037035)</f>
        <v>0.003272766204</v>
      </c>
      <c r="O97" s="5" t="str">
        <f>IFERROR(__xludf.DUMMYFUNCTION("""COMPUTED_VALUE"""),"Wonder-ATTACK-2")</f>
        <v>Wonder-ATTACK-2</v>
      </c>
      <c r="P97" s="5" t="str">
        <f>IFERROR(__xludf.DUMMYFUNCTION("""COMPUTED_VALUE"""),"PCVR")</f>
        <v>PCVR</v>
      </c>
      <c r="Q97" s="5" t="str">
        <f>IFERROR(__xludf.DUMMYFUNCTION("""COMPUTED_VALUE"""),"Kurotsuki.")</f>
        <v>Kurotsuki.</v>
      </c>
      <c r="R97" s="5">
        <f>IFERROR(__xludf.DUMMYFUNCTION("""COMPUTED_VALUE"""),0.005090185185185185)</f>
        <v>0.005090185185</v>
      </c>
      <c r="S97" s="5" t="str">
        <f>IFERROR(__xludf.DUMMYFUNCTION("""COMPUTED_VALUE"""),"VR-1_KOUKI")</f>
        <v>VR-1_KOUKI</v>
      </c>
      <c r="T97" s="5" t="str">
        <f>IFERROR(__xludf.DUMMYFUNCTION("""COMPUTED_VALUE"""),"PC")</f>
        <v>PC</v>
      </c>
      <c r="U97" s="5"/>
      <c r="V97" s="5"/>
      <c r="W97" s="5"/>
      <c r="X97" s="5"/>
      <c r="Y97" s="5"/>
      <c r="Z97" s="5"/>
      <c r="AA97" s="5"/>
      <c r="AB97" s="5"/>
      <c r="AC97" s="5"/>
      <c r="AD97" s="5"/>
      <c r="AE97" s="5"/>
      <c r="AF97" s="5"/>
      <c r="AG97" s="5"/>
      <c r="AH97" s="5"/>
      <c r="AI97" s="5"/>
      <c r="AJ97" s="5"/>
      <c r="AK97" s="5"/>
      <c r="AL97" s="5"/>
    </row>
    <row r="98">
      <c r="A98" s="5" t="str">
        <f>IFERROR(__xludf.DUMMYFUNCTION("""COMPUTED_VALUE"""),"Test Driver")</f>
        <v>Test Driver</v>
      </c>
      <c r="B98" s="5">
        <f>IFERROR(__xludf.DUMMYFUNCTION("""COMPUTED_VALUE"""),0.006944444444444444)</f>
        <v>0.006944444444</v>
      </c>
      <c r="C98" s="5" t="str">
        <f>IFERROR(__xludf.DUMMYFUNCTION("""COMPUTED_VALUE"""),"EVOIV/CN9A")</f>
        <v>EVOIV/CN9A</v>
      </c>
      <c r="D98" s="5"/>
      <c r="E98" s="5" t="str">
        <f>IFERROR(__xludf.DUMMYFUNCTION("""COMPUTED_VALUE"""),"Test Driver")</f>
        <v>Test Driver</v>
      </c>
      <c r="F98" s="5">
        <f>IFERROR(__xludf.DUMMYFUNCTION("""COMPUTED_VALUE"""),0.006944444444444444)</f>
        <v>0.006944444444</v>
      </c>
      <c r="G98" s="5" t="str">
        <f>IFERROR(__xludf.DUMMYFUNCTION("""COMPUTED_VALUE"""),"EVOIII/CE9A")</f>
        <v>EVOIII/CE9A</v>
      </c>
      <c r="H98" s="5"/>
      <c r="I98" s="5"/>
      <c r="J98" s="5"/>
      <c r="K98" s="5"/>
      <c r="L98" s="5"/>
      <c r="M98" s="5" t="str">
        <f>IFERROR(__xludf.DUMMYFUNCTION("""COMPUTED_VALUE"""),"redfrogss")</f>
        <v>redfrogss</v>
      </c>
      <c r="N98" s="5">
        <f>IFERROR(__xludf.DUMMYFUNCTION("""COMPUTED_VALUE"""),0.0032924421296296295)</f>
        <v>0.00329244213</v>
      </c>
      <c r="O98" s="5" t="str">
        <f>IFERROR(__xludf.DUMMYFUNCTION("""COMPUTED_VALUE"""),"DC5-ATTACK-1 (Integra)")</f>
        <v>DC5-ATTACK-1 (Integra)</v>
      </c>
      <c r="P98" s="5" t="str">
        <f>IFERROR(__xludf.DUMMYFUNCTION("""COMPUTED_VALUE"""),"PCVR")</f>
        <v>PCVR</v>
      </c>
      <c r="Q98" s="5"/>
      <c r="R98" s="5"/>
      <c r="S98" s="5"/>
      <c r="T98" s="5"/>
      <c r="U98" s="5"/>
      <c r="V98" s="5"/>
      <c r="W98" s="5"/>
      <c r="X98" s="5"/>
      <c r="Y98" s="5"/>
      <c r="Z98" s="5"/>
      <c r="AA98" s="5"/>
      <c r="AB98" s="5"/>
      <c r="AC98" s="5"/>
      <c r="AD98" s="5"/>
      <c r="AE98" s="5"/>
      <c r="AF98" s="5"/>
      <c r="AG98" s="5"/>
      <c r="AH98" s="5"/>
      <c r="AI98" s="5"/>
      <c r="AJ98" s="5"/>
      <c r="AK98" s="5"/>
      <c r="AL98" s="5"/>
    </row>
    <row r="99">
      <c r="A99" s="5" t="str">
        <f>IFERROR(__xludf.DUMMYFUNCTION("""COMPUTED_VALUE"""),"Test Driver")</f>
        <v>Test Driver</v>
      </c>
      <c r="B99" s="5">
        <f>IFERROR(__xludf.DUMMYFUNCTION("""COMPUTED_VALUE"""),0.006944444444444444)</f>
        <v>0.006944444444</v>
      </c>
      <c r="C99" s="5" t="str">
        <f>IFERROR(__xludf.DUMMYFUNCTION("""COMPUTED_VALUE"""),"FD3S (RX7)(ST)")</f>
        <v>FD3S (RX7)(ST)</v>
      </c>
      <c r="D99" s="5"/>
      <c r="E99" s="5" t="str">
        <f>IFERROR(__xludf.DUMMYFUNCTION("""COMPUTED_VALUE"""),"Test Driver")</f>
        <v>Test Driver</v>
      </c>
      <c r="F99" s="5">
        <f>IFERROR(__xludf.DUMMYFUNCTION("""COMPUTED_VALUE"""),0.006944444444444444)</f>
        <v>0.006944444444</v>
      </c>
      <c r="G99" s="5" t="str">
        <f>IFERROR(__xludf.DUMMYFUNCTION("""COMPUTED_VALUE"""),"DB42 (GR Supra)")</f>
        <v>DB42 (GR Supra)</v>
      </c>
      <c r="H99" s="5"/>
      <c r="I99" s="5"/>
      <c r="J99" s="5"/>
      <c r="K99" s="5"/>
      <c r="L99" s="5"/>
      <c r="M99" s="5" t="str">
        <f>IFERROR(__xludf.DUMMYFUNCTION("""COMPUTED_VALUE"""),"BannRaven")</f>
        <v>BannRaven</v>
      </c>
      <c r="N99" s="5">
        <f>IFERROR(__xludf.DUMMYFUNCTION("""COMPUTED_VALUE"""),0.003347800925925926)</f>
        <v>0.003347800926</v>
      </c>
      <c r="O99" s="5" t="str">
        <f>IFERROR(__xludf.DUMMYFUNCTION("""COMPUTED_VALUE"""),"NSX")</f>
        <v>NSX</v>
      </c>
      <c r="P99" s="5" t="str">
        <f>IFERROR(__xludf.DUMMYFUNCTION("""COMPUTED_VALUE"""),"PCVR")</f>
        <v>PCVR</v>
      </c>
      <c r="Q99" s="5"/>
      <c r="R99" s="5"/>
      <c r="S99" s="5"/>
      <c r="T99" s="5"/>
      <c r="U99" s="5"/>
      <c r="V99" s="5"/>
      <c r="W99" s="5"/>
      <c r="X99" s="5"/>
      <c r="Y99" s="5"/>
      <c r="Z99" s="5"/>
      <c r="AA99" s="5"/>
      <c r="AB99" s="5"/>
      <c r="AC99" s="5"/>
      <c r="AD99" s="5"/>
      <c r="AE99" s="5"/>
      <c r="AF99" s="5"/>
      <c r="AG99" s="5"/>
      <c r="AH99" s="5"/>
      <c r="AI99" s="5"/>
      <c r="AJ99" s="5"/>
      <c r="AK99" s="5"/>
      <c r="AL99" s="5"/>
    </row>
    <row r="100">
      <c r="A100" s="5" t="str">
        <f>IFERROR(__xludf.DUMMYFUNCTION("""COMPUTED_VALUE"""),"Test Driver")</f>
        <v>Test Driver</v>
      </c>
      <c r="B100" s="5">
        <f>IFERROR(__xludf.DUMMYFUNCTION("""COMPUTED_VALUE"""),0.006944444444444444)</f>
        <v>0.006944444444</v>
      </c>
      <c r="C100" s="5" t="str">
        <f>IFERROR(__xludf.DUMMYFUNCTION("""COMPUTED_VALUE"""),"FD3S (RX7)")</f>
        <v>FD3S (RX7)</v>
      </c>
      <c r="D100" s="5"/>
      <c r="E100" s="5" t="str">
        <f>IFERROR(__xludf.DUMMYFUNCTION("""COMPUTED_VALUE"""),"Test Driver")</f>
        <v>Test Driver</v>
      </c>
      <c r="F100" s="5">
        <f>IFERROR(__xludf.DUMMYFUNCTION("""COMPUTED_VALUE"""),0.006944444444444444)</f>
        <v>0.006944444444</v>
      </c>
      <c r="G100" s="5" t="str">
        <f>IFERROR(__xludf.DUMMYFUNCTION("""COMPUTED_VALUE"""),"S14Q")</f>
        <v>S14Q</v>
      </c>
      <c r="H100" s="5"/>
      <c r="I100" s="5"/>
      <c r="J100" s="5"/>
      <c r="K100" s="5"/>
      <c r="L100" s="5"/>
      <c r="M100" s="5" t="str">
        <f>IFERROR(__xludf.DUMMYFUNCTION("""COMPUTED_VALUE"""),"redfrogss")</f>
        <v>redfrogss</v>
      </c>
      <c r="N100" s="5">
        <f>IFERROR(__xludf.DUMMYFUNCTION("""COMPUTED_VALUE"""),0.0037075694444444443)</f>
        <v>0.003707569444</v>
      </c>
      <c r="O100" s="5" t="str">
        <f>IFERROR(__xludf.DUMMYFUNCTION("""COMPUTED_VALUE"""),"M.X GRMN-ATTACK-2")</f>
        <v>M.X GRMN-ATTACK-2</v>
      </c>
      <c r="P100" s="5" t="str">
        <f>IFERROR(__xludf.DUMMYFUNCTION("""COMPUTED_VALUE"""),"PCVR")</f>
        <v>PCVR</v>
      </c>
      <c r="Q100" s="5"/>
      <c r="R100" s="5"/>
      <c r="S100" s="5"/>
      <c r="T100" s="5"/>
      <c r="U100" s="5"/>
      <c r="V100" s="5"/>
      <c r="W100" s="5"/>
      <c r="X100" s="5"/>
      <c r="Y100" s="5"/>
      <c r="Z100" s="5"/>
      <c r="AA100" s="5"/>
      <c r="AB100" s="5"/>
      <c r="AC100" s="5"/>
      <c r="AD100" s="5"/>
      <c r="AE100" s="5"/>
      <c r="AF100" s="5"/>
      <c r="AG100" s="5"/>
      <c r="AH100" s="5"/>
      <c r="AI100" s="5"/>
      <c r="AJ100" s="5"/>
      <c r="AK100" s="5"/>
      <c r="AL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 r="A102" s="33" t="s">
        <v>42</v>
      </c>
      <c r="E102" s="33" t="s">
        <v>43</v>
      </c>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 r="A103" s="11" t="str">
        <f>IFERROR(__xludf.DUMMYFUNCTION("LET(
  賽道, ""Lake Akina"",
  路線, ""CW"",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103" s="11" t="str">
        <f>IFERROR(__xludf.DUMMYFUNCTION("""COMPUTED_VALUE"""),"Time時間")</f>
        <v>Time時間</v>
      </c>
      <c r="C103" s="11" t="str">
        <f>IFERROR(__xludf.DUMMYFUNCTION("""COMPUTED_VALUE"""),"Car車種")</f>
        <v>Car車種</v>
      </c>
      <c r="D103" s="11" t="str">
        <f>IFERROR(__xludf.DUMMYFUNCTION("""COMPUTED_VALUE"""),"Platform平台")</f>
        <v>Platform平台</v>
      </c>
      <c r="E103" s="11" t="str">
        <f>IFERROR(__xludf.DUMMYFUNCTION("LET(
  賽道, ""Lake Akina"",
  路線, ""CC"",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103" s="11" t="str">
        <f>IFERROR(__xludf.DUMMYFUNCTION("""COMPUTED_VALUE"""),"Time時間")</f>
        <v>Time時間</v>
      </c>
      <c r="G103" s="11" t="str">
        <f>IFERROR(__xludf.DUMMYFUNCTION("""COMPUTED_VALUE"""),"Car車種")</f>
        <v>Car車種</v>
      </c>
      <c r="H103" s="11" t="str">
        <f>IFERROR(__xludf.DUMMYFUNCTION("""COMPUTED_VALUE"""),"Platform平台")</f>
        <v>Platform平台</v>
      </c>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 r="A104" s="5" t="str">
        <f>IFERROR(__xludf.DUMMYFUNCTION("""COMPUTED_VALUE"""),"Kinokono_Tenka")</f>
        <v>Kinokono_Tenka</v>
      </c>
      <c r="B104" s="5">
        <f>IFERROR(__xludf.DUMMYFUNCTION("""COMPUTED_VALUE"""),0.0023247800925925923)</f>
        <v>0.002324780093</v>
      </c>
      <c r="C104" s="5" t="str">
        <f>IFERROR(__xludf.DUMMYFUNCTION("""COMPUTED_VALUE"""),"GC8-F (Impreza)")</f>
        <v>GC8-F (Impreza)</v>
      </c>
      <c r="D104" s="5" t="str">
        <f>IFERROR(__xludf.DUMMYFUNCTION("""COMPUTED_VALUE"""),"PCVR")</f>
        <v>PCVR</v>
      </c>
      <c r="E104" s="5" t="str">
        <f>IFERROR(__xludf.DUMMYFUNCTION("""COMPUTED_VALUE"""),"Kinokono_Tenka")</f>
        <v>Kinokono_Tenka</v>
      </c>
      <c r="F104" s="5">
        <f>IFERROR(__xludf.DUMMYFUNCTION("""COMPUTED_VALUE"""),0.0023247800925925923)</f>
        <v>0.002324780093</v>
      </c>
      <c r="G104" s="5" t="str">
        <f>IFERROR(__xludf.DUMMYFUNCTION("""COMPUTED_VALUE"""),"GC8-F (Impreza)")</f>
        <v>GC8-F (Impreza)</v>
      </c>
      <c r="H104" s="5" t="str">
        <f>IFERROR(__xludf.DUMMYFUNCTION("""COMPUTED_VALUE"""),"PCVR")</f>
        <v>PCVR</v>
      </c>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ht="15.0" customHeight="1">
      <c r="A105" s="5" t="str">
        <f>IFERROR(__xludf.DUMMYFUNCTION("""COMPUTED_VALUE"""),"RedFrogss")</f>
        <v>RedFrogss</v>
      </c>
      <c r="B105" s="5">
        <f>IFERROR(__xludf.DUMMYFUNCTION("""COMPUTED_VALUE"""),0.002391400462962963)</f>
        <v>0.002391400463</v>
      </c>
      <c r="C105" s="5" t="str">
        <f>IFERROR(__xludf.DUMMYFUNCTION("""COMPUTED_VALUE"""),"S15")</f>
        <v>S15</v>
      </c>
      <c r="D105" s="5" t="str">
        <f>IFERROR(__xludf.DUMMYFUNCTION("""COMPUTED_VALUE"""),"PCVR")</f>
        <v>PCVR</v>
      </c>
      <c r="E105" s="5" t="str">
        <f>IFERROR(__xludf.DUMMYFUNCTION("""COMPUTED_VALUE"""),"StarRiver Arts")</f>
        <v>StarRiver Arts</v>
      </c>
      <c r="F105" s="5">
        <f>IFERROR(__xludf.DUMMYFUNCTION("""COMPUTED_VALUE"""),0.0030210300925925925)</f>
        <v>0.003021030093</v>
      </c>
      <c r="G105" s="5" t="str">
        <f>IFERROR(__xludf.DUMMYFUNCTION("""COMPUTED_VALUE"""),"AE86T-V2")</f>
        <v>AE86T-V2</v>
      </c>
      <c r="H105" s="5" t="str">
        <f>IFERROR(__xludf.DUMMYFUNCTION("""COMPUTED_VALUE"""),"PC")</f>
        <v>PC</v>
      </c>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 r="A106" s="5" t="str">
        <f>IFERROR(__xludf.DUMMYFUNCTION("""COMPUTED_VALUE"""),"StarRiver Arts")</f>
        <v>StarRiver Arts</v>
      </c>
      <c r="B106" s="5">
        <f>IFERROR(__xludf.DUMMYFUNCTION("""COMPUTED_VALUE"""),0.002519282407407407)</f>
        <v>0.002519282407</v>
      </c>
      <c r="C106" s="5" t="str">
        <f>IFERROR(__xludf.DUMMYFUNCTION("""COMPUTED_VALUE"""),"AE86T-V2")</f>
        <v>AE86T-V2</v>
      </c>
      <c r="D106" s="5" t="str">
        <f>IFERROR(__xludf.DUMMYFUNCTION("""COMPUTED_VALUE"""),"PC")</f>
        <v>PC</v>
      </c>
      <c r="E106" s="5" t="str">
        <f>IFERROR(__xludf.DUMMYFUNCTION("""COMPUTED_VALUE"""),"Test Driver")</f>
        <v>Test Driver</v>
      </c>
      <c r="F106" s="5">
        <f>IFERROR(__xludf.DUMMYFUNCTION("""COMPUTED_VALUE"""),0.006944444444444444)</f>
        <v>0.006944444444</v>
      </c>
      <c r="G106" s="5" t="str">
        <f>IFERROR(__xludf.DUMMYFUNCTION("""COMPUTED_VALUE"""),"FD3S (RX7)")</f>
        <v>FD3S (RX7)</v>
      </c>
      <c r="H106" s="5"/>
      <c r="I106" s="22" t="s">
        <v>53</v>
      </c>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 r="A107" s="5" t="str">
        <f>IFERROR(__xludf.DUMMYFUNCTION("""COMPUTED_VALUE"""),"StarRiver Arts")</f>
        <v>StarRiver Arts</v>
      </c>
      <c r="B107" s="5">
        <f>IFERROR(__xludf.DUMMYFUNCTION("""COMPUTED_VALUE"""),0.0028474189814814816)</f>
        <v>0.002847418981</v>
      </c>
      <c r="C107" s="5" t="str">
        <f>IFERROR(__xludf.DUMMYFUNCTION("""COMPUTED_VALUE"""),"FD3S (RX7)")</f>
        <v>FD3S (RX7)</v>
      </c>
      <c r="D107" s="5" t="str">
        <f>IFERROR(__xludf.DUMMYFUNCTION("""COMPUTED_VALUE"""),"PC")</f>
        <v>PC</v>
      </c>
      <c r="E107" s="5" t="str">
        <f>IFERROR(__xludf.DUMMYFUNCTION("""COMPUTED_VALUE"""),"Test Driver")</f>
        <v>Test Driver</v>
      </c>
      <c r="F107" s="5">
        <f>IFERROR(__xludf.DUMMYFUNCTION("""COMPUTED_VALUE"""),0.006944444444444444)</f>
        <v>0.006944444444</v>
      </c>
      <c r="G107" s="5" t="str">
        <f>IFERROR(__xludf.DUMMYFUNCTION("""COMPUTED_VALUE"""),"S15")</f>
        <v>S15</v>
      </c>
      <c r="H107" s="5"/>
      <c r="I107" s="11" t="str">
        <f>IFERROR(__xludf.DUMMYFUNCTION("LET(
  賽道, ""Ryuoukouzan"",
  路線, ""DH"",
  系統, ""Cvs"",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J107" s="11" t="str">
        <f>IFERROR(__xludf.DUMMYFUNCTION("""COMPUTED_VALUE"""),"Time時間")</f>
        <v>Time時間</v>
      </c>
      <c r="K107" s="11" t="str">
        <f>IFERROR(__xludf.DUMMYFUNCTION("""COMPUTED_VALUE"""),"Car車種")</f>
        <v>Car車種</v>
      </c>
      <c r="L107" s="11" t="str">
        <f>IFERROR(__xludf.DUMMYFUNCTION("""COMPUTED_VALUE"""),"Platform平台")</f>
        <v>Platform平台</v>
      </c>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 r="A108" s="5" t="str">
        <f>IFERROR(__xludf.DUMMYFUNCTION("""COMPUTED_VALUE"""),"Test Driver")</f>
        <v>Test Driver</v>
      </c>
      <c r="B108" s="5">
        <f>IFERROR(__xludf.DUMMYFUNCTION("""COMPUTED_VALUE"""),0.006944444444444444)</f>
        <v>0.006944444444</v>
      </c>
      <c r="C108" s="5" t="str">
        <f>IFERROR(__xludf.DUMMYFUNCTION("""COMPUTED_VALUE"""),"AE85")</f>
        <v>AE85</v>
      </c>
      <c r="D108" s="5"/>
      <c r="E108" s="5" t="str">
        <f>IFERROR(__xludf.DUMMYFUNCTION("""COMPUTED_VALUE"""),"Test Driver")</f>
        <v>Test Driver</v>
      </c>
      <c r="F108" s="5">
        <f>IFERROR(__xludf.DUMMYFUNCTION("""COMPUTED_VALUE"""),0.006944444444444444)</f>
        <v>0.006944444444</v>
      </c>
      <c r="G108" s="5" t="str">
        <f>IFERROR(__xludf.DUMMYFUNCTION("""COMPUTED_VALUE"""),"AE85")</f>
        <v>AE85</v>
      </c>
      <c r="H108" s="5"/>
      <c r="I108" s="5" t="str">
        <f>IFERROR(__xludf.DUMMYFUNCTION("""COMPUTED_VALUE"""),"Lolidia")</f>
        <v>Lolidia</v>
      </c>
      <c r="J108" s="5">
        <f>IFERROR(__xludf.DUMMYFUNCTION("""COMPUTED_VALUE"""),0.0012001041666666666)</f>
        <v>0.001200104167</v>
      </c>
      <c r="K108" s="5" t="str">
        <f>IFERROR(__xludf.DUMMYFUNCTION("""COMPUTED_VALUE"""),"GC8-Attack")</f>
        <v>GC8-Attack</v>
      </c>
      <c r="L108" s="5" t="str">
        <f>IFERROR(__xludf.DUMMYFUNCTION("""COMPUTED_VALUE"""),"PCVR")</f>
        <v>PCVR</v>
      </c>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 r="A109" s="5" t="str">
        <f>IFERROR(__xludf.DUMMYFUNCTION("""COMPUTED_VALUE"""),"Test Driver")</f>
        <v>Test Driver</v>
      </c>
      <c r="B109" s="5">
        <f>IFERROR(__xludf.DUMMYFUNCTION("""COMPUTED_VALUE"""),0.006944444444444444)</f>
        <v>0.006944444444</v>
      </c>
      <c r="C109" s="5" t="str">
        <f>IFERROR(__xludf.DUMMYFUNCTION("""COMPUTED_VALUE"""),"180SX")</f>
        <v>180SX</v>
      </c>
      <c r="D109" s="5"/>
      <c r="E109" s="5" t="str">
        <f>IFERROR(__xludf.DUMMYFUNCTION("""COMPUTED_VALUE"""),"Test Driver")</f>
        <v>Test Driver</v>
      </c>
      <c r="F109" s="5">
        <f>IFERROR(__xludf.DUMMYFUNCTION("""COMPUTED_VALUE"""),0.006944444444444444)</f>
        <v>0.006944444444</v>
      </c>
      <c r="G109" s="5" t="str">
        <f>IFERROR(__xludf.DUMMYFUNCTION("""COMPUTED_VALUE"""),"180SX")</f>
        <v>180SX</v>
      </c>
      <c r="H109" s="5"/>
      <c r="I109" s="5" t="str">
        <f>IFERROR(__xludf.DUMMYFUNCTION("""COMPUTED_VALUE"""),"菲娜 希琉絲")</f>
        <v>菲娜 希琉絲</v>
      </c>
      <c r="J109" s="5">
        <f>IFERROR(__xludf.DUMMYFUNCTION("""COMPUTED_VALUE"""),0.0012993865740740741)</f>
        <v>0.001299386574</v>
      </c>
      <c r="K109" s="5" t="str">
        <f>IFERROR(__xludf.DUMMYFUNCTION("""COMPUTED_VALUE"""),"SuptokaV80B-Attack")</f>
        <v>SuptokaV80B-Attack</v>
      </c>
      <c r="L109" s="5" t="str">
        <f>IFERROR(__xludf.DUMMYFUNCTION("""COMPUTED_VALUE"""),"PCVR")</f>
        <v>PCVR</v>
      </c>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ht="15.0" customHeight="1">
      <c r="A110" s="5" t="str">
        <f>IFERROR(__xludf.DUMMYFUNCTION("""COMPUTED_VALUE"""),"Test Driver")</f>
        <v>Test Driver</v>
      </c>
      <c r="B110" s="5">
        <f>IFERROR(__xludf.DUMMYFUNCTION("""COMPUTED_VALUE"""),0.006944444444444444)</f>
        <v>0.006944444444</v>
      </c>
      <c r="C110" s="5" t="str">
        <f>IFERROR(__xludf.DUMMYFUNCTION("""COMPUTED_VALUE"""),"S13")</f>
        <v>S13</v>
      </c>
      <c r="D110" s="5"/>
      <c r="E110" s="5" t="str">
        <f>IFERROR(__xludf.DUMMYFUNCTION("""COMPUTED_VALUE"""),"Test Driver")</f>
        <v>Test Driver</v>
      </c>
      <c r="F110" s="5">
        <f>IFERROR(__xludf.DUMMYFUNCTION("""COMPUTED_VALUE"""),0.006944444444444444)</f>
        <v>0.006944444444</v>
      </c>
      <c r="G110" s="5" t="str">
        <f>IFERROR(__xludf.DUMMYFUNCTION("""COMPUTED_VALUE"""),"S13")</f>
        <v>S13</v>
      </c>
      <c r="H110" s="5"/>
      <c r="I110" s="5" t="str">
        <f>IFERROR(__xludf.DUMMYFUNCTION("""COMPUTED_VALUE"""),"Yukira雪夜")</f>
        <v>Yukira雪夜</v>
      </c>
      <c r="J110" s="5">
        <f>IFERROR(__xludf.DUMMYFUNCTION("""COMPUTED_VALUE"""),0.0013045949074074073)</f>
        <v>0.001304594907</v>
      </c>
      <c r="K110" s="5" t="str">
        <f>IFERROR(__xludf.DUMMYFUNCTION("""COMPUTED_VALUE"""),"LE8-Attack")</f>
        <v>LE8-Attack</v>
      </c>
      <c r="L110" s="5" t="str">
        <f>IFERROR(__xludf.DUMMYFUNCTION("""COMPUTED_VALUE"""),"PCVR")</f>
        <v>PCVR</v>
      </c>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 r="A111" s="5" t="str">
        <f>IFERROR(__xludf.DUMMYFUNCTION("""COMPUTED_VALUE"""),"Test Driver")</f>
        <v>Test Driver</v>
      </c>
      <c r="B111" s="5">
        <f>IFERROR(__xludf.DUMMYFUNCTION("""COMPUTED_VALUE"""),0.006944444444444444)</f>
        <v>0.006944444444</v>
      </c>
      <c r="C111" s="5" t="str">
        <f>IFERROR(__xludf.DUMMYFUNCTION("""COMPUTED_VALUE"""),"Fake Trueno")</f>
        <v>Fake Trueno</v>
      </c>
      <c r="D111" s="5"/>
      <c r="E111" s="5" t="str">
        <f>IFERROR(__xludf.DUMMYFUNCTION("""COMPUTED_VALUE"""),"Test Driver")</f>
        <v>Test Driver</v>
      </c>
      <c r="F111" s="5">
        <f>IFERROR(__xludf.DUMMYFUNCTION("""COMPUTED_VALUE"""),0.006944444444444444)</f>
        <v>0.006944444444</v>
      </c>
      <c r="G111" s="5" t="str">
        <f>IFERROR(__xludf.DUMMYFUNCTION("""COMPUTED_VALUE"""),"Fake Trueno")</f>
        <v>Fake Trueno</v>
      </c>
      <c r="H111" s="5"/>
      <c r="I111" s="5" t="str">
        <f>IFERROR(__xludf.DUMMYFUNCTION("""COMPUTED_VALUE"""),"夜者")</f>
        <v>夜者</v>
      </c>
      <c r="J111" s="5">
        <f>IFERROR(__xludf.DUMMYFUNCTION("""COMPUTED_VALUE"""),0.0013298611111111113)</f>
        <v>0.001329861111</v>
      </c>
      <c r="K111" s="5" t="str">
        <f>IFERROR(__xludf.DUMMYFUNCTION("""COMPUTED_VALUE"""),"GtR34-Attack")</f>
        <v>GtR34-Attack</v>
      </c>
      <c r="L111" s="5" t="str">
        <f>IFERROR(__xludf.DUMMYFUNCTION("""COMPUTED_VALUE"""),"PCVR")</f>
        <v>PCVR</v>
      </c>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 r="A112" s="5" t="str">
        <f>IFERROR(__xludf.DUMMYFUNCTION("""COMPUTED_VALUE"""),"Test Driver")</f>
        <v>Test Driver</v>
      </c>
      <c r="B112" s="5">
        <f>IFERROR(__xludf.DUMMYFUNCTION("""COMPUTED_VALUE"""),0.006944444444444444)</f>
        <v>0.006944444444</v>
      </c>
      <c r="C112" s="5" t="str">
        <f>IFERROR(__xludf.DUMMYFUNCTION("""COMPUTED_VALUE"""),"AE86L")</f>
        <v>AE86L</v>
      </c>
      <c r="D112" s="5"/>
      <c r="E112" s="5" t="str">
        <f>IFERROR(__xludf.DUMMYFUNCTION("""COMPUTED_VALUE"""),"Test Driver")</f>
        <v>Test Driver</v>
      </c>
      <c r="F112" s="5">
        <f>IFERROR(__xludf.DUMMYFUNCTION("""COMPUTED_VALUE"""),0.006944444444444444)</f>
        <v>0.006944444444</v>
      </c>
      <c r="G112" s="5" t="str">
        <f>IFERROR(__xludf.DUMMYFUNCTION("""COMPUTED_VALUE"""),"AE86L")</f>
        <v>AE86L</v>
      </c>
      <c r="H112" s="5"/>
      <c r="I112" s="5" t="str">
        <f>IFERROR(__xludf.DUMMYFUNCTION("""COMPUTED_VALUE"""),"夜者")</f>
        <v>夜者</v>
      </c>
      <c r="J112" s="5">
        <f>IFERROR(__xludf.DUMMYFUNCTION("""COMPUTED_VALUE"""),0.0013590625)</f>
        <v>0.0013590625</v>
      </c>
      <c r="K112" s="5" t="str">
        <f>IFERROR(__xludf.DUMMYFUNCTION("""COMPUTED_VALUE"""),"FT3O-Attack")</f>
        <v>FT3O-Attack</v>
      </c>
      <c r="L112" s="5" t="str">
        <f>IFERROR(__xludf.DUMMYFUNCTION("""COMPUTED_VALUE"""),"PCVR")</f>
        <v>PCVR</v>
      </c>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5"/>
      <c r="C113" s="5"/>
      <c r="D113" s="5"/>
      <c r="E113" s="5"/>
      <c r="F113" s="5"/>
      <c r="G113" s="5"/>
      <c r="H113" s="5"/>
      <c r="I113" s="5" t="str">
        <f>IFERROR(__xludf.DUMMYFUNCTION("""COMPUTED_VALUE"""),"Yang路人")</f>
        <v>Yang路人</v>
      </c>
      <c r="J113" s="5">
        <f>IFERROR(__xludf.DUMMYFUNCTION("""COMPUTED_VALUE"""),0.0013755092592592593)</f>
        <v>0.001375509259</v>
      </c>
      <c r="K113" s="5" t="str">
        <f>IFERROR(__xludf.DUMMYFUNCTION("""COMPUTED_VALUE"""),"FD3S-Aspec")</f>
        <v>FD3S-Aspec</v>
      </c>
      <c r="L113" s="5" t="str">
        <f>IFERROR(__xludf.DUMMYFUNCTION("""COMPUTED_VALUE"""),"PCVR")</f>
        <v>PCVR</v>
      </c>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 r="A114" s="36" t="s">
        <v>49</v>
      </c>
      <c r="E114" s="36" t="s">
        <v>50</v>
      </c>
      <c r="I114" s="5" t="str">
        <f>IFERROR(__xludf.DUMMYFUNCTION("""COMPUTED_VALUE"""),"windnight5")</f>
        <v>windnight5</v>
      </c>
      <c r="J114" s="5">
        <f>IFERROR(__xludf.DUMMYFUNCTION("""COMPUTED_VALUE"""),0.0013940277777777779)</f>
        <v>0.001394027778</v>
      </c>
      <c r="K114" s="5" t="str">
        <f>IFERROR(__xludf.DUMMYFUNCTION("""COMPUTED_VALUE"""),"PachirokuGT-Attack")</f>
        <v>PachirokuGT-Attack</v>
      </c>
      <c r="L114" s="5" t="str">
        <f>IFERROR(__xludf.DUMMYFUNCTION("""COMPUTED_VALUE"""),"PCVR")</f>
        <v>PCVR</v>
      </c>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 r="A115" s="11" t="str">
        <f>IFERROR(__xludf.DUMMYFUNCTION("LET(
  賽道, ""Usui V1"",
  路線, ""CW"",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115" s="11" t="str">
        <f>IFERROR(__xludf.DUMMYFUNCTION("""COMPUTED_VALUE"""),"Time時間")</f>
        <v>Time時間</v>
      </c>
      <c r="C115" s="11" t="str">
        <f>IFERROR(__xludf.DUMMYFUNCTION("""COMPUTED_VALUE"""),"Car車種")</f>
        <v>Car車種</v>
      </c>
      <c r="D115" s="11" t="str">
        <f>IFERROR(__xludf.DUMMYFUNCTION("""COMPUTED_VALUE"""),"Platform平台")</f>
        <v>Platform平台</v>
      </c>
      <c r="E115" s="11" t="str">
        <f>IFERROR(__xludf.DUMMYFUNCTION("LET(
  賽道, ""Usui V1"",
  路線, ""CC"",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115" s="11" t="str">
        <f>IFERROR(__xludf.DUMMYFUNCTION("""COMPUTED_VALUE"""),"Time時間")</f>
        <v>Time時間</v>
      </c>
      <c r="G115" s="11" t="str">
        <f>IFERROR(__xludf.DUMMYFUNCTION("""COMPUTED_VALUE"""),"Car車種")</f>
        <v>Car車種</v>
      </c>
      <c r="H115" s="11" t="str">
        <f>IFERROR(__xludf.DUMMYFUNCTION("""COMPUTED_VALUE"""),"Platform平台")</f>
        <v>Platform平台</v>
      </c>
      <c r="I115" s="5" t="str">
        <f>IFERROR(__xludf.DUMMYFUNCTION("""COMPUTED_VALUE"""),"StarRiver Arts")</f>
        <v>StarRiver Arts</v>
      </c>
      <c r="J115" s="5">
        <f>IFERROR(__xludf.DUMMYFUNCTION("""COMPUTED_VALUE"""),0.0014724189814814815)</f>
        <v>0.001472418981</v>
      </c>
      <c r="K115" s="5" t="str">
        <f>IFERROR(__xludf.DUMMYFUNCTION("""COMPUTED_VALUE"""),"LE6-Attack")</f>
        <v>LE6-Attack</v>
      </c>
      <c r="L115" s="5" t="str">
        <f>IFERROR(__xludf.DUMMYFUNCTION("""COMPUTED_VALUE"""),"PC")</f>
        <v>PC</v>
      </c>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 r="A116" s="5" t="str">
        <f>IFERROR(__xludf.DUMMYFUNCTION("""COMPUTED_VALUE"""),"Lolidia")</f>
        <v>Lolidia</v>
      </c>
      <c r="B116" s="5">
        <f>IFERROR(__xludf.DUMMYFUNCTION("""COMPUTED_VALUE"""),0.002216678240740741)</f>
        <v>0.002216678241</v>
      </c>
      <c r="C116" s="5" t="str">
        <f>IFERROR(__xludf.DUMMYFUNCTION("""COMPUTED_VALUE"""),"ER34")</f>
        <v>ER34</v>
      </c>
      <c r="D116" s="5" t="str">
        <f>IFERROR(__xludf.DUMMYFUNCTION("""COMPUTED_VALUE"""),"PCVR")</f>
        <v>PCVR</v>
      </c>
      <c r="E116" s="5" t="str">
        <f>IFERROR(__xludf.DUMMYFUNCTION("""COMPUTED_VALUE"""),"Test Driver")</f>
        <v>Test Driver</v>
      </c>
      <c r="F116" s="5">
        <f>IFERROR(__xludf.DUMMYFUNCTION("""COMPUTED_VALUE"""),0.006944444444444444)</f>
        <v>0.006944444444</v>
      </c>
      <c r="G116" s="5" t="str">
        <f>IFERROR(__xludf.DUMMYFUNCTION("""COMPUTED_VALUE"""),"EA11R (Cappuccino)")</f>
        <v>EA11R (Cappuccino)</v>
      </c>
      <c r="H116" s="5"/>
      <c r="I116" s="5" t="str">
        <f>IFERROR(__xludf.DUMMYFUNCTION("""COMPUTED_VALUE"""),"Yukira雪夜")</f>
        <v>Yukira雪夜</v>
      </c>
      <c r="J116" s="5">
        <f>IFERROR(__xludf.DUMMYFUNCTION("""COMPUTED_VALUE"""),0.0020203472222222224)</f>
        <v>0.002020347222</v>
      </c>
      <c r="K116" s="5" t="str">
        <f>IFERROR(__xludf.DUMMYFUNCTION("""COMPUTED_VALUE"""),"FD3S-Drift")</f>
        <v>FD3S-Drift</v>
      </c>
      <c r="L116" s="5" t="str">
        <f>IFERROR(__xludf.DUMMYFUNCTION("""COMPUTED_VALUE"""),"PCVR")</f>
        <v>PCVR</v>
      </c>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 r="A117" s="5" t="str">
        <f>IFERROR(__xludf.DUMMYFUNCTION("""COMPUTED_VALUE"""),"Lolidia")</f>
        <v>Lolidia</v>
      </c>
      <c r="B117" s="5">
        <f>IFERROR(__xludf.DUMMYFUNCTION("""COMPUTED_VALUE"""),0.002320474537037037)</f>
        <v>0.002320474537</v>
      </c>
      <c r="C117" s="5" t="str">
        <f>IFERROR(__xludf.DUMMYFUNCTION("""COMPUTED_VALUE"""),"EA11R (Cappuccino)")</f>
        <v>EA11R (Cappuccino)</v>
      </c>
      <c r="D117" s="5" t="str">
        <f>IFERROR(__xludf.DUMMYFUNCTION("""COMPUTED_VALUE"""),"PCVR")</f>
        <v>PCVR</v>
      </c>
      <c r="E117" s="5" t="str">
        <f>IFERROR(__xludf.DUMMYFUNCTION("""COMPUTED_VALUE"""),"Test Driver")</f>
        <v>Test Driver</v>
      </c>
      <c r="F117" s="5">
        <f>IFERROR(__xludf.DUMMYFUNCTION("""COMPUTED_VALUE"""),0.006944444444444444)</f>
        <v>0.006944444444</v>
      </c>
      <c r="G117" s="5" t="str">
        <f>IFERROR(__xludf.DUMMYFUNCTION("""COMPUTED_VALUE"""),"SilEighty")</f>
        <v>SilEighty</v>
      </c>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 r="A118" s="5" t="str">
        <f>IFERROR(__xludf.DUMMYFUNCTION("""COMPUTED_VALUE"""),"ikuhopen")</f>
        <v>ikuhopen</v>
      </c>
      <c r="B118" s="5">
        <f>IFERROR(__xludf.DUMMYFUNCTION("""COMPUTED_VALUE"""),0.0024279282407407405)</f>
        <v>0.002427928241</v>
      </c>
      <c r="C118" s="5" t="str">
        <f>IFERROR(__xludf.DUMMYFUNCTION("""COMPUTED_VALUE"""),"SilEighty")</f>
        <v>SilEighty</v>
      </c>
      <c r="D118" s="5" t="str">
        <f>IFERROR(__xludf.DUMMYFUNCTION("""COMPUTED_VALUE"""),"PCVR")</f>
        <v>PCVR</v>
      </c>
      <c r="E118" s="5" t="str">
        <f>IFERROR(__xludf.DUMMYFUNCTION("""COMPUTED_VALUE"""),"Test Driver")</f>
        <v>Test Driver</v>
      </c>
      <c r="F118" s="5">
        <f>IFERROR(__xludf.DUMMYFUNCTION("""COMPUTED_VALUE"""),0.006944444444444444)</f>
        <v>0.006944444444</v>
      </c>
      <c r="G118" s="5" t="str">
        <f>IFERROR(__xludf.DUMMYFUNCTION("""COMPUTED_VALUE"""),"FD3S (RX7)")</f>
        <v>FD3S (RX7)</v>
      </c>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 r="A119" s="5" t="str">
        <f>IFERROR(__xludf.DUMMYFUNCTION("""COMPUTED_VALUE"""),"アビドサスヒカリ")</f>
        <v>アビドサスヒカリ</v>
      </c>
      <c r="B119" s="5">
        <f>IFERROR(__xludf.DUMMYFUNCTION("""COMPUTED_VALUE"""),0.0025139467592592596)</f>
        <v>0.002513946759</v>
      </c>
      <c r="C119" s="5" t="str">
        <f>IFERROR(__xludf.DUMMYFUNCTION("""COMPUTED_VALUE"""),"FD3S (RX7)")</f>
        <v>FD3S (RX7)</v>
      </c>
      <c r="D119" s="5" t="str">
        <f>IFERROR(__xludf.DUMMYFUNCTION("""COMPUTED_VALUE"""),"PC")</f>
        <v>PC</v>
      </c>
      <c r="E119" s="5" t="str">
        <f>IFERROR(__xludf.DUMMYFUNCTION("""COMPUTED_VALUE"""),"Test Driver")</f>
        <v>Test Driver</v>
      </c>
      <c r="F119" s="5">
        <f>IFERROR(__xludf.DUMMYFUNCTION("""COMPUTED_VALUE"""),0.006944444444444444)</f>
        <v>0.006944444444</v>
      </c>
      <c r="G119" s="5" t="str">
        <f>IFERROR(__xludf.DUMMYFUNCTION("""COMPUTED_VALUE"""),"ER34 (R34 23GT Turbo)")</f>
        <v>ER34 (R34 23GT Turbo)</v>
      </c>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 r="A120" s="5" t="str">
        <f>IFERROR(__xludf.DUMMYFUNCTION("""COMPUTED_VALUE"""),"StarRiver Arts")</f>
        <v>StarRiver Arts</v>
      </c>
      <c r="B120" s="5">
        <f>IFERROR(__xludf.DUMMYFUNCTION("""COMPUTED_VALUE"""),0.0026026273148148146)</f>
        <v>0.002602627315</v>
      </c>
      <c r="C120" s="5" t="str">
        <f>IFERROR(__xludf.DUMMYFUNCTION("""COMPUTED_VALUE"""),"ER34 (R34 23GT Turbo)")</f>
        <v>ER34 (R34 23GT Turbo)</v>
      </c>
      <c r="D120" s="5" t="str">
        <f>IFERROR(__xludf.DUMMYFUNCTION("""COMPUTED_VALUE"""),"PC")</f>
        <v>PC</v>
      </c>
      <c r="E120" s="5" t="str">
        <f>IFERROR(__xludf.DUMMYFUNCTION("""COMPUTED_VALUE"""),"Test Driver")</f>
        <v>Test Driver</v>
      </c>
      <c r="F120" s="5">
        <f>IFERROR(__xludf.DUMMYFUNCTION("""COMPUTED_VALUE"""),0.006944444444444444)</f>
        <v>0.006944444444</v>
      </c>
      <c r="G120" s="5" t="str">
        <f>IFERROR(__xludf.DUMMYFUNCTION("""COMPUTED_VALUE"""),"NA6CE (Mx5 Roadster)")</f>
        <v>NA6CE (Mx5 Roadster)</v>
      </c>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 r="A121" s="5" t="str">
        <f>IFERROR(__xludf.DUMMYFUNCTION("""COMPUTED_VALUE"""),"Sakanakokokoko")</f>
        <v>Sakanakokokoko</v>
      </c>
      <c r="B121" s="5">
        <f>IFERROR(__xludf.DUMMYFUNCTION("""COMPUTED_VALUE"""),0.002955243055555555)</f>
        <v>0.002955243056</v>
      </c>
      <c r="C121" s="5" t="str">
        <f>IFERROR(__xludf.DUMMYFUNCTION("""COMPUTED_VALUE"""),"NA6CE (Mx5 Roadster)")</f>
        <v>NA6CE (Mx5 Roadster)</v>
      </c>
      <c r="D121" s="5" t="str">
        <f>IFERROR(__xludf.DUMMYFUNCTION("""COMPUTED_VALUE"""),"PC")</f>
        <v>PC</v>
      </c>
      <c r="E121" s="5" t="str">
        <f>IFERROR(__xludf.DUMMYFUNCTION("""COMPUTED_VALUE"""),"Test Driver")</f>
        <v>Test Driver</v>
      </c>
      <c r="F121" s="5">
        <f>IFERROR(__xludf.DUMMYFUNCTION("""COMPUTED_VALUE"""),0.006944444444444444)</f>
        <v>0.006944444444</v>
      </c>
      <c r="G121" s="5" t="str">
        <f>IFERROR(__xludf.DUMMYFUNCTION("""COMPUTED_VALUE"""),"AE86L")</f>
        <v>AE86L</v>
      </c>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c r="A122" s="5" t="str">
        <f>IFERROR(__xludf.DUMMYFUNCTION("""COMPUTED_VALUE"""),"Test Driver")</f>
        <v>Test Driver</v>
      </c>
      <c r="B122" s="5">
        <f>IFERROR(__xludf.DUMMYFUNCTION("""COMPUTED_VALUE"""),0.006944444444444444)</f>
        <v>0.006944444444</v>
      </c>
      <c r="C122" s="5" t="str">
        <f>IFERROR(__xludf.DUMMYFUNCTION("""COMPUTED_VALUE"""),"AE86L")</f>
        <v>AE86L</v>
      </c>
      <c r="D122" s="5"/>
      <c r="E122" s="5" t="str">
        <f>IFERROR(__xludf.DUMMYFUNCTION("""COMPUTED_VALUE"""),"Test Driver")</f>
        <v>Test Driver</v>
      </c>
      <c r="F122" s="5">
        <f>IFERROR(__xludf.DUMMYFUNCTION("""COMPUTED_VALUE"""),0.006944444444444444)</f>
        <v>0.006944444444</v>
      </c>
      <c r="G122" s="5" t="str">
        <f>IFERROR(__xludf.DUMMYFUNCTION("""COMPUTED_VALUE"""),"SW20 (MR2)")</f>
        <v>SW20 (MR2)</v>
      </c>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row>
    <row r="123">
      <c r="A123" s="5" t="str">
        <f>IFERROR(__xludf.DUMMYFUNCTION("""COMPUTED_VALUE"""),"Test Driver")</f>
        <v>Test Driver</v>
      </c>
      <c r="B123" s="5">
        <f>IFERROR(__xludf.DUMMYFUNCTION("""COMPUTED_VALUE"""),0.006944444444444444)</f>
        <v>0.006944444444</v>
      </c>
      <c r="C123" s="5" t="str">
        <f>IFERROR(__xludf.DUMMYFUNCTION("""COMPUTED_VALUE"""),"SW20 (MR2)")</f>
        <v>SW20 (MR2)</v>
      </c>
      <c r="D123" s="5"/>
      <c r="E123" s="5" t="str">
        <f>IFERROR(__xludf.DUMMYFUNCTION("""COMPUTED_VALUE"""),"Test Driver")</f>
        <v>Test Driver</v>
      </c>
      <c r="F123" s="5">
        <f>IFERROR(__xludf.DUMMYFUNCTION("""COMPUTED_VALUE"""),0.006944444444444444)</f>
        <v>0.006944444444</v>
      </c>
      <c r="G123" s="5" t="str">
        <f>IFERROR(__xludf.DUMMYFUNCTION("""COMPUTED_VALUE"""),"S15")</f>
        <v>S15</v>
      </c>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row>
    <row r="124">
      <c r="A124" s="5" t="str">
        <f>IFERROR(__xludf.DUMMYFUNCTION("""COMPUTED_VALUE"""),"Test Driver")</f>
        <v>Test Driver</v>
      </c>
      <c r="B124" s="5">
        <f>IFERROR(__xludf.DUMMYFUNCTION("""COMPUTED_VALUE"""),0.006944444444444444)</f>
        <v>0.006944444444</v>
      </c>
      <c r="C124" s="5" t="str">
        <f>IFERROR(__xludf.DUMMYFUNCTION("""COMPUTED_VALUE"""),"S15")</f>
        <v>S15</v>
      </c>
      <c r="D124" s="5"/>
      <c r="E124" s="5" t="str">
        <f>IFERROR(__xludf.DUMMYFUNCTION("""COMPUTED_VALUE"""),"Test Driver")</f>
        <v>Test Driver</v>
      </c>
      <c r="F124" s="5">
        <f>IFERROR(__xludf.DUMMYFUNCTION("""COMPUTED_VALUE"""),0.006944444444444444)</f>
        <v>0.006944444444</v>
      </c>
      <c r="G124" s="5" t="str">
        <f>IFERROR(__xludf.DUMMYFUNCTION("""COMPUTED_VALUE"""),"SXE10 (Altezza)")</f>
        <v>SXE10 (Altezza)</v>
      </c>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row>
    <row r="125">
      <c r="A125" s="5" t="str">
        <f>IFERROR(__xludf.DUMMYFUNCTION("""COMPUTED_VALUE"""),"Test Driver")</f>
        <v>Test Driver</v>
      </c>
      <c r="B125" s="5">
        <f>IFERROR(__xludf.DUMMYFUNCTION("""COMPUTED_VALUE"""),0.006944444444444444)</f>
        <v>0.006944444444</v>
      </c>
      <c r="C125" s="5" t="str">
        <f>IFERROR(__xludf.DUMMYFUNCTION("""COMPUTED_VALUE"""),"SXE10 (Altezza)")</f>
        <v>SXE10 (Altezza)</v>
      </c>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row>
    <row r="126">
      <c r="A126" s="36" t="s">
        <v>51</v>
      </c>
      <c r="E126" s="36" t="s">
        <v>52</v>
      </c>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row>
    <row r="127">
      <c r="A127" s="11" t="str">
        <f>IFERROR(__xludf.DUMMYFUNCTION("LET(
  賽道, ""Usui V2"",
  路線, ""CW"",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127" s="11" t="str">
        <f>IFERROR(__xludf.DUMMYFUNCTION("""COMPUTED_VALUE"""),"Time時間")</f>
        <v>Time時間</v>
      </c>
      <c r="C127" s="11" t="str">
        <f>IFERROR(__xludf.DUMMYFUNCTION("""COMPUTED_VALUE"""),"Car車種")</f>
        <v>Car車種</v>
      </c>
      <c r="D127" s="11" t="str">
        <f>IFERROR(__xludf.DUMMYFUNCTION("""COMPUTED_VALUE"""),"Platform平台")</f>
        <v>Platform平台</v>
      </c>
      <c r="E127" s="11" t="str">
        <f>IFERROR(__xludf.DUMMYFUNCTION("LET(
  賽道, ""Usui V2"",
  路線, ""CC"",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127" s="11" t="str">
        <f>IFERROR(__xludf.DUMMYFUNCTION("""COMPUTED_VALUE"""),"Time時間")</f>
        <v>Time時間</v>
      </c>
      <c r="G127" s="11" t="str">
        <f>IFERROR(__xludf.DUMMYFUNCTION("""COMPUTED_VALUE"""),"Car車種")</f>
        <v>Car車種</v>
      </c>
      <c r="H127" s="11" t="str">
        <f>IFERROR(__xludf.DUMMYFUNCTION("""COMPUTED_VALUE"""),"Platform平台")</f>
        <v>Platform平台</v>
      </c>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row>
    <row r="128">
      <c r="A128" s="5" t="str">
        <f>IFERROR(__xludf.DUMMYFUNCTION("""COMPUTED_VALUE"""),"StarRiver Arts")</f>
        <v>StarRiver Arts</v>
      </c>
      <c r="B128" s="5">
        <f>IFERROR(__xludf.DUMMYFUNCTION("""COMPUTED_VALUE"""),0.002518703703703704)</f>
        <v>0.002518703704</v>
      </c>
      <c r="C128" s="5" t="str">
        <f>IFERROR(__xludf.DUMMYFUNCTION("""COMPUTED_VALUE"""),"SilEighty")</f>
        <v>SilEighty</v>
      </c>
      <c r="D128" s="5" t="str">
        <f>IFERROR(__xludf.DUMMYFUNCTION("""COMPUTED_VALUE"""),"PC")</f>
        <v>PC</v>
      </c>
      <c r="E128" s="5" t="str">
        <f>IFERROR(__xludf.DUMMYFUNCTION("""COMPUTED_VALUE"""),"StarRiver Arts")</f>
        <v>StarRiver Arts</v>
      </c>
      <c r="F128" s="5">
        <f>IFERROR(__xludf.DUMMYFUNCTION("""COMPUTED_VALUE"""),0.0025381944444444445)</f>
        <v>0.002538194444</v>
      </c>
      <c r="G128" s="5" t="str">
        <f>IFERROR(__xludf.DUMMYFUNCTION("""COMPUTED_VALUE"""),"EVOX/CZ4A")</f>
        <v>EVOX/CZ4A</v>
      </c>
      <c r="H128" s="5" t="str">
        <f>IFERROR(__xludf.DUMMYFUNCTION("""COMPUTED_VALUE"""),"PC")</f>
        <v>PC</v>
      </c>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row>
    <row r="129">
      <c r="A129" s="5" t="str">
        <f>IFERROR(__xludf.DUMMYFUNCTION("""COMPUTED_VALUE"""),"LinWu_05")</f>
        <v>LinWu_05</v>
      </c>
      <c r="B129" s="5">
        <f>IFERROR(__xludf.DUMMYFUNCTION("""COMPUTED_VALUE"""),0.0026306018518518514)</f>
        <v>0.002630601852</v>
      </c>
      <c r="C129" s="5" t="str">
        <f>IFERROR(__xludf.DUMMYFUNCTION("""COMPUTED_VALUE"""),"380SX")</f>
        <v>380SX</v>
      </c>
      <c r="D129" s="5" t="str">
        <f>IFERROR(__xludf.DUMMYFUNCTION("""COMPUTED_VALUE"""),"PC")</f>
        <v>PC</v>
      </c>
      <c r="E129" s="5" t="str">
        <f>IFERROR(__xludf.DUMMYFUNCTION("""COMPUTED_VALUE"""),"LinWu_05")</f>
        <v>LinWu_05</v>
      </c>
      <c r="F129" s="5">
        <f>IFERROR(__xludf.DUMMYFUNCTION("""COMPUTED_VALUE"""),0.0026084143518518518)</f>
        <v>0.002608414352</v>
      </c>
      <c r="G129" s="5" t="str">
        <f>IFERROR(__xludf.DUMMYFUNCTION("""COMPUTED_VALUE"""),"380SX")</f>
        <v>380SX</v>
      </c>
      <c r="H129" s="5" t="str">
        <f>IFERROR(__xludf.DUMMYFUNCTION("""COMPUTED_VALUE"""),"PC")</f>
        <v>PC</v>
      </c>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row>
    <row r="130">
      <c r="A130" s="5" t="str">
        <f>IFERROR(__xludf.DUMMYFUNCTION("""COMPUTED_VALUE"""),"アビドサスヒカリ")</f>
        <v>アビドサスヒカリ</v>
      </c>
      <c r="B130" s="5">
        <f>IFERROR(__xludf.DUMMYFUNCTION("""COMPUTED_VALUE"""),0.0026407291666666667)</f>
        <v>0.002640729167</v>
      </c>
      <c r="C130" s="5" t="str">
        <f>IFERROR(__xludf.DUMMYFUNCTION("""COMPUTED_VALUE"""),"GR86/ZN8")</f>
        <v>GR86/ZN8</v>
      </c>
      <c r="D130" s="5" t="str">
        <f>IFERROR(__xludf.DUMMYFUNCTION("""COMPUTED_VALUE"""),"PC")</f>
        <v>PC</v>
      </c>
      <c r="E130" s="5" t="str">
        <f>IFERROR(__xludf.DUMMYFUNCTION("""COMPUTED_VALUE"""),"Test Driver")</f>
        <v>Test Driver</v>
      </c>
      <c r="F130" s="5">
        <f>IFERROR(__xludf.DUMMYFUNCTION("""COMPUTED_VALUE"""),0.006944444444444444)</f>
        <v>0.006944444444</v>
      </c>
      <c r="G130" s="5" t="str">
        <f>IFERROR(__xludf.DUMMYFUNCTION("""COMPUTED_VALUE"""),"GR86/ZN8")</f>
        <v>GR86/ZN8</v>
      </c>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row>
    <row r="131">
      <c r="A131" s="5" t="str">
        <f>IFERROR(__xludf.DUMMYFUNCTION("""COMPUTED_VALUE"""),"StarRiver Arts")</f>
        <v>StarRiver Arts</v>
      </c>
      <c r="B131" s="5">
        <f>IFERROR(__xludf.DUMMYFUNCTION("""COMPUTED_VALUE"""),0.0028696064814814817)</f>
        <v>0.002869606481</v>
      </c>
      <c r="C131" s="5" t="str">
        <f>IFERROR(__xludf.DUMMYFUNCTION("""COMPUTED_VALUE"""),"AE85")</f>
        <v>AE85</v>
      </c>
      <c r="D131" s="5" t="str">
        <f>IFERROR(__xludf.DUMMYFUNCTION("""COMPUTED_VALUE"""),"PC")</f>
        <v>PC</v>
      </c>
      <c r="E131" s="5" t="str">
        <f>IFERROR(__xludf.DUMMYFUNCTION("""COMPUTED_VALUE"""),"Test Driver")</f>
        <v>Test Driver</v>
      </c>
      <c r="F131" s="5">
        <f>IFERROR(__xludf.DUMMYFUNCTION("""COMPUTED_VALUE"""),0.006944444444444444)</f>
        <v>0.006944444444</v>
      </c>
      <c r="G131" s="5" t="str">
        <f>IFERROR(__xludf.DUMMYFUNCTION("""COMPUTED_VALUE"""),"SilEighty")</f>
        <v>SilEighty</v>
      </c>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row>
    <row r="132">
      <c r="A132" s="5" t="str">
        <f>IFERROR(__xludf.DUMMYFUNCTION("""COMPUTED_VALUE"""),"Test Driver")</f>
        <v>Test Driver</v>
      </c>
      <c r="B132" s="5">
        <f>IFERROR(__xludf.DUMMYFUNCTION("""COMPUTED_VALUE"""),0.006944444444444444)</f>
        <v>0.006944444444</v>
      </c>
      <c r="C132" s="5" t="str">
        <f>IFERROR(__xludf.DUMMYFUNCTION("""COMPUTED_VALUE"""),"EVOX/CZ4A")</f>
        <v>EVOX/CZ4A</v>
      </c>
      <c r="D132" s="5"/>
      <c r="E132" s="12" t="str">
        <f>IFERROR(__xludf.DUMMYFUNCTION("""COMPUTED_VALUE"""),"Test Driver")</f>
        <v>Test Driver</v>
      </c>
      <c r="F132" s="12">
        <f>IFERROR(__xludf.DUMMYFUNCTION("""COMPUTED_VALUE"""),0.006944444444444444)</f>
        <v>0.006944444444</v>
      </c>
      <c r="G132" s="12" t="str">
        <f>IFERROR(__xludf.DUMMYFUNCTION("""COMPUTED_VALUE"""),"S13")</f>
        <v>S13</v>
      </c>
      <c r="H132" s="12"/>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row>
    <row r="133">
      <c r="A133" s="5" t="str">
        <f>IFERROR(__xludf.DUMMYFUNCTION("""COMPUTED_VALUE"""),"Test Driver")</f>
        <v>Test Driver</v>
      </c>
      <c r="B133" s="5">
        <f>IFERROR(__xludf.DUMMYFUNCTION("""COMPUTED_VALUE"""),0.006944444444444444)</f>
        <v>0.006944444444</v>
      </c>
      <c r="C133" s="5" t="str">
        <f>IFERROR(__xludf.DUMMYFUNCTION("""COMPUTED_VALUE"""),"S13")</f>
        <v>S13</v>
      </c>
      <c r="D133" s="5"/>
      <c r="E133" s="12" t="str">
        <f>IFERROR(__xludf.DUMMYFUNCTION("""COMPUTED_VALUE"""),"Test Driver")</f>
        <v>Test Driver</v>
      </c>
      <c r="F133" s="12">
        <f>IFERROR(__xludf.DUMMYFUNCTION("""COMPUTED_VALUE"""),0.006944444444444444)</f>
        <v>0.006944444444</v>
      </c>
      <c r="G133" s="12" t="str">
        <f>IFERROR(__xludf.DUMMYFUNCTION("""COMPUTED_VALUE"""),"180SX")</f>
        <v>180SX</v>
      </c>
      <c r="H133" s="12"/>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row>
    <row r="134">
      <c r="A134" s="5" t="str">
        <f>IFERROR(__xludf.DUMMYFUNCTION("""COMPUTED_VALUE"""),"Test Driver")</f>
        <v>Test Driver</v>
      </c>
      <c r="B134" s="5">
        <f>IFERROR(__xludf.DUMMYFUNCTION("""COMPUTED_VALUE"""),0.006944444444444444)</f>
        <v>0.006944444444</v>
      </c>
      <c r="C134" s="5" t="str">
        <f>IFERROR(__xludf.DUMMYFUNCTION("""COMPUTED_VALUE"""),"180SX")</f>
        <v>180SX</v>
      </c>
      <c r="D134" s="5"/>
      <c r="E134" s="12" t="str">
        <f>IFERROR(__xludf.DUMMYFUNCTION("""COMPUTED_VALUE"""),"Test Driver")</f>
        <v>Test Driver</v>
      </c>
      <c r="F134" s="12">
        <f>IFERROR(__xludf.DUMMYFUNCTION("""COMPUTED_VALUE"""),0.006944444444444444)</f>
        <v>0.006944444444</v>
      </c>
      <c r="G134" s="12" t="str">
        <f>IFERROR(__xludf.DUMMYFUNCTION("""COMPUTED_VALUE"""),"AE85")</f>
        <v>AE85</v>
      </c>
      <c r="H134" s="12"/>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row>
    <row r="136">
      <c r="A136" s="38" t="s">
        <v>56</v>
      </c>
      <c r="E136" s="38" t="s">
        <v>57</v>
      </c>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row>
    <row r="137">
      <c r="A137" s="11" t="str">
        <f>IFERROR(__xludf.DUMMYFUNCTION("LET(
  賽道, ""Odawara"",
  路線, ""CW"",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137" s="11" t="str">
        <f>IFERROR(__xludf.DUMMYFUNCTION("""COMPUTED_VALUE"""),"Time時間")</f>
        <v>Time時間</v>
      </c>
      <c r="C137" s="11" t="str">
        <f>IFERROR(__xludf.DUMMYFUNCTION("""COMPUTED_VALUE"""),"Car車種")</f>
        <v>Car車種</v>
      </c>
      <c r="D137" s="11" t="str">
        <f>IFERROR(__xludf.DUMMYFUNCTION("""COMPUTED_VALUE"""),"Platform平台")</f>
        <v>Platform平台</v>
      </c>
      <c r="E137" s="11" t="str">
        <f>IFERROR(__xludf.DUMMYFUNCTION("LET(
  賽道, ""Odawara"",
  路線, ""CC"",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137" s="11" t="str">
        <f>IFERROR(__xludf.DUMMYFUNCTION("""COMPUTED_VALUE"""),"Time時間")</f>
        <v>Time時間</v>
      </c>
      <c r="G137" s="11" t="str">
        <f>IFERROR(__xludf.DUMMYFUNCTION("""COMPUTED_VALUE"""),"Car車種")</f>
        <v>Car車種</v>
      </c>
      <c r="H137" s="11" t="str">
        <f>IFERROR(__xludf.DUMMYFUNCTION("""COMPUTED_VALUE"""),"Platform平台")</f>
        <v>Platform平台</v>
      </c>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row>
    <row r="138">
      <c r="A138" s="5" t="str">
        <f>IFERROR(__xludf.DUMMYFUNCTION("""COMPUTED_VALUE"""),"Lolidia")</f>
        <v>Lolidia</v>
      </c>
      <c r="B138" s="5">
        <f>IFERROR(__xludf.DUMMYFUNCTION("""COMPUTED_VALUE"""),0.0026103472222222222)</f>
        <v>0.002610347222</v>
      </c>
      <c r="C138" s="5" t="str">
        <f>IFERROR(__xludf.DUMMYFUNCTION("""COMPUTED_VALUE"""),"991(911 GT3)")</f>
        <v>991(911 GT3)</v>
      </c>
      <c r="D138" s="5" t="str">
        <f>IFERROR(__xludf.DUMMYFUNCTION("""COMPUTED_VALUE"""),"PCVR")</f>
        <v>PCVR</v>
      </c>
      <c r="E138" s="5" t="str">
        <f>IFERROR(__xludf.DUMMYFUNCTION("""COMPUTED_VALUE"""),"Redfrogss")</f>
        <v>Redfrogss</v>
      </c>
      <c r="F138" s="5">
        <f>IFERROR(__xludf.DUMMYFUNCTION("""COMPUTED_VALUE"""),0.0028285069444444447)</f>
        <v>0.002828506944</v>
      </c>
      <c r="G138" s="5" t="str">
        <f>IFERROR(__xludf.DUMMYFUNCTION("""COMPUTED_VALUE"""),"R35N2")</f>
        <v>R35N2</v>
      </c>
      <c r="H138" s="5" t="str">
        <f>IFERROR(__xludf.DUMMYFUNCTION("""COMPUTED_VALUE"""),"PCVR")</f>
        <v>PCVR</v>
      </c>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row>
    <row r="139">
      <c r="A139" s="5" t="str">
        <f>IFERROR(__xludf.DUMMYFUNCTION("""COMPUTED_VALUE"""),"Lolidia")</f>
        <v>Lolidia</v>
      </c>
      <c r="B139" s="5">
        <f>IFERROR(__xludf.DUMMYFUNCTION("""COMPUTED_VALUE"""),0.0026722569444444445)</f>
        <v>0.002672256944</v>
      </c>
      <c r="C139" s="5" t="str">
        <f>IFERROR(__xludf.DUMMYFUNCTION("""COMPUTED_VALUE"""),"GT86/ZN6")</f>
        <v>GT86/ZN6</v>
      </c>
      <c r="D139" s="5" t="str">
        <f>IFERROR(__xludf.DUMMYFUNCTION("""COMPUTED_VALUE"""),"PCVR")</f>
        <v>PCVR</v>
      </c>
      <c r="E139" s="5" t="str">
        <f>IFERROR(__xludf.DUMMYFUNCTION("""COMPUTED_VALUE"""),"Redfrogss")</f>
        <v>Redfrogss</v>
      </c>
      <c r="F139" s="5">
        <f>IFERROR(__xludf.DUMMYFUNCTION("""COMPUTED_VALUE"""),0.0029622800925925927)</f>
        <v>0.002962280093</v>
      </c>
      <c r="G139" s="5" t="str">
        <f>IFERROR(__xludf.DUMMYFUNCTION("""COMPUTED_VALUE"""),"991(911 GT3)")</f>
        <v>991(911 GT3)</v>
      </c>
      <c r="H139" s="5" t="str">
        <f>IFERROR(__xludf.DUMMYFUNCTION("""COMPUTED_VALUE"""),"PCVR")</f>
        <v>PCVR</v>
      </c>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row>
    <row r="140">
      <c r="A140" s="5" t="str">
        <f>IFERROR(__xludf.DUMMYFUNCTION("""COMPUTED_VALUE"""),"Lolidia")</f>
        <v>Lolidia</v>
      </c>
      <c r="B140" s="5">
        <f>IFERROR(__xludf.DUMMYFUNCTION("""COMPUTED_VALUE"""),0.0027067939814814815)</f>
        <v>0.002706793981</v>
      </c>
      <c r="C140" s="5" t="str">
        <f>IFERROR(__xludf.DUMMYFUNCTION("""COMPUTED_VALUE"""),"DB42 (GR Supra)")</f>
        <v>DB42 (GR Supra)</v>
      </c>
      <c r="D140" s="5" t="str">
        <f>IFERROR(__xludf.DUMMYFUNCTION("""COMPUTED_VALUE"""),"PCVR")</f>
        <v>PCVR</v>
      </c>
      <c r="E140" s="5" t="str">
        <f>IFERROR(__xludf.DUMMYFUNCTION("""COMPUTED_VALUE"""),"LinWu_05")</f>
        <v>LinWu_05</v>
      </c>
      <c r="F140" s="5">
        <f>IFERROR(__xludf.DUMMYFUNCTION("""COMPUTED_VALUE"""),0.0029699074074074077)</f>
        <v>0.002969907407</v>
      </c>
      <c r="G140" s="5" t="str">
        <f>IFERROR(__xludf.DUMMYFUNCTION("""COMPUTED_VALUE"""),"R35N3")</f>
        <v>R35N3</v>
      </c>
      <c r="H140" s="5" t="str">
        <f>IFERROR(__xludf.DUMMYFUNCTION("""COMPUTED_VALUE"""),"PC")</f>
        <v>PC</v>
      </c>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row>
    <row r="141">
      <c r="A141" s="5" t="str">
        <f>IFERROR(__xludf.DUMMYFUNCTION("""COMPUTED_VALUE"""),"菲娜 希琉絲")</f>
        <v>菲娜 希琉絲</v>
      </c>
      <c r="B141" s="5">
        <f>IFERROR(__xludf.DUMMYFUNCTION("""COMPUTED_VALUE"""),0.0027287847222222223)</f>
        <v>0.002728784722</v>
      </c>
      <c r="C141" s="5" t="str">
        <f>IFERROR(__xludf.DUMMYFUNCTION("""COMPUTED_VALUE"""),"R35N3")</f>
        <v>R35N3</v>
      </c>
      <c r="D141" s="5" t="str">
        <f>IFERROR(__xludf.DUMMYFUNCTION("""COMPUTED_VALUE"""),"PCVR")</f>
        <v>PCVR</v>
      </c>
      <c r="E141" s="5" t="str">
        <f>IFERROR(__xludf.DUMMYFUNCTION("""COMPUTED_VALUE"""),"StarRiver Arts")</f>
        <v>StarRiver Arts</v>
      </c>
      <c r="F141" s="5">
        <f>IFERROR(__xludf.DUMMYFUNCTION("""COMPUTED_VALUE"""),0.003113622685185185)</f>
        <v>0.003113622685</v>
      </c>
      <c r="G141" s="5" t="str">
        <f>IFERROR(__xludf.DUMMYFUNCTION("""COMPUTED_VALUE"""),"96018(4C)")</f>
        <v>96018(4C)</v>
      </c>
      <c r="H141" s="5" t="str">
        <f>IFERROR(__xludf.DUMMYFUNCTION("""COMPUTED_VALUE"""),"PC")</f>
        <v>PC</v>
      </c>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row>
    <row r="142">
      <c r="A142" s="5" t="str">
        <f>IFERROR(__xludf.DUMMYFUNCTION("""COMPUTED_VALUE"""),"菲娜 希琉絲")</f>
        <v>菲娜 希琉絲</v>
      </c>
      <c r="B142" s="5">
        <f>IFERROR(__xludf.DUMMYFUNCTION("""COMPUTED_VALUE"""),0.0027771064814814815)</f>
        <v>0.002777106481</v>
      </c>
      <c r="C142" s="5" t="str">
        <f>IFERROR(__xludf.DUMMYFUNCTION("""COMPUTED_VALUE"""),"GT86/ZN6 V2")</f>
        <v>GT86/ZN6 V2</v>
      </c>
      <c r="D142" s="5" t="str">
        <f>IFERROR(__xludf.DUMMYFUNCTION("""COMPUTED_VALUE"""),"PCVR")</f>
        <v>PCVR</v>
      </c>
      <c r="E142" s="5" t="str">
        <f>IFERROR(__xludf.DUMMYFUNCTION("""COMPUTED_VALUE"""),"Kinokono_Tenka")</f>
        <v>Kinokono_Tenka</v>
      </c>
      <c r="F142" s="5">
        <f>IFERROR(__xludf.DUMMYFUNCTION("""COMPUTED_VALUE"""),0.0032278819444444447)</f>
        <v>0.003227881944</v>
      </c>
      <c r="G142" s="5" t="str">
        <f>IFERROR(__xludf.DUMMYFUNCTION("""COMPUTED_VALUE"""),"GT86/ZN6 ")</f>
        <v>GT86/ZN6 </v>
      </c>
      <c r="H142" s="5" t="str">
        <f>IFERROR(__xludf.DUMMYFUNCTION("""COMPUTED_VALUE"""),"PCVR")</f>
        <v>PCVR</v>
      </c>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c r="A143" s="5" t="str">
        <f>IFERROR(__xludf.DUMMYFUNCTION("""COMPUTED_VALUE"""),"Redfrogss")</f>
        <v>Redfrogss</v>
      </c>
      <c r="B143" s="5">
        <f>IFERROR(__xludf.DUMMYFUNCTION("""COMPUTED_VALUE"""),0.0028113425925925927)</f>
        <v>0.002811342593</v>
      </c>
      <c r="C143" s="5" t="str">
        <f>IFERROR(__xludf.DUMMYFUNCTION("""COMPUTED_VALUE"""),"R35N2")</f>
        <v>R35N2</v>
      </c>
      <c r="D143" s="5" t="str">
        <f>IFERROR(__xludf.DUMMYFUNCTION("""COMPUTED_VALUE"""),"PCVR")</f>
        <v>PCVR</v>
      </c>
      <c r="E143" s="5" t="str">
        <f>IFERROR(__xludf.DUMMYFUNCTION("""COMPUTED_VALUE"""),"アビドサスヒカリ")</f>
        <v>アビドサスヒカリ</v>
      </c>
      <c r="F143" s="5">
        <f>IFERROR(__xludf.DUMMYFUNCTION("""COMPUTED_VALUE"""),0.0032572800925925924)</f>
        <v>0.003257280093</v>
      </c>
      <c r="G143" s="5" t="str">
        <f>IFERROR(__xludf.DUMMYFUNCTION("""COMPUTED_VALUE"""),"GT86/ZN6 V2")</f>
        <v>GT86/ZN6 V2</v>
      </c>
      <c r="H143" s="5" t="str">
        <f>IFERROR(__xludf.DUMMYFUNCTION("""COMPUTED_VALUE"""),"PC")</f>
        <v>PC</v>
      </c>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row>
    <row r="144">
      <c r="A144" s="5" t="str">
        <f>IFERROR(__xludf.DUMMYFUNCTION("""COMPUTED_VALUE"""),"アビドサスヒカリ")</f>
        <v>アビドサスヒカリ</v>
      </c>
      <c r="B144" s="5">
        <f>IFERROR(__xludf.DUMMYFUNCTION("""COMPUTED_VALUE"""),0.002932465277777778)</f>
        <v>0.002932465278</v>
      </c>
      <c r="C144" s="5" t="str">
        <f>IFERROR(__xludf.DUMMYFUNCTION("""COMPUTED_VALUE"""),"982(718Cayman)")</f>
        <v>982(718Cayman)</v>
      </c>
      <c r="D144" s="5" t="str">
        <f>IFERROR(__xludf.DUMMYFUNCTION("""COMPUTED_VALUE"""),"PC")</f>
        <v>PC</v>
      </c>
      <c r="E144" s="5" t="str">
        <f>IFERROR(__xludf.DUMMYFUNCTION("""COMPUTED_VALUE"""),"Redfrogss")</f>
        <v>Redfrogss</v>
      </c>
      <c r="F144" s="5">
        <f>IFERROR(__xludf.DUMMYFUNCTION("""COMPUTED_VALUE"""),0.0034928587962962964)</f>
        <v>0.003492858796</v>
      </c>
      <c r="G144" s="5" t="str">
        <f>IFERROR(__xludf.DUMMYFUNCTION("""COMPUTED_VALUE"""),"982(718Cayman)")</f>
        <v>982(718Cayman)</v>
      </c>
      <c r="H144" s="5" t="str">
        <f>IFERROR(__xludf.DUMMYFUNCTION("""COMPUTED_VALUE"""),"PCVR")</f>
        <v>PCVR</v>
      </c>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row>
    <row r="145">
      <c r="A145" s="5" t="str">
        <f>IFERROR(__xludf.DUMMYFUNCTION("""COMPUTED_VALUE"""),"StarRiver Arts")</f>
        <v>StarRiver Arts</v>
      </c>
      <c r="B145" s="5">
        <f>IFERROR(__xludf.DUMMYFUNCTION("""COMPUTED_VALUE"""),0.003042534722222222)</f>
        <v>0.003042534722</v>
      </c>
      <c r="C145" s="5" t="str">
        <f>IFERROR(__xludf.DUMMYFUNCTION("""COMPUTED_VALUE"""),"96018(4C)")</f>
        <v>96018(4C)</v>
      </c>
      <c r="D145" s="5" t="str">
        <f>IFERROR(__xludf.DUMMYFUNCTION("""COMPUTED_VALUE"""),"PC")</f>
        <v>PC</v>
      </c>
      <c r="E145" s="5" t="str">
        <f>IFERROR(__xludf.DUMMYFUNCTION("""COMPUTED_VALUE"""),"Yuanji Deca")</f>
        <v>Yuanji Deca</v>
      </c>
      <c r="F145" s="5">
        <f>IFERROR(__xludf.DUMMYFUNCTION("""COMPUTED_VALUE"""),0.003983738425925926)</f>
        <v>0.003983738426</v>
      </c>
      <c r="G145" s="5" t="str">
        <f>IFERROR(__xludf.DUMMYFUNCTION("""COMPUTED_VALUE"""),"DB42 (GR Supra)")</f>
        <v>DB42 (GR Supra)</v>
      </c>
      <c r="H145" s="5" t="str">
        <f>IFERROR(__xludf.DUMMYFUNCTION("""COMPUTED_VALUE"""),"PC")</f>
        <v>PC</v>
      </c>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5"/>
      <c r="C146" s="5"/>
      <c r="D146" s="5"/>
      <c r="E146" s="12"/>
      <c r="F146" s="12"/>
      <c r="G146" s="12"/>
      <c r="H146" s="12"/>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5"/>
      <c r="C147" s="5"/>
      <c r="D147" s="5"/>
      <c r="E147" s="12"/>
      <c r="F147" s="12"/>
      <c r="G147" s="12"/>
      <c r="H147" s="12"/>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row>
    <row r="148">
      <c r="A148" s="40" t="s">
        <v>60</v>
      </c>
      <c r="E148" s="40" t="s">
        <v>61</v>
      </c>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row>
    <row r="149">
      <c r="A149" s="11" t="str">
        <f>IFERROR(__xludf.DUMMYFUNCTION("LET(
  賽道, ""Tsubaki"",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149" s="11" t="str">
        <f>IFERROR(__xludf.DUMMYFUNCTION("""COMPUTED_VALUE"""),"Time時間")</f>
        <v>Time時間</v>
      </c>
      <c r="C149" s="11" t="str">
        <f>IFERROR(__xludf.DUMMYFUNCTION("""COMPUTED_VALUE"""),"Car車種")</f>
        <v>Car車種</v>
      </c>
      <c r="D149" s="11" t="str">
        <f>IFERROR(__xludf.DUMMYFUNCTION("""COMPUTED_VALUE"""),"Platform平台")</f>
        <v>Platform平台</v>
      </c>
      <c r="E149" s="11" t="str">
        <f>IFERROR(__xludf.DUMMYFUNCTION("LET(
  賽道, ""Tsubaki"",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149" s="11" t="str">
        <f>IFERROR(__xludf.DUMMYFUNCTION("""COMPUTED_VALUE"""),"Time時間")</f>
        <v>Time時間</v>
      </c>
      <c r="G149" s="11" t="str">
        <f>IFERROR(__xludf.DUMMYFUNCTION("""COMPUTED_VALUE"""),"Car車種")</f>
        <v>Car車種</v>
      </c>
      <c r="H149" s="11" t="str">
        <f>IFERROR(__xludf.DUMMYFUNCTION("""COMPUTED_VALUE"""),"Platform平台")</f>
        <v>Platform平台</v>
      </c>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row>
    <row r="150">
      <c r="A150" s="5" t="str">
        <f>IFERROR(__xludf.DUMMYFUNCTION("""COMPUTED_VALUE"""),"Lolidia")</f>
        <v>Lolidia</v>
      </c>
      <c r="B150" s="12">
        <f>IFERROR(__xludf.DUMMYFUNCTION("""COMPUTED_VALUE"""),0.002457175925925926)</f>
        <v>0.002457175926</v>
      </c>
      <c r="C150" s="5" t="str">
        <f>IFERROR(__xludf.DUMMYFUNCTION("""COMPUTED_VALUE"""),"AE86T2")</f>
        <v>AE86T2</v>
      </c>
      <c r="D150" s="5" t="str">
        <f>IFERROR(__xludf.DUMMYFUNCTION("""COMPUTED_VALUE"""),"PCVR")</f>
        <v>PCVR</v>
      </c>
      <c r="E150" s="5" t="str">
        <f>IFERROR(__xludf.DUMMYFUNCTION("""COMPUTED_VALUE"""),"LinWu_05")</f>
        <v>LinWu_05</v>
      </c>
      <c r="F150" s="5">
        <f>IFERROR(__xludf.DUMMYFUNCTION("""COMPUTED_VALUE"""),0.0029220717592592597)</f>
        <v>0.002922071759</v>
      </c>
      <c r="G150" s="5" t="str">
        <f>IFERROR(__xludf.DUMMYFUNCTION("""COMPUTED_VALUE"""),"NA1 (NSX)")</f>
        <v>NA1 (NSX)</v>
      </c>
      <c r="H150" s="5" t="str">
        <f>IFERROR(__xludf.DUMMYFUNCTION("""COMPUTED_VALUE"""),"PC")</f>
        <v>PC</v>
      </c>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row>
    <row r="151">
      <c r="A151" s="5" t="str">
        <f>IFERROR(__xludf.DUMMYFUNCTION("""COMPUTED_VALUE"""),"菲娜 希琉絲")</f>
        <v>菲娜 希琉絲</v>
      </c>
      <c r="B151" s="12">
        <f>IFERROR(__xludf.DUMMYFUNCTION("""COMPUTED_VALUE"""),0.002554976851851852)</f>
        <v>0.002554976852</v>
      </c>
      <c r="C151" s="5" t="str">
        <f>IFERROR(__xludf.DUMMYFUNCTION("""COMPUTED_VALUE"""),"FD3S (RX7)")</f>
        <v>FD3S (RX7)</v>
      </c>
      <c r="D151" s="5" t="str">
        <f>IFERROR(__xludf.DUMMYFUNCTION("""COMPUTED_VALUE"""),"PC")</f>
        <v>PC</v>
      </c>
      <c r="E151" s="5" t="str">
        <f>IFERROR(__xludf.DUMMYFUNCTION("""COMPUTED_VALUE"""),"StarRiver Arts")</f>
        <v>StarRiver Arts</v>
      </c>
      <c r="F151" s="5">
        <f>IFERROR(__xludf.DUMMYFUNCTION("""COMPUTED_VALUE"""),0.0029947916666666664)</f>
        <v>0.002994791667</v>
      </c>
      <c r="G151" s="5" t="str">
        <f>IFERROR(__xludf.DUMMYFUNCTION("""COMPUTED_VALUE"""),"FL5 (Civic Type-R)")</f>
        <v>FL5 (Civic Type-R)</v>
      </c>
      <c r="H151" s="5" t="str">
        <f>IFERROR(__xludf.DUMMYFUNCTION("""COMPUTED_VALUE"""),"PC")</f>
        <v>PC</v>
      </c>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row>
    <row r="152">
      <c r="A152" s="5" t="str">
        <f>IFERROR(__xludf.DUMMYFUNCTION("""COMPUTED_VALUE"""),"LinWu_05")</f>
        <v>LinWu_05</v>
      </c>
      <c r="B152" s="12">
        <f>IFERROR(__xludf.DUMMYFUNCTION("""COMPUTED_VALUE"""),0.002626550925925926)</f>
        <v>0.002626550926</v>
      </c>
      <c r="C152" s="5" t="str">
        <f>IFERROR(__xludf.DUMMYFUNCTION("""COMPUTED_VALUE"""),"NA1 (NSX)")</f>
        <v>NA1 (NSX)</v>
      </c>
      <c r="D152" s="5" t="str">
        <f>IFERROR(__xludf.DUMMYFUNCTION("""COMPUTED_VALUE"""),"PC")</f>
        <v>PC</v>
      </c>
      <c r="E152" s="5" t="str">
        <f>IFERROR(__xludf.DUMMYFUNCTION("""COMPUTED_VALUE"""),"StarRiver Arts")</f>
        <v>StarRiver Arts</v>
      </c>
      <c r="F152" s="5">
        <f>IFERROR(__xludf.DUMMYFUNCTION("""COMPUTED_VALUE"""),0.003169178240740741)</f>
        <v>0.003169178241</v>
      </c>
      <c r="G152" s="5" t="str">
        <f>IFERROR(__xludf.DUMMYFUNCTION("""COMPUTED_VALUE"""),"GT86/ZN6")</f>
        <v>GT86/ZN6</v>
      </c>
      <c r="H152" s="5" t="str">
        <f>IFERROR(__xludf.DUMMYFUNCTION("""COMPUTED_VALUE"""),"PC")</f>
        <v>PC</v>
      </c>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row>
    <row r="153">
      <c r="A153" s="5" t="str">
        <f>IFERROR(__xludf.DUMMYFUNCTION("""COMPUTED_VALUE"""),"『Sigma』")</f>
        <v>『Sigma』</v>
      </c>
      <c r="B153" s="12">
        <f>IFERROR(__xludf.DUMMYFUNCTION("""COMPUTED_VALUE"""),0.0026316203703703705)</f>
        <v>0.00263162037</v>
      </c>
      <c r="C153" s="5" t="str">
        <f>IFERROR(__xludf.DUMMYFUNCTION("""COMPUTED_VALUE"""),"FL5 (Civic Type-R)")</f>
        <v>FL5 (Civic Type-R)</v>
      </c>
      <c r="D153" s="5" t="str">
        <f>IFERROR(__xludf.DUMMYFUNCTION("""COMPUTED_VALUE"""),"PC")</f>
        <v>PC</v>
      </c>
      <c r="E153" s="5" t="str">
        <f>IFERROR(__xludf.DUMMYFUNCTION("""COMPUTED_VALUE"""),"StarRiver Arts")</f>
        <v>StarRiver Arts</v>
      </c>
      <c r="F153" s="5">
        <f>IFERROR(__xludf.DUMMYFUNCTION("""COMPUTED_VALUE"""),0.0033501157407407407)</f>
        <v>0.003350115741</v>
      </c>
      <c r="G153" s="5" t="str">
        <f>IFERROR(__xludf.DUMMYFUNCTION("""COMPUTED_VALUE"""),"AE86T-V2")</f>
        <v>AE86T-V2</v>
      </c>
      <c r="H153" s="5" t="str">
        <f>IFERROR(__xludf.DUMMYFUNCTION("""COMPUTED_VALUE"""),"PC")</f>
        <v>PC</v>
      </c>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c r="A154" s="5" t="str">
        <f>IFERROR(__xludf.DUMMYFUNCTION("""COMPUTED_VALUE"""),"LinWu_05")</f>
        <v>LinWu_05</v>
      </c>
      <c r="B154" s="12">
        <f>IFERROR(__xludf.DUMMYFUNCTION("""COMPUTED_VALUE"""),0.002655868055555556)</f>
        <v>0.002655868056</v>
      </c>
      <c r="C154" s="5" t="str">
        <f>IFERROR(__xludf.DUMMYFUNCTION("""COMPUTED_VALUE"""),"R35N3")</f>
        <v>R35N3</v>
      </c>
      <c r="D154" s="5" t="str">
        <f>IFERROR(__xludf.DUMMYFUNCTION("""COMPUTED_VALUE"""),"PC")</f>
        <v>PC</v>
      </c>
      <c r="E154" s="5" t="str">
        <f>IFERROR(__xludf.DUMMYFUNCTION("""COMPUTED_VALUE"""),"Test Driver")</f>
        <v>Test Driver</v>
      </c>
      <c r="F154" s="5">
        <f>IFERROR(__xludf.DUMMYFUNCTION("""COMPUTED_VALUE"""),0.006944444444444444)</f>
        <v>0.006944444444</v>
      </c>
      <c r="G154" s="5" t="str">
        <f>IFERROR(__xludf.DUMMYFUNCTION("""COMPUTED_VALUE"""),"96018(4C)")</f>
        <v>96018(4C)</v>
      </c>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row>
    <row r="155">
      <c r="A155" s="5" t="str">
        <f>IFERROR(__xludf.DUMMYFUNCTION("""COMPUTED_VALUE"""),"wasdwa")</f>
        <v>wasdwa</v>
      </c>
      <c r="B155" s="12">
        <f>IFERROR(__xludf.DUMMYFUNCTION("""COMPUTED_VALUE"""),0.0028647800925925924)</f>
        <v>0.002864780093</v>
      </c>
      <c r="C155" s="5" t="str">
        <f>IFERROR(__xludf.DUMMYFUNCTION("""COMPUTED_VALUE"""),"AE86T")</f>
        <v>AE86T</v>
      </c>
      <c r="D155" s="5" t="str">
        <f>IFERROR(__xludf.DUMMYFUNCTION("""COMPUTED_VALUE"""),"PC")</f>
        <v>PC</v>
      </c>
      <c r="E155" s="5" t="str">
        <f>IFERROR(__xludf.DUMMYFUNCTION("""COMPUTED_VALUE"""),"Test Driver")</f>
        <v>Test Driver</v>
      </c>
      <c r="F155" s="5">
        <f>IFERROR(__xludf.DUMMYFUNCTION("""COMPUTED_VALUE"""),0.006944444444444444)</f>
        <v>0.006944444444</v>
      </c>
      <c r="G155" s="5" t="str">
        <f>IFERROR(__xludf.DUMMYFUNCTION("""COMPUTED_VALUE"""),"R35N3")</f>
        <v>R35N3</v>
      </c>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row>
    <row r="156">
      <c r="A156" s="5" t="str">
        <f>IFERROR(__xludf.DUMMYFUNCTION("""COMPUTED_VALUE"""),"Test Driver")</f>
        <v>Test Driver</v>
      </c>
      <c r="B156" s="12">
        <f>IFERROR(__xludf.DUMMYFUNCTION("""COMPUTED_VALUE"""),0.006944444444444444)</f>
        <v>0.006944444444</v>
      </c>
      <c r="C156" s="5" t="str">
        <f>IFERROR(__xludf.DUMMYFUNCTION("""COMPUTED_VALUE"""),"GT86/ZN6")</f>
        <v>GT86/ZN6</v>
      </c>
      <c r="D156" s="5"/>
      <c r="E156" s="5" t="str">
        <f>IFERROR(__xludf.DUMMYFUNCTION("""COMPUTED_VALUE"""),"Test Driver")</f>
        <v>Test Driver</v>
      </c>
      <c r="F156" s="5">
        <f>IFERROR(__xludf.DUMMYFUNCTION("""COMPUTED_VALUE"""),0.006944444444444444)</f>
        <v>0.006944444444</v>
      </c>
      <c r="G156" s="5" t="str">
        <f>IFERROR(__xludf.DUMMYFUNCTION("""COMPUTED_VALUE"""),"982(718Cayman)")</f>
        <v>982(718Cayman)</v>
      </c>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row>
    <row r="157">
      <c r="A157" s="5" t="str">
        <f>IFERROR(__xludf.DUMMYFUNCTION("""COMPUTED_VALUE"""),"Test Driver")</f>
        <v>Test Driver</v>
      </c>
      <c r="B157" s="12">
        <f>IFERROR(__xludf.DUMMYFUNCTION("""COMPUTED_VALUE"""),0.006944444444444444)</f>
        <v>0.006944444444</v>
      </c>
      <c r="C157" s="5" t="str">
        <f>IFERROR(__xludf.DUMMYFUNCTION("""COMPUTED_VALUE"""),"96018(4C)")</f>
        <v>96018(4C)</v>
      </c>
      <c r="D157" s="5"/>
      <c r="E157" s="5" t="str">
        <f>IFERROR(__xludf.DUMMYFUNCTION("""COMPUTED_VALUE"""),"Test Driver")</f>
        <v>Test Driver</v>
      </c>
      <c r="F157" s="5">
        <f>IFERROR(__xludf.DUMMYFUNCTION("""COMPUTED_VALUE"""),0.006944444444444444)</f>
        <v>0.006944444444</v>
      </c>
      <c r="G157" s="5" t="str">
        <f>IFERROR(__xludf.DUMMYFUNCTION("""COMPUTED_VALUE"""),"AE86T")</f>
        <v>AE86T</v>
      </c>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row>
    <row r="158">
      <c r="A158" s="5" t="str">
        <f>IFERROR(__xludf.DUMMYFUNCTION("""COMPUTED_VALUE"""),"Test Driver")</f>
        <v>Test Driver</v>
      </c>
      <c r="B158" s="12">
        <f>IFERROR(__xludf.DUMMYFUNCTION("""COMPUTED_VALUE"""),0.006944444444444444)</f>
        <v>0.006944444444</v>
      </c>
      <c r="C158" s="5" t="str">
        <f>IFERROR(__xludf.DUMMYFUNCTION("""COMPUTED_VALUE"""),"982(718Cayman)")</f>
        <v>982(718Cayman)</v>
      </c>
      <c r="D158" s="5"/>
      <c r="E158" s="5" t="str">
        <f>IFERROR(__xludf.DUMMYFUNCTION("""COMPUTED_VALUE"""),"Test Driver")</f>
        <v>Test Driver</v>
      </c>
      <c r="F158" s="5">
        <f>IFERROR(__xludf.DUMMYFUNCTION("""COMPUTED_VALUE"""),0.006944444444444444)</f>
        <v>0.006944444444</v>
      </c>
      <c r="G158" s="5" t="str">
        <f>IFERROR(__xludf.DUMMYFUNCTION("""COMPUTED_VALUE"""),"FT86")</f>
        <v>FT86</v>
      </c>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row>
    <row r="159">
      <c r="A159" s="5" t="str">
        <f>IFERROR(__xludf.DUMMYFUNCTION("""COMPUTED_VALUE"""),"Test Driver")</f>
        <v>Test Driver</v>
      </c>
      <c r="B159" s="12">
        <f>IFERROR(__xludf.DUMMYFUNCTION("""COMPUTED_VALUE"""),0.006944444444444444)</f>
        <v>0.006944444444</v>
      </c>
      <c r="C159" s="5" t="str">
        <f>IFERROR(__xludf.DUMMYFUNCTION("""COMPUTED_VALUE"""),"FT86")</f>
        <v>FT86</v>
      </c>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12"/>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12"/>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12"/>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row>
    <row r="170">
      <c r="A170" s="41" t="s">
        <v>62</v>
      </c>
      <c r="E170" s="41" t="s">
        <v>63</v>
      </c>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row>
    <row r="171">
      <c r="A171" s="11" t="str">
        <f>IFERROR(__xludf.DUMMYFUNCTION("LET(
  賽道, ""Tsuchisaka"",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171" s="11" t="str">
        <f>IFERROR(__xludf.DUMMYFUNCTION("""COMPUTED_VALUE"""),"Time時間")</f>
        <v>Time時間</v>
      </c>
      <c r="C171" s="11" t="str">
        <f>IFERROR(__xludf.DUMMYFUNCTION("""COMPUTED_VALUE"""),"Car車種")</f>
        <v>Car車種</v>
      </c>
      <c r="D171" s="11" t="str">
        <f>IFERROR(__xludf.DUMMYFUNCTION("""COMPUTED_VALUE"""),"Platform平台")</f>
        <v>Platform平台</v>
      </c>
      <c r="E171" s="11" t="str">
        <f>IFERROR(__xludf.DUMMYFUNCTION("LET(
  賽道, ""Tsuchisaka"",
  路線, ""UH"",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171" s="11" t="str">
        <f>IFERROR(__xludf.DUMMYFUNCTION("""COMPUTED_VALUE"""),"Time時間")</f>
        <v>Time時間</v>
      </c>
      <c r="G171" s="11" t="str">
        <f>IFERROR(__xludf.DUMMYFUNCTION("""COMPUTED_VALUE"""),"Car車種")</f>
        <v>Car車種</v>
      </c>
      <c r="H171" s="11" t="str">
        <f>IFERROR(__xludf.DUMMYFUNCTION("""COMPUTED_VALUE"""),"Platform平台")</f>
        <v>Platform平台</v>
      </c>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row>
    <row r="172">
      <c r="A172" s="5" t="str">
        <f>IFERROR(__xludf.DUMMYFUNCTION("""COMPUTED_VALUE"""),"StarRiver Arts")</f>
        <v>StarRiver Arts</v>
      </c>
      <c r="B172" s="5">
        <f>IFERROR(__xludf.DUMMYFUNCTION("""COMPUTED_VALUE"""),0.001505787037037037)</f>
        <v>0.001505787037</v>
      </c>
      <c r="C172" s="5" t="str">
        <f>IFERROR(__xludf.DUMMYFUNCTION("""COMPUTED_VALUE"""),"EVOVI/CP9A")</f>
        <v>EVOVI/CP9A</v>
      </c>
      <c r="D172" s="5" t="str">
        <f>IFERROR(__xludf.DUMMYFUNCTION("""COMPUTED_VALUE"""),"PC")</f>
        <v>PC</v>
      </c>
      <c r="E172" s="5" t="str">
        <f>IFERROR(__xludf.DUMMYFUNCTION("""COMPUTED_VALUE"""),"StarRiver Arts")</f>
        <v>StarRiver Arts</v>
      </c>
      <c r="F172" s="5">
        <f>IFERROR(__xludf.DUMMYFUNCTION("""COMPUTED_VALUE"""),0.0017542476851851853)</f>
        <v>0.001754247685</v>
      </c>
      <c r="G172" s="5" t="str">
        <f>IFERROR(__xludf.DUMMYFUNCTION("""COMPUTED_VALUE"""),"EVOVI/CP9A")</f>
        <v>EVOVI/CP9A</v>
      </c>
      <c r="H172" s="5" t="str">
        <f>IFERROR(__xludf.DUMMYFUNCTION("""COMPUTED_VALUE"""),"PC")</f>
        <v>PC</v>
      </c>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row>
    <row r="173">
      <c r="A173" s="5" t="str">
        <f>IFERROR(__xludf.DUMMYFUNCTION("""COMPUTED_VALUE"""),"Test Driver")</f>
        <v>Test Driver</v>
      </c>
      <c r="B173" s="5">
        <f>IFERROR(__xludf.DUMMYFUNCTION("""COMPUTED_VALUE"""),0.006944444444444444)</f>
        <v>0.006944444444</v>
      </c>
      <c r="C173" s="5" t="str">
        <f>IFERROR(__xludf.DUMMYFUNCTION("""COMPUTED_VALUE"""),"AE86T")</f>
        <v>AE86T</v>
      </c>
      <c r="D173" s="5"/>
      <c r="E173" s="5" t="str">
        <f>IFERROR(__xludf.DUMMYFUNCTION("""COMPUTED_VALUE"""),"Test Driver")</f>
        <v>Test Driver</v>
      </c>
      <c r="F173" s="5">
        <f>IFERROR(__xludf.DUMMYFUNCTION("""COMPUTED_VALUE"""),0.006944444444444444)</f>
        <v>0.006944444444</v>
      </c>
      <c r="G173" s="5" t="str">
        <f>IFERROR(__xludf.DUMMYFUNCTION("""COMPUTED_VALUE"""),"AE86T")</f>
        <v>AE86T</v>
      </c>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row>
    <row r="174">
      <c r="A174" s="5" t="str">
        <f>IFERROR(__xludf.DUMMYFUNCTION("""COMPUTED_VALUE"""),"Test Driver")</f>
        <v>Test Driver</v>
      </c>
      <c r="B174" s="5">
        <f>IFERROR(__xludf.DUMMYFUNCTION("""COMPUTED_VALUE"""),0.006944444444444444)</f>
        <v>0.006944444444</v>
      </c>
      <c r="C174" s="5" t="str">
        <f>IFERROR(__xludf.DUMMYFUNCTION("""COMPUTED_VALUE"""),"FD3S(TT)")</f>
        <v>FD3S(TT)</v>
      </c>
      <c r="D174" s="5"/>
      <c r="E174" s="5" t="str">
        <f>IFERROR(__xludf.DUMMYFUNCTION("""COMPUTED_VALUE"""),"Test Driver")</f>
        <v>Test Driver</v>
      </c>
      <c r="F174" s="5">
        <f>IFERROR(__xludf.DUMMYFUNCTION("""COMPUTED_VALUE"""),0.006944444444444444)</f>
        <v>0.006944444444</v>
      </c>
      <c r="G174" s="5" t="str">
        <f>IFERROR(__xludf.DUMMYFUNCTION("""COMPUTED_VALUE"""),"FD3S(TT)")</f>
        <v>FD3S(TT)</v>
      </c>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row>
    <row r="175">
      <c r="A175" s="5" t="str">
        <f>IFERROR(__xludf.DUMMYFUNCTION("""COMPUTED_VALUE"""),"Test Driver")</f>
        <v>Test Driver</v>
      </c>
      <c r="B175" s="5">
        <f>IFERROR(__xludf.DUMMYFUNCTION("""COMPUTED_VALUE"""),0.006944444444444444)</f>
        <v>0.006944444444</v>
      </c>
      <c r="C175" s="5" t="str">
        <f>IFERROR(__xludf.DUMMYFUNCTION("""COMPUTED_VALUE"""),"EVOV/CP9A")</f>
        <v>EVOV/CP9A</v>
      </c>
      <c r="D175" s="5"/>
      <c r="E175" s="5" t="str">
        <f>IFERROR(__xludf.DUMMYFUNCTION("""COMPUTED_VALUE"""),"Test Driver")</f>
        <v>Test Driver</v>
      </c>
      <c r="F175" s="5">
        <f>IFERROR(__xludf.DUMMYFUNCTION("""COMPUTED_VALUE"""),0.006944444444444444)</f>
        <v>0.006944444444</v>
      </c>
      <c r="G175" s="5" t="str">
        <f>IFERROR(__xludf.DUMMYFUNCTION("""COMPUTED_VALUE"""),"EVOV/CP9A")</f>
        <v>EVOV/CP9A</v>
      </c>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row>
    <row r="176">
      <c r="A176" s="5" t="str">
        <f>IFERROR(__xludf.DUMMYFUNCTION("""COMPUTED_VALUE"""),"Test Driver")</f>
        <v>Test Driver</v>
      </c>
      <c r="B176" s="5">
        <f>IFERROR(__xludf.DUMMYFUNCTION("""COMPUTED_VALUE"""),0.006944444444444444)</f>
        <v>0.006944444444</v>
      </c>
      <c r="C176" s="5" t="str">
        <f>IFERROR(__xludf.DUMMYFUNCTION("""COMPUTED_VALUE"""),"FD3SC (RX7)")</f>
        <v>FD3SC (RX7)</v>
      </c>
      <c r="D176" s="5"/>
      <c r="E176" s="5" t="str">
        <f>IFERROR(__xludf.DUMMYFUNCTION("""COMPUTED_VALUE"""),"Test Driver")</f>
        <v>Test Driver</v>
      </c>
      <c r="F176" s="5">
        <f>IFERROR(__xludf.DUMMYFUNCTION("""COMPUTED_VALUE"""),0.006944444444444444)</f>
        <v>0.006944444444</v>
      </c>
      <c r="G176" s="5" t="str">
        <f>IFERROR(__xludf.DUMMYFUNCTION("""COMPUTED_VALUE"""),"FD3SC (RX7)")</f>
        <v>FD3SC (RX7)</v>
      </c>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row>
    <row r="177">
      <c r="A177" s="5" t="str">
        <f>IFERROR(__xludf.DUMMYFUNCTION("""COMPUTED_VALUE"""),"Test Driver")</f>
        <v>Test Driver</v>
      </c>
      <c r="B177" s="5">
        <f>IFERROR(__xludf.DUMMYFUNCTION("""COMPUTED_VALUE"""),0.006944444444444444)</f>
        <v>0.006944444444</v>
      </c>
      <c r="C177" s="5" t="str">
        <f>IFERROR(__xludf.DUMMYFUNCTION("""COMPUTED_VALUE"""),"SE3P (RX8)")</f>
        <v>SE3P (RX8)</v>
      </c>
      <c r="D177" s="5"/>
      <c r="E177" s="5" t="str">
        <f>IFERROR(__xludf.DUMMYFUNCTION("""COMPUTED_VALUE"""),"Test Driver")</f>
        <v>Test Driver</v>
      </c>
      <c r="F177" s="5">
        <f>IFERROR(__xludf.DUMMYFUNCTION("""COMPUTED_VALUE"""),0.006944444444444444)</f>
        <v>0.006944444444</v>
      </c>
      <c r="G177" s="5" t="str">
        <f>IFERROR(__xludf.DUMMYFUNCTION("""COMPUTED_VALUE"""),"SE3P (RX8)")</f>
        <v>SE3P (RX8)</v>
      </c>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row>
    <row r="178">
      <c r="A178" s="5" t="str">
        <f>IFERROR(__xludf.DUMMYFUNCTION("""COMPUTED_VALUE"""),"Test Driver")</f>
        <v>Test Driver</v>
      </c>
      <c r="B178" s="5">
        <f>IFERROR(__xludf.DUMMYFUNCTION("""COMPUTED_VALUE"""),0.006944444444444444)</f>
        <v>0.006944444444</v>
      </c>
      <c r="C178" s="5" t="str">
        <f>IFERROR(__xludf.DUMMYFUNCTION("""COMPUTED_VALUE"""),"FD3S(ST)")</f>
        <v>FD3S(ST)</v>
      </c>
      <c r="D178" s="5"/>
      <c r="E178" s="5" t="str">
        <f>IFERROR(__xludf.DUMMYFUNCTION("""COMPUTED_VALUE"""),"Test Driver")</f>
        <v>Test Driver</v>
      </c>
      <c r="F178" s="5">
        <f>IFERROR(__xludf.DUMMYFUNCTION("""COMPUTED_VALUE"""),0.006944444444444444)</f>
        <v>0.006944444444</v>
      </c>
      <c r="G178" s="5" t="str">
        <f>IFERROR(__xludf.DUMMYFUNCTION("""COMPUTED_VALUE"""),"FD3S(ST)")</f>
        <v>FD3S(ST)</v>
      </c>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row>
    <row r="179">
      <c r="A179" s="5" t="str">
        <f>IFERROR(__xludf.DUMMYFUNCTION("""COMPUTED_VALUE"""),"Test Driver")</f>
        <v>Test Driver</v>
      </c>
      <c r="B179" s="5">
        <f>IFERROR(__xludf.DUMMYFUNCTION("""COMPUTED_VALUE"""),0.006944444444444444)</f>
        <v>0.006944444444</v>
      </c>
      <c r="C179" s="5" t="str">
        <f>IFERROR(__xludf.DUMMYFUNCTION("""COMPUTED_VALUE"""),"JZA80C (Supra)")</f>
        <v>JZA80C (Supra)</v>
      </c>
      <c r="D179" s="5"/>
      <c r="E179" s="5" t="str">
        <f>IFERROR(__xludf.DUMMYFUNCTION("""COMPUTED_VALUE"""),"Test Driver")</f>
        <v>Test Driver</v>
      </c>
      <c r="F179" s="5">
        <f>IFERROR(__xludf.DUMMYFUNCTION("""COMPUTED_VALUE"""),0.006944444444444444)</f>
        <v>0.006944444444</v>
      </c>
      <c r="G179" s="5" t="str">
        <f>IFERROR(__xludf.DUMMYFUNCTION("""COMPUTED_VALUE"""),"JZA80C (Supra)")</f>
        <v>JZA80C (Supra)</v>
      </c>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row>
    <row r="181">
      <c r="A181" s="41" t="s">
        <v>64</v>
      </c>
      <c r="E181" s="41" t="s">
        <v>65</v>
      </c>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row>
    <row r="182">
      <c r="A182" s="11" t="str">
        <f>IFERROR(__xludf.DUMMYFUNCTION("LET(
  賽道, ""Tsuchisaka"",
  路線, ""IB"",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182" s="11" t="str">
        <f>IFERROR(__xludf.DUMMYFUNCTION("""COMPUTED_VALUE"""),"Time時間")</f>
        <v>Time時間</v>
      </c>
      <c r="C182" s="11" t="str">
        <f>IFERROR(__xludf.DUMMYFUNCTION("""COMPUTED_VALUE"""),"Car車種")</f>
        <v>Car車種</v>
      </c>
      <c r="D182" s="11" t="str">
        <f>IFERROR(__xludf.DUMMYFUNCTION("""COMPUTED_VALUE"""),"Platform平台")</f>
        <v>Platform平台</v>
      </c>
      <c r="E182" s="11" t="str">
        <f>IFERROR(__xludf.DUMMYFUNCTION("LET(
  賽道, ""Tsuchisaka"",
  路線, ""OB"",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182" s="11" t="str">
        <f>IFERROR(__xludf.DUMMYFUNCTION("""COMPUTED_VALUE"""),"Time時間")</f>
        <v>Time時間</v>
      </c>
      <c r="G182" s="11" t="str">
        <f>IFERROR(__xludf.DUMMYFUNCTION("""COMPUTED_VALUE"""),"Car車種")</f>
        <v>Car車種</v>
      </c>
      <c r="H182" s="11" t="str">
        <f>IFERROR(__xludf.DUMMYFUNCTION("""COMPUTED_VALUE"""),"Platform平台")</f>
        <v>Platform平台</v>
      </c>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row>
    <row r="183">
      <c r="A183" s="5" t="str">
        <f>IFERROR(__xludf.DUMMYFUNCTION("""COMPUTED_VALUE"""),"StarRiver Arts")</f>
        <v>StarRiver Arts</v>
      </c>
      <c r="B183" s="5">
        <f>IFERROR(__xludf.DUMMYFUNCTION("""COMPUTED_VALUE"""),0.0027189351851851853)</f>
        <v>0.002718935185</v>
      </c>
      <c r="C183" s="5" t="str">
        <f>IFERROR(__xludf.DUMMYFUNCTION("""COMPUTED_VALUE"""),"EVOVI/CP9A")</f>
        <v>EVOVI/CP9A</v>
      </c>
      <c r="D183" s="5" t="str">
        <f>IFERROR(__xludf.DUMMYFUNCTION("""COMPUTED_VALUE"""),"PC")</f>
        <v>PC</v>
      </c>
      <c r="E183" s="5" t="str">
        <f>IFERROR(__xludf.DUMMYFUNCTION("""COMPUTED_VALUE"""),"StarRiver Arts")</f>
        <v>StarRiver Arts</v>
      </c>
      <c r="F183" s="5">
        <f>IFERROR(__xludf.DUMMYFUNCTION("""COMPUTED_VALUE"""),0.00256693287037037)</f>
        <v>0.00256693287</v>
      </c>
      <c r="G183" s="5" t="str">
        <f>IFERROR(__xludf.DUMMYFUNCTION("""COMPUTED_VALUE"""),"EVOVI/CP9A")</f>
        <v>EVOVI/CP9A</v>
      </c>
      <c r="H183" s="5" t="str">
        <f>IFERROR(__xludf.DUMMYFUNCTION("""COMPUTED_VALUE"""),"PC")</f>
        <v>PC</v>
      </c>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row>
    <row r="184">
      <c r="A184" s="5" t="str">
        <f>IFERROR(__xludf.DUMMYFUNCTION("""COMPUTED_VALUE"""),"Test Driver")</f>
        <v>Test Driver</v>
      </c>
      <c r="B184" s="5">
        <f>IFERROR(__xludf.DUMMYFUNCTION("""COMPUTED_VALUE"""),0.006944444444444444)</f>
        <v>0.006944444444</v>
      </c>
      <c r="C184" s="5" t="str">
        <f>IFERROR(__xludf.DUMMYFUNCTION("""COMPUTED_VALUE"""),"AE86T")</f>
        <v>AE86T</v>
      </c>
      <c r="D184" s="5"/>
      <c r="E184" s="5" t="str">
        <f>IFERROR(__xludf.DUMMYFUNCTION("""COMPUTED_VALUE"""),"Test Driver")</f>
        <v>Test Driver</v>
      </c>
      <c r="F184" s="5">
        <f>IFERROR(__xludf.DUMMYFUNCTION("""COMPUTED_VALUE"""),0.006944444444444444)</f>
        <v>0.006944444444</v>
      </c>
      <c r="G184" s="5" t="str">
        <f>IFERROR(__xludf.DUMMYFUNCTION("""COMPUTED_VALUE"""),"AE86T")</f>
        <v>AE86T</v>
      </c>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row>
    <row r="185">
      <c r="A185" s="5" t="str">
        <f>IFERROR(__xludf.DUMMYFUNCTION("""COMPUTED_VALUE"""),"Test Driver")</f>
        <v>Test Driver</v>
      </c>
      <c r="B185" s="5">
        <f>IFERROR(__xludf.DUMMYFUNCTION("""COMPUTED_VALUE"""),0.006944444444444444)</f>
        <v>0.006944444444</v>
      </c>
      <c r="C185" s="5" t="str">
        <f>IFERROR(__xludf.DUMMYFUNCTION("""COMPUTED_VALUE"""),"FD3S(TT)")</f>
        <v>FD3S(TT)</v>
      </c>
      <c r="D185" s="5"/>
      <c r="E185" s="5" t="str">
        <f>IFERROR(__xludf.DUMMYFUNCTION("""COMPUTED_VALUE"""),"Test Driver")</f>
        <v>Test Driver</v>
      </c>
      <c r="F185" s="5">
        <f>IFERROR(__xludf.DUMMYFUNCTION("""COMPUTED_VALUE"""),0.006944444444444444)</f>
        <v>0.006944444444</v>
      </c>
      <c r="G185" s="5" t="str">
        <f>IFERROR(__xludf.DUMMYFUNCTION("""COMPUTED_VALUE"""),"FD3S(TT)")</f>
        <v>FD3S(TT)</v>
      </c>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row>
    <row r="186">
      <c r="A186" s="5" t="str">
        <f>IFERROR(__xludf.DUMMYFUNCTION("""COMPUTED_VALUE"""),"Test Driver")</f>
        <v>Test Driver</v>
      </c>
      <c r="B186" s="5">
        <f>IFERROR(__xludf.DUMMYFUNCTION("""COMPUTED_VALUE"""),0.006944444444444444)</f>
        <v>0.006944444444</v>
      </c>
      <c r="C186" s="5" t="str">
        <f>IFERROR(__xludf.DUMMYFUNCTION("""COMPUTED_VALUE"""),"EVOV/CP9A")</f>
        <v>EVOV/CP9A</v>
      </c>
      <c r="D186" s="5"/>
      <c r="E186" s="5" t="str">
        <f>IFERROR(__xludf.DUMMYFUNCTION("""COMPUTED_VALUE"""),"Test Driver")</f>
        <v>Test Driver</v>
      </c>
      <c r="F186" s="5">
        <f>IFERROR(__xludf.DUMMYFUNCTION("""COMPUTED_VALUE"""),0.006944444444444444)</f>
        <v>0.006944444444</v>
      </c>
      <c r="G186" s="5" t="str">
        <f>IFERROR(__xludf.DUMMYFUNCTION("""COMPUTED_VALUE"""),"EVOV/CP9A")</f>
        <v>EVOV/CP9A</v>
      </c>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row>
    <row r="187">
      <c r="A187" s="5" t="str">
        <f>IFERROR(__xludf.DUMMYFUNCTION("""COMPUTED_VALUE"""),"Test Driver")</f>
        <v>Test Driver</v>
      </c>
      <c r="B187" s="5">
        <f>IFERROR(__xludf.DUMMYFUNCTION("""COMPUTED_VALUE"""),0.006944444444444444)</f>
        <v>0.006944444444</v>
      </c>
      <c r="C187" s="5" t="str">
        <f>IFERROR(__xludf.DUMMYFUNCTION("""COMPUTED_VALUE"""),"FD3SC (RX7)")</f>
        <v>FD3SC (RX7)</v>
      </c>
      <c r="D187" s="5"/>
      <c r="E187" s="5" t="str">
        <f>IFERROR(__xludf.DUMMYFUNCTION("""COMPUTED_VALUE"""),"Test Driver")</f>
        <v>Test Driver</v>
      </c>
      <c r="F187" s="5">
        <f>IFERROR(__xludf.DUMMYFUNCTION("""COMPUTED_VALUE"""),0.006944444444444444)</f>
        <v>0.006944444444</v>
      </c>
      <c r="G187" s="5" t="str">
        <f>IFERROR(__xludf.DUMMYFUNCTION("""COMPUTED_VALUE"""),"FD3SC (RX7)")</f>
        <v>FD3SC (RX7)</v>
      </c>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row>
    <row r="188">
      <c r="A188" s="5" t="str">
        <f>IFERROR(__xludf.DUMMYFUNCTION("""COMPUTED_VALUE"""),"Test Driver")</f>
        <v>Test Driver</v>
      </c>
      <c r="B188" s="5">
        <f>IFERROR(__xludf.DUMMYFUNCTION("""COMPUTED_VALUE"""),0.006944444444444444)</f>
        <v>0.006944444444</v>
      </c>
      <c r="C188" s="5" t="str">
        <f>IFERROR(__xludf.DUMMYFUNCTION("""COMPUTED_VALUE"""),"SE3P (RX8)")</f>
        <v>SE3P (RX8)</v>
      </c>
      <c r="D188" s="5"/>
      <c r="E188" s="5" t="str">
        <f>IFERROR(__xludf.DUMMYFUNCTION("""COMPUTED_VALUE"""),"Test Driver")</f>
        <v>Test Driver</v>
      </c>
      <c r="F188" s="5">
        <f>IFERROR(__xludf.DUMMYFUNCTION("""COMPUTED_VALUE"""),0.006944444444444444)</f>
        <v>0.006944444444</v>
      </c>
      <c r="G188" s="5" t="str">
        <f>IFERROR(__xludf.DUMMYFUNCTION("""COMPUTED_VALUE"""),"SE3P (RX8)")</f>
        <v>SE3P (RX8)</v>
      </c>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row>
    <row r="189">
      <c r="A189" s="5" t="str">
        <f>IFERROR(__xludf.DUMMYFUNCTION("""COMPUTED_VALUE"""),"Test Driver")</f>
        <v>Test Driver</v>
      </c>
      <c r="B189" s="5">
        <f>IFERROR(__xludf.DUMMYFUNCTION("""COMPUTED_VALUE"""),0.006944444444444444)</f>
        <v>0.006944444444</v>
      </c>
      <c r="C189" s="5" t="str">
        <f>IFERROR(__xludf.DUMMYFUNCTION("""COMPUTED_VALUE"""),"FD3S(ST)")</f>
        <v>FD3S(ST)</v>
      </c>
      <c r="D189" s="5"/>
      <c r="E189" s="5" t="str">
        <f>IFERROR(__xludf.DUMMYFUNCTION("""COMPUTED_VALUE"""),"Test Driver")</f>
        <v>Test Driver</v>
      </c>
      <c r="F189" s="5">
        <f>IFERROR(__xludf.DUMMYFUNCTION("""COMPUTED_VALUE"""),0.006944444444444444)</f>
        <v>0.006944444444</v>
      </c>
      <c r="G189" s="5" t="str">
        <f>IFERROR(__xludf.DUMMYFUNCTION("""COMPUTED_VALUE"""),"FD3S(ST)")</f>
        <v>FD3S(ST)</v>
      </c>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row>
    <row r="190">
      <c r="A190" s="5" t="str">
        <f>IFERROR(__xludf.DUMMYFUNCTION("""COMPUTED_VALUE"""),"Test Driver")</f>
        <v>Test Driver</v>
      </c>
      <c r="B190" s="5">
        <f>IFERROR(__xludf.DUMMYFUNCTION("""COMPUTED_VALUE"""),0.006944444444444444)</f>
        <v>0.006944444444</v>
      </c>
      <c r="C190" s="5" t="str">
        <f>IFERROR(__xludf.DUMMYFUNCTION("""COMPUTED_VALUE"""),"JZA80C (Supra)")</f>
        <v>JZA80C (Supra)</v>
      </c>
      <c r="D190" s="5"/>
      <c r="E190" s="5" t="str">
        <f>IFERROR(__xludf.DUMMYFUNCTION("""COMPUTED_VALUE"""),"Test Driver")</f>
        <v>Test Driver</v>
      </c>
      <c r="F190" s="5">
        <f>IFERROR(__xludf.DUMMYFUNCTION("""COMPUTED_VALUE"""),0.006944444444444444)</f>
        <v>0.006944444444</v>
      </c>
      <c r="G190" s="5" t="str">
        <f>IFERROR(__xludf.DUMMYFUNCTION("""COMPUTED_VALUE"""),"JZA80C  (Supra)")</f>
        <v>JZA80C  (Supra)</v>
      </c>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row>
    <row r="192">
      <c r="A192" s="42" t="s">
        <v>66</v>
      </c>
      <c r="E192" s="42" t="s">
        <v>67</v>
      </c>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row>
    <row r="193">
      <c r="A193" s="11" t="str">
        <f>IFERROR(__xludf.DUMMYFUNCTION("LET(
  賽道, ""Sadamine"",
  路線, ""FCDH"",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193" s="11" t="str">
        <f>IFERROR(__xludf.DUMMYFUNCTION("""COMPUTED_VALUE"""),"Time時間")</f>
        <v>Time時間</v>
      </c>
      <c r="C193" s="11" t="str">
        <f>IFERROR(__xludf.DUMMYFUNCTION("""COMPUTED_VALUE"""),"Car車種")</f>
        <v>Car車種</v>
      </c>
      <c r="D193" s="11" t="str">
        <f>IFERROR(__xludf.DUMMYFUNCTION("""COMPUTED_VALUE"""),"Platform平台")</f>
        <v>Platform平台</v>
      </c>
      <c r="E193" s="11" t="str">
        <f>IFERROR(__xludf.DUMMYFUNCTION("LET(
  賽道, ""Sadamine"",
  路線, ""FCUH"",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193" s="11" t="str">
        <f>IFERROR(__xludf.DUMMYFUNCTION("""COMPUTED_VALUE"""),"Time時間")</f>
        <v>Time時間</v>
      </c>
      <c r="G193" s="11" t="str">
        <f>IFERROR(__xludf.DUMMYFUNCTION("""COMPUTED_VALUE"""),"Car車種")</f>
        <v>Car車種</v>
      </c>
      <c r="H193" s="11" t="str">
        <f>IFERROR(__xludf.DUMMYFUNCTION("""COMPUTED_VALUE"""),"Platform平台")</f>
        <v>Platform平台</v>
      </c>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row>
    <row r="194">
      <c r="A194" s="5" t="str">
        <f>IFERROR(__xludf.DUMMYFUNCTION("""COMPUTED_VALUE"""),"Lolidia")</f>
        <v>Lolidia</v>
      </c>
      <c r="B194" s="5">
        <f>IFERROR(__xludf.DUMMYFUNCTION("""COMPUTED_VALUE"""),0.002249224537037037)</f>
        <v>0.002249224537</v>
      </c>
      <c r="C194" s="5" t="str">
        <f>IFERROR(__xludf.DUMMYFUNCTION("""COMPUTED_VALUE"""),"FD3S (RX7)(ST)")</f>
        <v>FD3S (RX7)(ST)</v>
      </c>
      <c r="D194" s="5" t="str">
        <f>IFERROR(__xludf.DUMMYFUNCTION("""COMPUTED_VALUE"""),"PCVR")</f>
        <v>PCVR</v>
      </c>
      <c r="E194" s="5" t="str">
        <f>IFERROR(__xludf.DUMMYFUNCTION("""COMPUTED_VALUE"""),"StarRiver Arts")</f>
        <v>StarRiver Arts</v>
      </c>
      <c r="F194" s="5">
        <f>IFERROR(__xludf.DUMMYFUNCTION("""COMPUTED_VALUE"""),0.002911076388888889)</f>
        <v>0.002911076389</v>
      </c>
      <c r="G194" s="5" t="str">
        <f>IFERROR(__xludf.DUMMYFUNCTION("""COMPUTED_VALUE"""),"FD3S (RX7)(TT)")</f>
        <v>FD3S (RX7)(TT)</v>
      </c>
      <c r="H194" s="5" t="str">
        <f>IFERROR(__xludf.DUMMYFUNCTION("""COMPUTED_VALUE"""),"PC")</f>
        <v>PC</v>
      </c>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row>
    <row r="195">
      <c r="A195" s="5" t="str">
        <f>IFERROR(__xludf.DUMMYFUNCTION("""COMPUTED_VALUE"""),"Doyakyon")</f>
        <v>Doyakyon</v>
      </c>
      <c r="B195" s="5">
        <f>IFERROR(__xludf.DUMMYFUNCTION("""COMPUTED_VALUE"""),0.002383101851851852)</f>
        <v>0.002383101852</v>
      </c>
      <c r="C195" s="5" t="str">
        <f>IFERROR(__xludf.DUMMYFUNCTION("""COMPUTED_VALUE"""),"AE86T")</f>
        <v>AE86T</v>
      </c>
      <c r="D195" s="5" t="str">
        <f>IFERROR(__xludf.DUMMYFUNCTION("""COMPUTED_VALUE"""),"PCVR")</f>
        <v>PCVR</v>
      </c>
      <c r="E195" s="5" t="str">
        <f>IFERROR(__xludf.DUMMYFUNCTION("""COMPUTED_VALUE"""),"Kinokono_Tenka")</f>
        <v>Kinokono_Tenka</v>
      </c>
      <c r="F195" s="5">
        <f>IFERROR(__xludf.DUMMYFUNCTION("""COMPUTED_VALUE"""),0.003041087962962963)</f>
        <v>0.003041087963</v>
      </c>
      <c r="G195" s="5" t="str">
        <f>IFERROR(__xludf.DUMMYFUNCTION("""COMPUTED_VALUE"""),"EG6 (civic)")</f>
        <v>EG6 (civic)</v>
      </c>
      <c r="H195" s="5" t="str">
        <f>IFERROR(__xludf.DUMMYFUNCTION("""COMPUTED_VALUE"""),"PCVR")</f>
        <v>PCVR</v>
      </c>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row>
    <row r="196">
      <c r="A196" s="5" t="str">
        <f>IFERROR(__xludf.DUMMYFUNCTION("""COMPUTED_VALUE"""),"StarRiver Arts")</f>
        <v>StarRiver Arts</v>
      </c>
      <c r="B196" s="5">
        <f>IFERROR(__xludf.DUMMYFUNCTION("""COMPUTED_VALUE"""),0.0025293171296296296)</f>
        <v>0.00252931713</v>
      </c>
      <c r="C196" s="5" t="str">
        <f>IFERROR(__xludf.DUMMYFUNCTION("""COMPUTED_VALUE"""),"SXE10 (Altezza)")</f>
        <v>SXE10 (Altezza)</v>
      </c>
      <c r="D196" s="5" t="str">
        <f>IFERROR(__xludf.DUMMYFUNCTION("""COMPUTED_VALUE"""),"PC")</f>
        <v>PC</v>
      </c>
      <c r="E196" s="5" t="str">
        <f>IFERROR(__xludf.DUMMYFUNCTION("""COMPUTED_VALUE"""),"Test Driver")</f>
        <v>Test Driver</v>
      </c>
      <c r="F196" s="5">
        <f>IFERROR(__xludf.DUMMYFUNCTION("""COMPUTED_VALUE"""),0.006944444444444444)</f>
        <v>0.006944444444</v>
      </c>
      <c r="G196" s="5" t="str">
        <f>IFERROR(__xludf.DUMMYFUNCTION("""COMPUTED_VALUE"""),"FD3S (RX7)(ST)")</f>
        <v>FD3S (RX7)(ST)</v>
      </c>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row>
    <row r="197">
      <c r="A197" s="5" t="str">
        <f>IFERROR(__xludf.DUMMYFUNCTION("""COMPUTED_VALUE"""),"StarRiver Arts")</f>
        <v>StarRiver Arts</v>
      </c>
      <c r="B197" s="5">
        <f>IFERROR(__xludf.DUMMYFUNCTION("""COMPUTED_VALUE"""),0.0025410879629629633)</f>
        <v>0.002541087963</v>
      </c>
      <c r="C197" s="5" t="str">
        <f>IFERROR(__xludf.DUMMYFUNCTION("""COMPUTED_VALUE"""),"FD3S (RX7)(TT)")</f>
        <v>FD3S (RX7)(TT)</v>
      </c>
      <c r="D197" s="5" t="str">
        <f>IFERROR(__xludf.DUMMYFUNCTION("""COMPUTED_VALUE"""),"PC")</f>
        <v>PC</v>
      </c>
      <c r="E197" s="5" t="str">
        <f>IFERROR(__xludf.DUMMYFUNCTION("""COMPUTED_VALUE"""),"Test Driver")</f>
        <v>Test Driver</v>
      </c>
      <c r="F197" s="5">
        <f>IFERROR(__xludf.DUMMYFUNCTION("""COMPUTED_VALUE"""),0.006944444444444444)</f>
        <v>0.006944444444</v>
      </c>
      <c r="G197" s="5" t="str">
        <f>IFERROR(__xludf.DUMMYFUNCTION("""COMPUTED_VALUE"""),"AE86T")</f>
        <v>AE86T</v>
      </c>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row>
    <row r="198">
      <c r="A198" s="5" t="str">
        <f>IFERROR(__xludf.DUMMYFUNCTION("""COMPUTED_VALUE"""),"Kinokono_Tenka")</f>
        <v>Kinokono_Tenka</v>
      </c>
      <c r="B198" s="5">
        <f>IFERROR(__xludf.DUMMYFUNCTION("""COMPUTED_VALUE"""),0.0025498263888888892)</f>
        <v>0.002549826389</v>
      </c>
      <c r="C198" s="5" t="str">
        <f>IFERROR(__xludf.DUMMYFUNCTION("""COMPUTED_VALUE"""),"EG6 (civic)")</f>
        <v>EG6 (civic)</v>
      </c>
      <c r="D198" s="5" t="str">
        <f>IFERROR(__xludf.DUMMYFUNCTION("""COMPUTED_VALUE"""),"PCVR")</f>
        <v>PCVR</v>
      </c>
      <c r="E198" s="5" t="str">
        <f>IFERROR(__xludf.DUMMYFUNCTION("""COMPUTED_VALUE"""),"Test Driver")</f>
        <v>Test Driver</v>
      </c>
      <c r="F198" s="5">
        <f>IFERROR(__xludf.DUMMYFUNCTION("""COMPUTED_VALUE"""),0.006944444444444444)</f>
        <v>0.006944444444</v>
      </c>
      <c r="G198" s="5" t="str">
        <f>IFERROR(__xludf.DUMMYFUNCTION("""COMPUTED_VALUE"""),"ZVW30(Prius)")</f>
        <v>ZVW30(Prius)</v>
      </c>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row>
    <row r="199">
      <c r="A199" s="5" t="str">
        <f>IFERROR(__xludf.DUMMYFUNCTION("""COMPUTED_VALUE"""),"StarRiver Arts")</f>
        <v>StarRiver Arts</v>
      </c>
      <c r="B199" s="5">
        <f>IFERROR(__xludf.DUMMYFUNCTION("""COMPUTED_VALUE"""),0.0026917476851851855)</f>
        <v>0.002691747685</v>
      </c>
      <c r="C199" s="5" t="str">
        <f>IFERROR(__xludf.DUMMYFUNCTION("""COMPUTED_VALUE"""),"ZVW30")</f>
        <v>ZVW30</v>
      </c>
      <c r="D199" s="5" t="str">
        <f>IFERROR(__xludf.DUMMYFUNCTION("""COMPUTED_VALUE"""),"PC")</f>
        <v>PC</v>
      </c>
      <c r="E199" s="5" t="str">
        <f>IFERROR(__xludf.DUMMYFUNCTION("""COMPUTED_VALUE"""),"Test Driver")</f>
        <v>Test Driver</v>
      </c>
      <c r="F199" s="5">
        <f>IFERROR(__xludf.DUMMYFUNCTION("""COMPUTED_VALUE"""),0.006944444444444444)</f>
        <v>0.006944444444</v>
      </c>
      <c r="G199" s="5" t="str">
        <f>IFERROR(__xludf.DUMMYFUNCTION("""COMPUTED_VALUE"""),"SXE10 (Altezza)")</f>
        <v>SXE10 (Altezza)</v>
      </c>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row>
    <row r="200">
      <c r="A200" s="5" t="str">
        <f>IFERROR(__xludf.DUMMYFUNCTION("""COMPUTED_VALUE"""),"StarRiver Arts")</f>
        <v>StarRiver Arts</v>
      </c>
      <c r="B200" s="5">
        <f>IFERROR(__xludf.DUMMYFUNCTION("""COMPUTED_VALUE"""),0.0027650462962962963)</f>
        <v>0.002765046296</v>
      </c>
      <c r="C200" s="5" t="str">
        <f>IFERROR(__xludf.DUMMYFUNCTION("""COMPUTED_VALUE"""),"ZVW30(Prius)")</f>
        <v>ZVW30(Prius)</v>
      </c>
      <c r="D200" s="5" t="str">
        <f>IFERROR(__xludf.DUMMYFUNCTION("""COMPUTED_VALUE"""),"PC")</f>
        <v>PC</v>
      </c>
      <c r="E200" s="5" t="str">
        <f>IFERROR(__xludf.DUMMYFUNCTION("""COMPUTED_VALUE"""),"Test Driver")</f>
        <v>Test Driver</v>
      </c>
      <c r="F200" s="5">
        <f>IFERROR(__xludf.DUMMYFUNCTION("""COMPUTED_VALUE"""),0.006944444444444444)</f>
        <v>0.006944444444</v>
      </c>
      <c r="G200" s="5" t="str">
        <f>IFERROR(__xludf.DUMMYFUNCTION("""COMPUTED_VALUE"""),"Fake Trueno")</f>
        <v>Fake Trueno</v>
      </c>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row>
    <row r="201">
      <c r="A201" s="5" t="str">
        <f>IFERROR(__xludf.DUMMYFUNCTION("""COMPUTED_VALUE"""),"Test Driver")</f>
        <v>Test Driver</v>
      </c>
      <c r="B201" s="5">
        <f>IFERROR(__xludf.DUMMYFUNCTION("""COMPUTED_VALUE"""),0.006944444444444444)</f>
        <v>0.006944444444</v>
      </c>
      <c r="C201" s="5" t="str">
        <f>IFERROR(__xludf.DUMMYFUNCTION("""COMPUTED_VALUE"""),"Fake Trueno")</f>
        <v>Fake Trueno</v>
      </c>
      <c r="D201" s="5"/>
      <c r="E201" s="5" t="str">
        <f>IFERROR(__xludf.DUMMYFUNCTION("""COMPUTED_VALUE"""),"Test Driver")</f>
        <v>Test Driver</v>
      </c>
      <c r="F201" s="5">
        <f>IFERROR(__xludf.DUMMYFUNCTION("""COMPUTED_VALUE"""),0.006944444444444444)</f>
        <v>0.006944444444</v>
      </c>
      <c r="G201" s="5" t="str">
        <f>IFERROR(__xludf.DUMMYFUNCTION("""COMPUTED_VALUE"""),"Fake FD3S")</f>
        <v>Fake FD3S</v>
      </c>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row>
    <row r="202">
      <c r="A202" s="5" t="str">
        <f>IFERROR(__xludf.DUMMYFUNCTION("""COMPUTED_VALUE"""),"Test Driver")</f>
        <v>Test Driver</v>
      </c>
      <c r="B202" s="5">
        <f>IFERROR(__xludf.DUMMYFUNCTION("""COMPUTED_VALUE"""),0.006944444444444444)</f>
        <v>0.006944444444</v>
      </c>
      <c r="C202" s="5" t="str">
        <f>IFERROR(__xludf.DUMMYFUNCTION("""COMPUTED_VALUE"""),"Fake FD3S")</f>
        <v>Fake FD3S</v>
      </c>
      <c r="D202" s="5"/>
      <c r="E202" s="5" t="str">
        <f>IFERROR(__xludf.DUMMYFUNCTION("""COMPUTED_VALUE"""),"Test Driver")</f>
        <v>Test Driver</v>
      </c>
      <c r="F202" s="5">
        <f>IFERROR(__xludf.DUMMYFUNCTION("""COMPUTED_VALUE"""),0.006944444444444444)</f>
        <v>0.006944444444</v>
      </c>
      <c r="G202" s="5" t="str">
        <f>IFERROR(__xludf.DUMMYFUNCTION("""COMPUTED_VALUE"""),"AE85")</f>
        <v>AE85</v>
      </c>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row>
    <row r="203">
      <c r="A203" s="5" t="str">
        <f>IFERROR(__xludf.DUMMYFUNCTION("""COMPUTED_VALUE"""),"Test Driver")</f>
        <v>Test Driver</v>
      </c>
      <c r="B203" s="5">
        <f>IFERROR(__xludf.DUMMYFUNCTION("""COMPUTED_VALUE"""),0.006944444444444444)</f>
        <v>0.006944444444</v>
      </c>
      <c r="C203" s="5" t="str">
        <f>IFERROR(__xludf.DUMMYFUNCTION("""COMPUTED_VALUE"""),"AE85")</f>
        <v>AE85</v>
      </c>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row>
    <row r="208">
      <c r="A208" s="42" t="s">
        <v>68</v>
      </c>
      <c r="E208" s="42" t="s">
        <v>69</v>
      </c>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row>
    <row r="209">
      <c r="A209" s="11" t="str">
        <f>IFERROR(__xludf.DUMMYFUNCTION("LET(
  賽道, ""Sadamine"",
  路線, ""OCDH"",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209" s="11" t="str">
        <f>IFERROR(__xludf.DUMMYFUNCTION("""COMPUTED_VALUE"""),"Time時間")</f>
        <v>Time時間</v>
      </c>
      <c r="C209" s="11" t="str">
        <f>IFERROR(__xludf.DUMMYFUNCTION("""COMPUTED_VALUE"""),"Car車種")</f>
        <v>Car車種</v>
      </c>
      <c r="D209" s="11" t="str">
        <f>IFERROR(__xludf.DUMMYFUNCTION("""COMPUTED_VALUE"""),"Platform平台")</f>
        <v>Platform平台</v>
      </c>
      <c r="E209" s="11" t="str">
        <f>IFERROR(__xludf.DUMMYFUNCTION("LET(
  賽道, ""Sadamine"",
  路線, ""OCUH"",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209" s="11" t="str">
        <f>IFERROR(__xludf.DUMMYFUNCTION("""COMPUTED_VALUE"""),"Time時間")</f>
        <v>Time時間</v>
      </c>
      <c r="G209" s="11" t="str">
        <f>IFERROR(__xludf.DUMMYFUNCTION("""COMPUTED_VALUE"""),"Car車種")</f>
        <v>Car車種</v>
      </c>
      <c r="H209" s="11" t="str">
        <f>IFERROR(__xludf.DUMMYFUNCTION("""COMPUTED_VALUE"""),"Platform平台")</f>
        <v>Platform平台</v>
      </c>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row>
    <row r="210">
      <c r="A210" s="5" t="str">
        <f>IFERROR(__xludf.DUMMYFUNCTION("""COMPUTED_VALUE"""),"StarRiver Arts")</f>
        <v>StarRiver Arts</v>
      </c>
      <c r="B210" s="5">
        <f>IFERROR(__xludf.DUMMYFUNCTION("""COMPUTED_VALUE"""),0.0017935995370370371)</f>
        <v>0.001793599537</v>
      </c>
      <c r="C210" s="5" t="str">
        <f>IFERROR(__xludf.DUMMYFUNCTION("""COMPUTED_VALUE"""),"AE86T")</f>
        <v>AE86T</v>
      </c>
      <c r="D210" s="5" t="str">
        <f>IFERROR(__xludf.DUMMYFUNCTION("""COMPUTED_VALUE"""),"PC")</f>
        <v>PC</v>
      </c>
      <c r="E210" s="5" t="str">
        <f>IFERROR(__xludf.DUMMYFUNCTION("""COMPUTED_VALUE"""),"StarRiver Arts")</f>
        <v>StarRiver Arts</v>
      </c>
      <c r="F210" s="5">
        <f>IFERROR(__xludf.DUMMYFUNCTION("""COMPUTED_VALUE"""),0.0021378587962962966)</f>
        <v>0.002137858796</v>
      </c>
      <c r="G210" s="5" t="str">
        <f>IFERROR(__xludf.DUMMYFUNCTION("""COMPUTED_VALUE"""),"EG6 (civic)")</f>
        <v>EG6 (civic)</v>
      </c>
      <c r="H210" s="5" t="str">
        <f>IFERROR(__xludf.DUMMYFUNCTION("""COMPUTED_VALUE"""),"PC")</f>
        <v>PC</v>
      </c>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row>
    <row r="211">
      <c r="A211" s="5" t="str">
        <f>IFERROR(__xludf.DUMMYFUNCTION("""COMPUTED_VALUE"""),"Kinokono_Tenka")</f>
        <v>Kinokono_Tenka</v>
      </c>
      <c r="B211" s="5">
        <f>IFERROR(__xludf.DUMMYFUNCTION("""COMPUTED_VALUE"""),0.0018724189814814812)</f>
        <v>0.001872418981</v>
      </c>
      <c r="C211" s="5" t="str">
        <f>IFERROR(__xludf.DUMMYFUNCTION("""COMPUTED_VALUE"""),"EG6 (civic)")</f>
        <v>EG6 (civic)</v>
      </c>
      <c r="D211" s="5" t="str">
        <f>IFERROR(__xludf.DUMMYFUNCTION("""COMPUTED_VALUE"""),"PCVR")</f>
        <v>PCVR</v>
      </c>
      <c r="E211" s="5" t="str">
        <f>IFERROR(__xludf.DUMMYFUNCTION("""COMPUTED_VALUE"""),"StarRiver Arts")</f>
        <v>StarRiver Arts</v>
      </c>
      <c r="F211" s="5">
        <f>IFERROR(__xludf.DUMMYFUNCTION("""COMPUTED_VALUE"""),0.0021732291666666666)</f>
        <v>0.002173229167</v>
      </c>
      <c r="G211" s="5" t="str">
        <f>IFERROR(__xludf.DUMMYFUNCTION("""COMPUTED_VALUE"""),"FD3S (RX7)(TT)")</f>
        <v>FD3S (RX7)(TT)</v>
      </c>
      <c r="H211" s="5" t="str">
        <f>IFERROR(__xludf.DUMMYFUNCTION("""COMPUTED_VALUE"""),"PC")</f>
        <v>PC</v>
      </c>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row>
    <row r="212">
      <c r="A212" s="5" t="str">
        <f>IFERROR(__xludf.DUMMYFUNCTION("""COMPUTED_VALUE"""),"StarRiver Arts")</f>
        <v>StarRiver Arts</v>
      </c>
      <c r="B212" s="5">
        <f>IFERROR(__xludf.DUMMYFUNCTION("""COMPUTED_VALUE"""),0.0020555555555555557)</f>
        <v>0.002055555556</v>
      </c>
      <c r="C212" s="5" t="str">
        <f>IFERROR(__xludf.DUMMYFUNCTION("""COMPUTED_VALUE"""),"SXE10 (Altezza)")</f>
        <v>SXE10 (Altezza)</v>
      </c>
      <c r="D212" s="5" t="str">
        <f>IFERROR(__xludf.DUMMYFUNCTION("""COMPUTED_VALUE"""),"PC")</f>
        <v>PC</v>
      </c>
      <c r="E212" s="5" t="str">
        <f>IFERROR(__xludf.DUMMYFUNCTION("""COMPUTED_VALUE"""),"Test Driver")</f>
        <v>Test Driver</v>
      </c>
      <c r="F212" s="5">
        <f>IFERROR(__xludf.DUMMYFUNCTION("""COMPUTED_VALUE"""),0.006944444444444444)</f>
        <v>0.006944444444</v>
      </c>
      <c r="G212" s="5" t="str">
        <f>IFERROR(__xludf.DUMMYFUNCTION("""COMPUTED_VALUE"""),"FD3S (RX7)(ST)")</f>
        <v>FD3S (RX7)(ST)</v>
      </c>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row>
    <row r="213">
      <c r="A213" s="5" t="str">
        <f>IFERROR(__xludf.DUMMYFUNCTION("""COMPUTED_VALUE"""),"Test Driver")</f>
        <v>Test Driver</v>
      </c>
      <c r="B213" s="5">
        <f>IFERROR(__xludf.DUMMYFUNCTION("""COMPUTED_VALUE"""),0.006944444444444444)</f>
        <v>0.006944444444</v>
      </c>
      <c r="C213" s="5" t="str">
        <f>IFERROR(__xludf.DUMMYFUNCTION("""COMPUTED_VALUE"""),"FD3S (RX7)(TT)")</f>
        <v>FD3S (RX7)(TT)</v>
      </c>
      <c r="D213" s="5"/>
      <c r="E213" s="5" t="str">
        <f>IFERROR(__xludf.DUMMYFUNCTION("""COMPUTED_VALUE"""),"Test Driver")</f>
        <v>Test Driver</v>
      </c>
      <c r="F213" s="5">
        <f>IFERROR(__xludf.DUMMYFUNCTION("""COMPUTED_VALUE"""),0.006944444444444444)</f>
        <v>0.006944444444</v>
      </c>
      <c r="G213" s="5" t="str">
        <f>IFERROR(__xludf.DUMMYFUNCTION("""COMPUTED_VALUE"""),"AE86T")</f>
        <v>AE86T</v>
      </c>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row>
    <row r="214">
      <c r="A214" s="5" t="str">
        <f>IFERROR(__xludf.DUMMYFUNCTION("""COMPUTED_VALUE"""),"Test Driver")</f>
        <v>Test Driver</v>
      </c>
      <c r="B214" s="5">
        <f>IFERROR(__xludf.DUMMYFUNCTION("""COMPUTED_VALUE"""),0.006944444444444444)</f>
        <v>0.006944444444</v>
      </c>
      <c r="C214" s="5" t="str">
        <f>IFERROR(__xludf.DUMMYFUNCTION("""COMPUTED_VALUE"""),"FD3S (RX7)(ST)")</f>
        <v>FD3S (RX7)(ST)</v>
      </c>
      <c r="D214" s="5"/>
      <c r="E214" s="5" t="str">
        <f>IFERROR(__xludf.DUMMYFUNCTION("""COMPUTED_VALUE"""),"Test Driver")</f>
        <v>Test Driver</v>
      </c>
      <c r="F214" s="5">
        <f>IFERROR(__xludf.DUMMYFUNCTION("""COMPUTED_VALUE"""),0.006944444444444444)</f>
        <v>0.006944444444</v>
      </c>
      <c r="G214" s="5" t="str">
        <f>IFERROR(__xludf.DUMMYFUNCTION("""COMPUTED_VALUE"""),"ZVW30(Prius)")</f>
        <v>ZVW30(Prius)</v>
      </c>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row>
    <row r="215">
      <c r="A215" s="5" t="str">
        <f>IFERROR(__xludf.DUMMYFUNCTION("""COMPUTED_VALUE"""),"Test Driver")</f>
        <v>Test Driver</v>
      </c>
      <c r="B215" s="5">
        <f>IFERROR(__xludf.DUMMYFUNCTION("""COMPUTED_VALUE"""),0.006944444444444444)</f>
        <v>0.006944444444</v>
      </c>
      <c r="C215" s="5" t="str">
        <f>IFERROR(__xludf.DUMMYFUNCTION("""COMPUTED_VALUE"""),"ZVW30(Prius)")</f>
        <v>ZVW30(Prius)</v>
      </c>
      <c r="D215" s="5"/>
      <c r="E215" s="5" t="str">
        <f>IFERROR(__xludf.DUMMYFUNCTION("""COMPUTED_VALUE"""),"Test Driver")</f>
        <v>Test Driver</v>
      </c>
      <c r="F215" s="5">
        <f>IFERROR(__xludf.DUMMYFUNCTION("""COMPUTED_VALUE"""),0.006944444444444444)</f>
        <v>0.006944444444</v>
      </c>
      <c r="G215" s="5" t="str">
        <f>IFERROR(__xludf.DUMMYFUNCTION("""COMPUTED_VALUE"""),"SXE10 (Altezza)")</f>
        <v>SXE10 (Altezza)</v>
      </c>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row>
    <row r="216">
      <c r="A216" s="5" t="str">
        <f>IFERROR(__xludf.DUMMYFUNCTION("""COMPUTED_VALUE"""),"Test Driver")</f>
        <v>Test Driver</v>
      </c>
      <c r="B216" s="5">
        <f>IFERROR(__xludf.DUMMYFUNCTION("""COMPUTED_VALUE"""),0.006944444444444444)</f>
        <v>0.006944444444</v>
      </c>
      <c r="C216" s="5" t="str">
        <f>IFERROR(__xludf.DUMMYFUNCTION("""COMPUTED_VALUE"""),"Fake Trueno")</f>
        <v>Fake Trueno</v>
      </c>
      <c r="D216" s="5"/>
      <c r="E216" s="5" t="str">
        <f>IFERROR(__xludf.DUMMYFUNCTION("""COMPUTED_VALUE"""),"Test Driver")</f>
        <v>Test Driver</v>
      </c>
      <c r="F216" s="5">
        <f>IFERROR(__xludf.DUMMYFUNCTION("""COMPUTED_VALUE"""),0.006944444444444444)</f>
        <v>0.006944444444</v>
      </c>
      <c r="G216" s="5" t="str">
        <f>IFERROR(__xludf.DUMMYFUNCTION("""COMPUTED_VALUE"""),"Fake Trueno")</f>
        <v>Fake Trueno</v>
      </c>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row>
    <row r="217">
      <c r="A217" s="5" t="str">
        <f>IFERROR(__xludf.DUMMYFUNCTION("""COMPUTED_VALUE"""),"Test Driver")</f>
        <v>Test Driver</v>
      </c>
      <c r="B217" s="5">
        <f>IFERROR(__xludf.DUMMYFUNCTION("""COMPUTED_VALUE"""),0.006944444444444444)</f>
        <v>0.006944444444</v>
      </c>
      <c r="C217" s="5" t="str">
        <f>IFERROR(__xludf.DUMMYFUNCTION("""COMPUTED_VALUE"""),"Fake FD3S")</f>
        <v>Fake FD3S</v>
      </c>
      <c r="D217" s="5"/>
      <c r="E217" s="5" t="str">
        <f>IFERROR(__xludf.DUMMYFUNCTION("""COMPUTED_VALUE"""),"Test Driver")</f>
        <v>Test Driver</v>
      </c>
      <c r="F217" s="5">
        <f>IFERROR(__xludf.DUMMYFUNCTION("""COMPUTED_VALUE"""),0.006944444444444444)</f>
        <v>0.006944444444</v>
      </c>
      <c r="G217" s="5" t="str">
        <f>IFERROR(__xludf.DUMMYFUNCTION("""COMPUTED_VALUE"""),"Fake FD3S")</f>
        <v>Fake FD3S</v>
      </c>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row>
    <row r="218">
      <c r="A218" s="5" t="str">
        <f>IFERROR(__xludf.DUMMYFUNCTION("""COMPUTED_VALUE"""),"Test Driver")</f>
        <v>Test Driver</v>
      </c>
      <c r="B218" s="5">
        <f>IFERROR(__xludf.DUMMYFUNCTION("""COMPUTED_VALUE"""),0.006944444444444444)</f>
        <v>0.006944444444</v>
      </c>
      <c r="C218" s="5" t="str">
        <f>IFERROR(__xludf.DUMMYFUNCTION("""COMPUTED_VALUE"""),"AE85")</f>
        <v>AE85</v>
      </c>
      <c r="D218" s="5"/>
      <c r="E218" s="5" t="str">
        <f>IFERROR(__xludf.DUMMYFUNCTION("""COMPUTED_VALUE"""),"Test Driver")</f>
        <v>Test Driver</v>
      </c>
      <c r="F218" s="5">
        <f>IFERROR(__xludf.DUMMYFUNCTION("""COMPUTED_VALUE"""),0.006944444444444444)</f>
        <v>0.006944444444</v>
      </c>
      <c r="G218" s="5" t="str">
        <f>IFERROR(__xludf.DUMMYFUNCTION("""COMPUTED_VALUE"""),"AE85")</f>
        <v>AE85</v>
      </c>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row>
    <row r="220">
      <c r="A220" s="6" t="s">
        <v>70</v>
      </c>
      <c r="E220" s="6" t="s">
        <v>71</v>
      </c>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row>
    <row r="221">
      <c r="A221" s="11" t="str">
        <f>IFERROR(__xludf.DUMMYFUNCTION("LET(
  賽道, ""Mt.Talkan"",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221" s="11" t="str">
        <f>IFERROR(__xludf.DUMMYFUNCTION("""COMPUTED_VALUE"""),"Time時間")</f>
        <v>Time時間</v>
      </c>
      <c r="C221" s="11" t="str">
        <f>IFERROR(__xludf.DUMMYFUNCTION("""COMPUTED_VALUE"""),"Car車種")</f>
        <v>Car車種</v>
      </c>
      <c r="D221" s="11" t="str">
        <f>IFERROR(__xludf.DUMMYFUNCTION("""COMPUTED_VALUE"""),"Platform平台")</f>
        <v>Platform平台</v>
      </c>
      <c r="E221" s="11" t="str">
        <f>IFERROR(__xludf.DUMMYFUNCTION("LET(
  賽道, ""Mt.Talkan"",
  路線, ""UH"",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221" s="11" t="str">
        <f>IFERROR(__xludf.DUMMYFUNCTION("""COMPUTED_VALUE"""),"Time時間")</f>
        <v>Time時間</v>
      </c>
      <c r="G221" s="11" t="str">
        <f>IFERROR(__xludf.DUMMYFUNCTION("""COMPUTED_VALUE"""),"Car車種")</f>
        <v>Car車種</v>
      </c>
      <c r="H221" s="11" t="str">
        <f>IFERROR(__xludf.DUMMYFUNCTION("""COMPUTED_VALUE"""),"Platform平台")</f>
        <v>Platform平台</v>
      </c>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row>
    <row r="222">
      <c r="A222" s="5" t="str">
        <f>IFERROR(__xludf.DUMMYFUNCTION("""COMPUTED_VALUE"""),"LinWu_05")</f>
        <v>LinWu_05</v>
      </c>
      <c r="B222" s="5">
        <f>IFERROR(__xludf.DUMMYFUNCTION("""COMPUTED_VALUE"""),0.0025902777777777777)</f>
        <v>0.002590277778</v>
      </c>
      <c r="C222" s="5" t="str">
        <f>IFERROR(__xludf.DUMMYFUNCTION("""COMPUTED_VALUE"""),"BMW M1")</f>
        <v>BMW M1</v>
      </c>
      <c r="D222" s="5" t="str">
        <f>IFERROR(__xludf.DUMMYFUNCTION("""COMPUTED_VALUE"""),"PC")</f>
        <v>PC</v>
      </c>
      <c r="E222" s="5" t="str">
        <f>IFERROR(__xludf.DUMMYFUNCTION("""COMPUTED_VALUE"""),"LinWu_05")</f>
        <v>LinWu_05</v>
      </c>
      <c r="F222" s="5">
        <f>IFERROR(__xludf.DUMMYFUNCTION("""COMPUTED_VALUE"""),0.002331412037037037)</f>
        <v>0.002331412037</v>
      </c>
      <c r="G222" s="5" t="str">
        <f>IFERROR(__xludf.DUMMYFUNCTION("""COMPUTED_VALUE"""),"BMW M1")</f>
        <v>BMW M1</v>
      </c>
      <c r="H222" s="5" t="str">
        <f>IFERROR(__xludf.DUMMYFUNCTION("""COMPUTED_VALUE"""),"PC")</f>
        <v>PC</v>
      </c>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row>
    <row r="223">
      <c r="A223" s="12" t="str">
        <f>IFERROR(__xludf.DUMMYFUNCTION("""COMPUTED_VALUE"""),"Test Driver")</f>
        <v>Test Driver</v>
      </c>
      <c r="B223" s="12">
        <f>IFERROR(__xludf.DUMMYFUNCTION("""COMPUTED_VALUE"""),0.006944444444444444)</f>
        <v>0.006944444444</v>
      </c>
      <c r="C223" s="5" t="str">
        <f>IFERROR(__xludf.DUMMYFUNCTION("""COMPUTED_VALUE"""),"SLS")</f>
        <v>SLS</v>
      </c>
      <c r="D223" s="5"/>
      <c r="E223" s="5" t="str">
        <f>IFERROR(__xludf.DUMMYFUNCTION("""COMPUTED_VALUE"""),"Redfrogss")</f>
        <v>Redfrogss</v>
      </c>
      <c r="F223" s="5">
        <f>IFERROR(__xludf.DUMMYFUNCTION("""COMPUTED_VALUE"""),0.0024704050925925926)</f>
        <v>0.002470405093</v>
      </c>
      <c r="G223" s="5" t="str">
        <f>IFERROR(__xludf.DUMMYFUNCTION("""COMPUTED_VALUE"""),"Z4")</f>
        <v>Z4</v>
      </c>
      <c r="H223" s="5" t="str">
        <f>IFERROR(__xludf.DUMMYFUNCTION("""COMPUTED_VALUE"""),"PCVR")</f>
        <v>PCVR</v>
      </c>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row>
    <row r="224">
      <c r="A224" s="12" t="str">
        <f>IFERROR(__xludf.DUMMYFUNCTION("""COMPUTED_VALUE"""),"Test Driver")</f>
        <v>Test Driver</v>
      </c>
      <c r="B224" s="12">
        <f>IFERROR(__xludf.DUMMYFUNCTION("""COMPUTED_VALUE"""),0.006944444444444444)</f>
        <v>0.006944444444</v>
      </c>
      <c r="C224" s="5" t="str">
        <f>IFERROR(__xludf.DUMMYFUNCTION("""COMPUTED_VALUE"""),"Z4")</f>
        <v>Z4</v>
      </c>
      <c r="D224" s="5"/>
      <c r="E224" s="5" t="str">
        <f>IFERROR(__xludf.DUMMYFUNCTION("""COMPUTED_VALUE"""),"StarRiver Arts")</f>
        <v>StarRiver Arts</v>
      </c>
      <c r="F224" s="5">
        <f>IFERROR(__xludf.DUMMYFUNCTION("""COMPUTED_VALUE"""),0.003848460648148148)</f>
        <v>0.003848460648</v>
      </c>
      <c r="G224" s="5" t="str">
        <f>IFERROR(__xludf.DUMMYFUNCTION("""COMPUTED_VALUE"""),"SLS")</f>
        <v>SLS</v>
      </c>
      <c r="H224" s="5" t="str">
        <f>IFERROR(__xludf.DUMMYFUNCTION("""COMPUTED_VALUE"""),"PC")</f>
        <v>PC</v>
      </c>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row>
    <row r="225">
      <c r="A225" s="12" t="str">
        <f>IFERROR(__xludf.DUMMYFUNCTION("""COMPUTED_VALUE"""),"Test Driver")</f>
        <v>Test Driver</v>
      </c>
      <c r="B225" s="12">
        <f>IFERROR(__xludf.DUMMYFUNCTION("""COMPUTED_VALUE"""),0.006944444444444444)</f>
        <v>0.006944444444</v>
      </c>
      <c r="C225" s="5" t="str">
        <f>IFERROR(__xludf.DUMMYFUNCTION("""COMPUTED_VALUE"""),"NA6CE (Mx5 Roadster)")</f>
        <v>NA6CE (Mx5 Roadster)</v>
      </c>
      <c r="D225" s="5"/>
      <c r="E225" s="5" t="str">
        <f>IFERROR(__xludf.DUMMYFUNCTION("""COMPUTED_VALUE"""),"Test Driver")</f>
        <v>Test Driver</v>
      </c>
      <c r="F225" s="5">
        <f>IFERROR(__xludf.DUMMYFUNCTION("""COMPUTED_VALUE"""),0.006944444444444444)</f>
        <v>0.006944444444</v>
      </c>
      <c r="G225" s="5" t="str">
        <f>IFERROR(__xludf.DUMMYFUNCTION("""COMPUTED_VALUE"""),"NA6CE (Mx5 Roadster)")</f>
        <v>NA6CE (Mx5 Roadster)</v>
      </c>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row>
    <row r="226">
      <c r="A226" s="12" t="str">
        <f>IFERROR(__xludf.DUMMYFUNCTION("""COMPUTED_VALUE"""),"Test Driver")</f>
        <v>Test Driver</v>
      </c>
      <c r="B226" s="12">
        <f>IFERROR(__xludf.DUMMYFUNCTION("""COMPUTED_VALUE"""),0.006944444444444444)</f>
        <v>0.006944444444</v>
      </c>
      <c r="C226" s="5" t="str">
        <f>IFERROR(__xludf.DUMMYFUNCTION("""COMPUTED_VALUE"""),"GVB (Impreza STi)")</f>
        <v>GVB (Impreza STi)</v>
      </c>
      <c r="D226" s="5"/>
      <c r="E226" s="5" t="str">
        <f>IFERROR(__xludf.DUMMYFUNCTION("""COMPUTED_VALUE"""),"Test Driver")</f>
        <v>Test Driver</v>
      </c>
      <c r="F226" s="5">
        <f>IFERROR(__xludf.DUMMYFUNCTION("""COMPUTED_VALUE"""),0.006944444444444444)</f>
        <v>0.006944444444</v>
      </c>
      <c r="G226" s="5" t="str">
        <f>IFERROR(__xludf.DUMMYFUNCTION("""COMPUTED_VALUE"""),"GVB (Impreza STi)")</f>
        <v>GVB (Impreza STi)</v>
      </c>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row>
    <row r="227">
      <c r="A227" s="12" t="str">
        <f>IFERROR(__xludf.DUMMYFUNCTION("""COMPUTED_VALUE"""),"Test Driver")</f>
        <v>Test Driver</v>
      </c>
      <c r="B227" s="12">
        <f>IFERROR(__xludf.DUMMYFUNCTION("""COMPUTED_VALUE"""),0.006944444444444444)</f>
        <v>0.006944444444</v>
      </c>
      <c r="C227" s="5" t="str">
        <f>IFERROR(__xludf.DUMMYFUNCTION("""COMPUTED_VALUE"""),"GT86/ZN6")</f>
        <v>GT86/ZN6</v>
      </c>
      <c r="D227" s="5"/>
      <c r="E227" s="5" t="str">
        <f>IFERROR(__xludf.DUMMYFUNCTION("""COMPUTED_VALUE"""),"Test Driver")</f>
        <v>Test Driver</v>
      </c>
      <c r="F227" s="5">
        <f>IFERROR(__xludf.DUMMYFUNCTION("""COMPUTED_VALUE"""),0.006944444444444444)</f>
        <v>0.006944444444</v>
      </c>
      <c r="G227" s="5" t="str">
        <f>IFERROR(__xludf.DUMMYFUNCTION("""COMPUTED_VALUE"""),"GT86/ZN6")</f>
        <v>GT86/ZN6</v>
      </c>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row>
    <row r="228">
      <c r="A228" s="12" t="str">
        <f>IFERROR(__xludf.DUMMYFUNCTION("""COMPUTED_VALUE"""),"Test Driver")</f>
        <v>Test Driver</v>
      </c>
      <c r="B228" s="12">
        <f>IFERROR(__xludf.DUMMYFUNCTION("""COMPUTED_VALUE"""),0.006944444444444444)</f>
        <v>0.006944444444</v>
      </c>
      <c r="C228" s="5" t="str">
        <f>IFERROR(__xludf.DUMMYFUNCTION("""COMPUTED_VALUE"""),"A110(Alpine)")</f>
        <v>A110(Alpine)</v>
      </c>
      <c r="D228" s="5"/>
      <c r="E228" s="5" t="str">
        <f>IFERROR(__xludf.DUMMYFUNCTION("""COMPUTED_VALUE"""),"Test Driver")</f>
        <v>Test Driver</v>
      </c>
      <c r="F228" s="5">
        <f>IFERROR(__xludf.DUMMYFUNCTION("""COMPUTED_VALUE"""),0.006944444444444444)</f>
        <v>0.006944444444</v>
      </c>
      <c r="G228" s="5" t="str">
        <f>IFERROR(__xludf.DUMMYFUNCTION("""COMPUTED_VALUE"""),"A110(Alpine)")</f>
        <v>A110(Alpine)</v>
      </c>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row>
    <row r="230">
      <c r="A230" s="43" t="s">
        <v>72</v>
      </c>
      <c r="E230" s="43" t="s">
        <v>73</v>
      </c>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row>
    <row r="231">
      <c r="A231" s="11" t="str">
        <f>IFERROR(__xludf.DUMMYFUNCTION("LET(
  賽道, ""Mt.Hakone"",
  路線, ""OB"",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231" s="11" t="str">
        <f>IFERROR(__xludf.DUMMYFUNCTION("""COMPUTED_VALUE"""),"Time時間")</f>
        <v>Time時間</v>
      </c>
      <c r="C231" s="11" t="str">
        <f>IFERROR(__xludf.DUMMYFUNCTION("""COMPUTED_VALUE"""),"Car車種")</f>
        <v>Car車種</v>
      </c>
      <c r="D231" s="11" t="str">
        <f>IFERROR(__xludf.DUMMYFUNCTION("""COMPUTED_VALUE"""),"Platform平台")</f>
        <v>Platform平台</v>
      </c>
      <c r="E231" s="11" t="str">
        <f>IFERROR(__xludf.DUMMYFUNCTION("LET(
  賽道, ""Mt.Hakone"",
  路線, ""IB"",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231" s="11" t="str">
        <f>IFERROR(__xludf.DUMMYFUNCTION("""COMPUTED_VALUE"""),"Time時間")</f>
        <v>Time時間</v>
      </c>
      <c r="G231" s="11" t="str">
        <f>IFERROR(__xludf.DUMMYFUNCTION("""COMPUTED_VALUE"""),"Car車種")</f>
        <v>Car車種</v>
      </c>
      <c r="H231" s="11" t="str">
        <f>IFERROR(__xludf.DUMMYFUNCTION("""COMPUTED_VALUE"""),"Platform平台")</f>
        <v>Platform平台</v>
      </c>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row>
    <row r="232">
      <c r="A232" s="12" t="str">
        <f>IFERROR(__xludf.DUMMYFUNCTION("""COMPUTED_VALUE"""),"Test Driver")</f>
        <v>Test Driver</v>
      </c>
      <c r="B232" s="5">
        <f>IFERROR(__xludf.DUMMYFUNCTION("""COMPUTED_VALUE"""),0.006944444444444444)</f>
        <v>0.006944444444</v>
      </c>
      <c r="C232" s="5" t="str">
        <f>IFERROR(__xludf.DUMMYFUNCTION("""COMPUTED_VALUE"""),"FD3S (RX7)")</f>
        <v>FD3S (RX7)</v>
      </c>
      <c r="D232" s="5"/>
      <c r="E232" s="5" t="str">
        <f>IFERROR(__xludf.DUMMYFUNCTION("""COMPUTED_VALUE"""),"StarRiver Arts")</f>
        <v>StarRiver Arts</v>
      </c>
      <c r="F232" s="5">
        <f>IFERROR(__xludf.DUMMYFUNCTION("""COMPUTED_VALUE"""),0.003980324074074074)</f>
        <v>0.003980324074</v>
      </c>
      <c r="G232" s="5" t="str">
        <f>IFERROR(__xludf.DUMMYFUNCTION("""COMPUTED_VALUE"""),"FD3S (RX7)")</f>
        <v>FD3S (RX7)</v>
      </c>
      <c r="H232" s="5" t="str">
        <f>IFERROR(__xludf.DUMMYFUNCTION("""COMPUTED_VALUE"""),"PC")</f>
        <v>PC</v>
      </c>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row>
    <row r="233">
      <c r="A233" s="27" t="str">
        <f>IFERROR(__xludf.DUMMYFUNCTION("""COMPUTED_VALUE"""),"Test Driver")</f>
        <v>Test Driver</v>
      </c>
      <c r="B233" s="12">
        <f>IFERROR(__xludf.DUMMYFUNCTION("""COMPUTED_VALUE"""),0.006944444444444444)</f>
        <v>0.006944444444</v>
      </c>
      <c r="C233" s="5" t="str">
        <f>IFERROR(__xludf.DUMMYFUNCTION("""COMPUTED_VALUE"""),"FC3S (RX7)")</f>
        <v>FC3S (RX7)</v>
      </c>
      <c r="D233" s="5"/>
      <c r="E233" s="5" t="str">
        <f>IFERROR(__xludf.DUMMYFUNCTION("""COMPUTED_VALUE"""),"Test Driver")</f>
        <v>Test Driver</v>
      </c>
      <c r="F233" s="5">
        <f>IFERROR(__xludf.DUMMYFUNCTION("""COMPUTED_VALUE"""),0.006944444444444444)</f>
        <v>0.006944444444</v>
      </c>
      <c r="G233" s="5" t="str">
        <f>IFERROR(__xludf.DUMMYFUNCTION("""COMPUTED_VALUE"""),"FC3S (RX7)")</f>
        <v>FC3S (RX7)</v>
      </c>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row>
    <row r="234">
      <c r="A234" s="12" t="str">
        <f>IFERROR(__xludf.DUMMYFUNCTION("""COMPUTED_VALUE"""),"Test Driver")</f>
        <v>Test Driver</v>
      </c>
      <c r="B234" s="12">
        <f>IFERROR(__xludf.DUMMYFUNCTION("""COMPUTED_VALUE"""),0.006944444444444444)</f>
        <v>0.006944444444</v>
      </c>
      <c r="C234" s="5" t="str">
        <f>IFERROR(__xludf.DUMMYFUNCTION("""COMPUTED_VALUE"""),"EVOIII/CE9A                                                 ")</f>
        <v>EVOIII/CE9A                                                 </v>
      </c>
      <c r="D234" s="5"/>
      <c r="E234" s="5" t="str">
        <f>IFERROR(__xludf.DUMMYFUNCTION("""COMPUTED_VALUE"""),"Test Driver")</f>
        <v>Test Driver</v>
      </c>
      <c r="F234" s="5">
        <f>IFERROR(__xludf.DUMMYFUNCTION("""COMPUTED_VALUE"""),0.006944444444444444)</f>
        <v>0.006944444444</v>
      </c>
      <c r="G234" s="5" t="str">
        <f>IFERROR(__xludf.DUMMYFUNCTION("""COMPUTED_VALUE"""),"EVOIII/CE9A                                                 ")</f>
        <v>EVOIII/CE9A                                                 </v>
      </c>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row>
    <row r="235">
      <c r="A235" s="12" t="str">
        <f>IFERROR(__xludf.DUMMYFUNCTION("""COMPUTED_VALUE"""),"Test Driver")</f>
        <v>Test Driver</v>
      </c>
      <c r="B235" s="12">
        <f>IFERROR(__xludf.DUMMYFUNCTION("""COMPUTED_VALUE"""),0.006944444444444444)</f>
        <v>0.006944444444</v>
      </c>
      <c r="C235" s="5" t="str">
        <f>IFERROR(__xludf.DUMMYFUNCTION("""COMPUTED_VALUE"""),"Alcyone/SVX")</f>
        <v>Alcyone/SVX</v>
      </c>
      <c r="D235" s="5"/>
      <c r="E235" s="5" t="str">
        <f>IFERROR(__xludf.DUMMYFUNCTION("""COMPUTED_VALUE"""),"Test Driver")</f>
        <v>Test Driver</v>
      </c>
      <c r="F235" s="5">
        <f>IFERROR(__xludf.DUMMYFUNCTION("""COMPUTED_VALUE"""),0.006944444444444444)</f>
        <v>0.006944444444</v>
      </c>
      <c r="G235" s="5" t="str">
        <f>IFERROR(__xludf.DUMMYFUNCTION("""COMPUTED_VALUE"""),"Alcyone/SVX")</f>
        <v>Alcyone/SVX</v>
      </c>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row>
    <row r="236">
      <c r="A236" s="12" t="str">
        <f>IFERROR(__xludf.DUMMYFUNCTION("""COMPUTED_VALUE"""),"Test Driver")</f>
        <v>Test Driver</v>
      </c>
      <c r="B236" s="12">
        <f>IFERROR(__xludf.DUMMYFUNCTION("""COMPUTED_VALUE"""),0.006944444444444444)</f>
        <v>0.006944444444</v>
      </c>
      <c r="C236" s="5" t="str">
        <f>IFERROR(__xludf.DUMMYFUNCTION("""COMPUTED_VALUE"""),"JZA70  (Supra)")</f>
        <v>JZA70  (Supra)</v>
      </c>
      <c r="D236" s="5"/>
      <c r="E236" s="5" t="str">
        <f>IFERROR(__xludf.DUMMYFUNCTION("""COMPUTED_VALUE"""),"Test Driver")</f>
        <v>Test Driver</v>
      </c>
      <c r="F236" s="5">
        <f>IFERROR(__xludf.DUMMYFUNCTION("""COMPUTED_VALUE"""),0.006944444444444444)</f>
        <v>0.006944444444</v>
      </c>
      <c r="G236" s="5" t="str">
        <f>IFERROR(__xludf.DUMMYFUNCTION("""COMPUTED_VALUE"""),"JZA70  (Supra)")</f>
        <v>JZA70  (Supra)</v>
      </c>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row>
    <row r="237">
      <c r="A237" s="12" t="str">
        <f>IFERROR(__xludf.DUMMYFUNCTION("""COMPUTED_VALUE"""),"Test Driver")</f>
        <v>Test Driver</v>
      </c>
      <c r="B237" s="12">
        <f>IFERROR(__xludf.DUMMYFUNCTION("""COMPUTED_VALUE"""),0.006944444444444444)</f>
        <v>0.006944444444</v>
      </c>
      <c r="C237" s="5" t="str">
        <f>IFERROR(__xludf.DUMMYFUNCTION("""COMPUTED_VALUE"""),"Levorg")</f>
        <v>Levorg</v>
      </c>
      <c r="D237" s="5"/>
      <c r="E237" s="5" t="str">
        <f>IFERROR(__xludf.DUMMYFUNCTION("""COMPUTED_VALUE"""),"Test Driver")</f>
        <v>Test Driver</v>
      </c>
      <c r="F237" s="5">
        <f>IFERROR(__xludf.DUMMYFUNCTION("""COMPUTED_VALUE"""),0.006944444444444444)</f>
        <v>0.006944444444</v>
      </c>
      <c r="G237" s="5" t="str">
        <f>IFERROR(__xludf.DUMMYFUNCTION("""COMPUTED_VALUE"""),"Levorg")</f>
        <v>Levorg</v>
      </c>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row>
    <row r="238">
      <c r="A238" s="12" t="str">
        <f>IFERROR(__xludf.DUMMYFUNCTION("""COMPUTED_VALUE"""),"Test Driver")</f>
        <v>Test Driver</v>
      </c>
      <c r="B238" s="12">
        <f>IFERROR(__xludf.DUMMYFUNCTION("""COMPUTED_VALUE"""),0.006944444444444444)</f>
        <v>0.006944444444</v>
      </c>
      <c r="C238" s="5" t="str">
        <f>IFERROR(__xludf.DUMMYFUNCTION("""COMPUTED_VALUE"""),"Stagea")</f>
        <v>Stagea</v>
      </c>
      <c r="D238" s="5"/>
      <c r="E238" s="5" t="str">
        <f>IFERROR(__xludf.DUMMYFUNCTION("""COMPUTED_VALUE"""),"Test Driver")</f>
        <v>Test Driver</v>
      </c>
      <c r="F238" s="5">
        <f>IFERROR(__xludf.DUMMYFUNCTION("""COMPUTED_VALUE"""),0.006944444444444444)</f>
        <v>0.006944444444</v>
      </c>
      <c r="G238" s="5" t="str">
        <f>IFERROR(__xludf.DUMMYFUNCTION("""COMPUTED_VALUE"""),"Stagea")</f>
        <v>Stagea</v>
      </c>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row>
    <row r="239">
      <c r="A239" s="12" t="str">
        <f>IFERROR(__xludf.DUMMYFUNCTION("""COMPUTED_VALUE"""),"Test Driver")</f>
        <v>Test Driver</v>
      </c>
      <c r="B239" s="12">
        <f>IFERROR(__xludf.DUMMYFUNCTION("""COMPUTED_VALUE"""),0.006944444444444444)</f>
        <v>0.006944444444</v>
      </c>
      <c r="C239" s="5" t="str">
        <f>IFERROR(__xludf.DUMMYFUNCTION("""COMPUTED_VALUE"""),"Corolla")</f>
        <v>Corolla</v>
      </c>
      <c r="D239" s="5"/>
      <c r="E239" s="5" t="str">
        <f>IFERROR(__xludf.DUMMYFUNCTION("""COMPUTED_VALUE"""),"Test Driver")</f>
        <v>Test Driver</v>
      </c>
      <c r="F239" s="5">
        <f>IFERROR(__xludf.DUMMYFUNCTION("""COMPUTED_VALUE"""),0.006944444444444444)</f>
        <v>0.006944444444</v>
      </c>
      <c r="G239" s="5" t="str">
        <f>IFERROR(__xludf.DUMMYFUNCTION("""COMPUTED_VALUE"""),"Corolla")</f>
        <v>Corolla</v>
      </c>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row>
    <row r="240">
      <c r="A240" s="12" t="str">
        <f>IFERROR(__xludf.DUMMYFUNCTION("""COMPUTED_VALUE"""),"Test Driver")</f>
        <v>Test Driver</v>
      </c>
      <c r="B240" s="12">
        <f>IFERROR(__xludf.DUMMYFUNCTION("""COMPUTED_VALUE"""),0.006944444444444444)</f>
        <v>0.006944444444</v>
      </c>
      <c r="C240" s="5" t="str">
        <f>IFERROR(__xludf.DUMMYFUNCTION("""COMPUTED_VALUE"""),"Hiace")</f>
        <v>Hiace</v>
      </c>
      <c r="D240" s="5"/>
      <c r="E240" s="5" t="str">
        <f>IFERROR(__xludf.DUMMYFUNCTION("""COMPUTED_VALUE"""),"Test Driver")</f>
        <v>Test Driver</v>
      </c>
      <c r="F240" s="5">
        <f>IFERROR(__xludf.DUMMYFUNCTION("""COMPUTED_VALUE"""),0.006944444444444444)</f>
        <v>0.006944444444</v>
      </c>
      <c r="G240" s="5" t="str">
        <f>IFERROR(__xludf.DUMMYFUNCTION("""COMPUTED_VALUE"""),"Hiace")</f>
        <v>Hiace</v>
      </c>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row>
    <row r="241">
      <c r="A241" s="12" t="str">
        <f>IFERROR(__xludf.DUMMYFUNCTION("""COMPUTED_VALUE"""),"Test Driver")</f>
        <v>Test Driver</v>
      </c>
      <c r="B241" s="12">
        <f>IFERROR(__xludf.DUMMYFUNCTION("""COMPUTED_VALUE"""),0.006944444444444444)</f>
        <v>0.006944444444</v>
      </c>
      <c r="C241" s="5" t="str">
        <f>IFERROR(__xludf.DUMMYFUNCTION("""COMPUTED_VALUE"""),"SE3P (RX8)")</f>
        <v>SE3P (RX8)</v>
      </c>
      <c r="D241" s="5"/>
      <c r="E241" s="5" t="str">
        <f>IFERROR(__xludf.DUMMYFUNCTION("""COMPUTED_VALUE"""),"Test Driver")</f>
        <v>Test Driver</v>
      </c>
      <c r="F241" s="5">
        <f>IFERROR(__xludf.DUMMYFUNCTION("""COMPUTED_VALUE"""),0.006944444444444444)</f>
        <v>0.006944444444</v>
      </c>
      <c r="G241" s="5" t="str">
        <f>IFERROR(__xludf.DUMMYFUNCTION("""COMPUTED_VALUE"""),"SE3P (RX8)")</f>
        <v>SE3P (RX8)</v>
      </c>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row>
    <row r="242">
      <c r="A242" s="12" t="str">
        <f>IFERROR(__xludf.DUMMYFUNCTION("""COMPUTED_VALUE"""),"Test Driver")</f>
        <v>Test Driver</v>
      </c>
      <c r="B242" s="12">
        <f>IFERROR(__xludf.DUMMYFUNCTION("""COMPUTED_VALUE"""),0.006944444444444444)</f>
        <v>0.006944444444</v>
      </c>
      <c r="C242" s="5" t="str">
        <f>IFERROR(__xludf.DUMMYFUNCTION("""COMPUTED_VALUE"""),"Cosmo")</f>
        <v>Cosmo</v>
      </c>
      <c r="D242" s="5"/>
      <c r="E242" s="5" t="str">
        <f>IFERROR(__xludf.DUMMYFUNCTION("""COMPUTED_VALUE"""),"Test Driver")</f>
        <v>Test Driver</v>
      </c>
      <c r="F242" s="5">
        <f>IFERROR(__xludf.DUMMYFUNCTION("""COMPUTED_VALUE"""),0.006944444444444444)</f>
        <v>0.006944444444</v>
      </c>
      <c r="G242" s="5" t="str">
        <f>IFERROR(__xludf.DUMMYFUNCTION("""COMPUTED_VALUE"""),"Cosmo")</f>
        <v>Cosmo</v>
      </c>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row>
    <row r="243">
      <c r="A243" s="12" t="str">
        <f>IFERROR(__xludf.DUMMYFUNCTION("""COMPUTED_VALUE"""),"Test Driver")</f>
        <v>Test Driver</v>
      </c>
      <c r="B243" s="12">
        <f>IFERROR(__xludf.DUMMYFUNCTION("""COMPUTED_VALUE"""),0.006944444444444444)</f>
        <v>0.006944444444</v>
      </c>
      <c r="C243" s="5" t="str">
        <f>IFERROR(__xludf.DUMMYFUNCTION("""COMPUTED_VALUE"""),"S30Z(Nissan Fairlady Z/Devil Z)")</f>
        <v>S30Z(Nissan Fairlady Z/Devil Z)</v>
      </c>
      <c r="D243" s="5"/>
      <c r="E243" s="5" t="str">
        <f>IFERROR(__xludf.DUMMYFUNCTION("""COMPUTED_VALUE"""),"Test Driver")</f>
        <v>Test Driver</v>
      </c>
      <c r="F243" s="5">
        <f>IFERROR(__xludf.DUMMYFUNCTION("""COMPUTED_VALUE"""),0.006944444444444444)</f>
        <v>0.006944444444</v>
      </c>
      <c r="G243" s="5" t="str">
        <f>IFERROR(__xludf.DUMMYFUNCTION("""COMPUTED_VALUE"""),"S30Z(Nissan Fairlady Z/Devil Z)")</f>
        <v>S30Z(Nissan Fairlady Z/Devil Z)</v>
      </c>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c r="A244" s="12"/>
      <c r="B244" s="12"/>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row>
    <row r="246">
      <c r="A246" s="44" t="s">
        <v>74</v>
      </c>
      <c r="E246" s="45" t="s">
        <v>75</v>
      </c>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row>
    <row r="247">
      <c r="A247" s="11" t="str">
        <f>IFERROR(__xludf.DUMMYFUNCTION("LET(
  賽道, ""Nagoya"",
  路線, """",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247" s="11" t="str">
        <f>IFERROR(__xludf.DUMMYFUNCTION("""COMPUTED_VALUE"""),"Time時間")</f>
        <v>Time時間</v>
      </c>
      <c r="C247" s="11" t="str">
        <f>IFERROR(__xludf.DUMMYFUNCTION("""COMPUTED_VALUE"""),"Car車種")</f>
        <v>Car車種</v>
      </c>
      <c r="D247" s="11" t="str">
        <f>IFERROR(__xludf.DUMMYFUNCTION("""COMPUTED_VALUE"""),"Platform平台")</f>
        <v>Platform平台</v>
      </c>
      <c r="E247" s="11" t="str">
        <f>IFERROR(__xludf.DUMMYFUNCTION("LET(
  賽道, ""Fukuoka"",
  路線, """",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247" s="11" t="str">
        <f>IFERROR(__xludf.DUMMYFUNCTION("""COMPUTED_VALUE"""),"Time時間")</f>
        <v>Time時間</v>
      </c>
      <c r="G247" s="11" t="str">
        <f>IFERROR(__xludf.DUMMYFUNCTION("""COMPUTED_VALUE"""),"Car車種")</f>
        <v>Car車種</v>
      </c>
      <c r="H247" s="11" t="str">
        <f>IFERROR(__xludf.DUMMYFUNCTION("""COMPUTED_VALUE"""),"Platform平台")</f>
        <v>Platform平台</v>
      </c>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row>
    <row r="248">
      <c r="A248" s="5" t="str">
        <f>IFERROR(__xludf.DUMMYFUNCTION("""COMPUTED_VALUE"""),"LinWu_05")</f>
        <v>LinWu_05</v>
      </c>
      <c r="B248" s="5">
        <f>IFERROR(__xludf.DUMMYFUNCTION("""COMPUTED_VALUE"""),0.0024359606481481485)</f>
        <v>0.002435960648</v>
      </c>
      <c r="C248" s="5" t="str">
        <f>IFERROR(__xludf.DUMMYFUNCTION("""COMPUTED_VALUE"""),"EVOX/CZ4A")</f>
        <v>EVOX/CZ4A</v>
      </c>
      <c r="D248" s="5" t="str">
        <f>IFERROR(__xludf.DUMMYFUNCTION("""COMPUTED_VALUE"""),"PC")</f>
        <v>PC</v>
      </c>
      <c r="E248" s="5" t="str">
        <f>IFERROR(__xludf.DUMMYFUNCTION("""COMPUTED_VALUE"""),"Kurotsuki.")</f>
        <v>Kurotsuki.</v>
      </c>
      <c r="F248" s="5">
        <f>IFERROR(__xludf.DUMMYFUNCTION("""COMPUTED_VALUE"""),0.0025099421296296298)</f>
        <v>0.00250994213</v>
      </c>
      <c r="G248" s="5" t="str">
        <f>IFERROR(__xludf.DUMMYFUNCTION("""COMPUTED_VALUE"""),"CZ9A")</f>
        <v>CZ9A</v>
      </c>
      <c r="H248" s="5" t="str">
        <f>IFERROR(__xludf.DUMMYFUNCTION("""COMPUTED_VALUE"""),"PC")</f>
        <v>PC</v>
      </c>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row>
    <row r="249">
      <c r="A249" s="5" t="str">
        <f>IFERROR(__xludf.DUMMYFUNCTION("""COMPUTED_VALUE"""),"Test Driver")</f>
        <v>Test Driver</v>
      </c>
      <c r="B249" s="5">
        <f>IFERROR(__xludf.DUMMYFUNCTION("""COMPUTED_VALUE"""),0.006944444444444444)</f>
        <v>0.006944444444</v>
      </c>
      <c r="C249" s="5" t="str">
        <f>IFERROR(__xludf.DUMMYFUNCTION("""COMPUTED_VALUE"""),"GRB (WRX Gr.B)")</f>
        <v>GRB (WRX Gr.B)</v>
      </c>
      <c r="D249" s="5"/>
      <c r="E249" s="5" t="str">
        <f>IFERROR(__xludf.DUMMYFUNCTION("""COMPUTED_VALUE"""),"Redfrogss")</f>
        <v>Redfrogss</v>
      </c>
      <c r="F249" s="5">
        <f>IFERROR(__xludf.DUMMYFUNCTION("""COMPUTED_VALUE"""),0.0026808333333333332)</f>
        <v>0.002680833333</v>
      </c>
      <c r="G249" s="5" t="str">
        <f>IFERROR(__xludf.DUMMYFUNCTION("""COMPUTED_VALUE"""),"GT86/ZN6")</f>
        <v>GT86/ZN6</v>
      </c>
      <c r="H249" s="5" t="str">
        <f>IFERROR(__xludf.DUMMYFUNCTION("""COMPUTED_VALUE"""),"PCVR")</f>
        <v>PCVR</v>
      </c>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row>
    <row r="250">
      <c r="A250" s="5" t="str">
        <f>IFERROR(__xludf.DUMMYFUNCTION("""COMPUTED_VALUE"""),"Test Driver")</f>
        <v>Test Driver</v>
      </c>
      <c r="B250" s="5">
        <f>IFERROR(__xludf.DUMMYFUNCTION("""COMPUTED_VALUE"""),0.006944444444444444)</f>
        <v>0.006944444444</v>
      </c>
      <c r="C250" s="5" t="str">
        <f>IFERROR(__xludf.DUMMYFUNCTION("""COMPUTED_VALUE"""),"Z34(370Z)")</f>
        <v>Z34(370Z)</v>
      </c>
      <c r="D250" s="5"/>
      <c r="E250" s="5" t="str">
        <f>IFERROR(__xludf.DUMMYFUNCTION("""COMPUTED_VALUE"""),"LinWu_05")</f>
        <v>LinWu_05</v>
      </c>
      <c r="F250" s="5">
        <f>IFERROR(__xludf.DUMMYFUNCTION("""COMPUTED_VALUE"""),0.0027285879629629626)</f>
        <v>0.002728587963</v>
      </c>
      <c r="G250" s="5" t="str">
        <f>IFERROR(__xludf.DUMMYFUNCTION("""COMPUTED_VALUE"""),"R35")</f>
        <v>R35</v>
      </c>
      <c r="H250" s="5" t="str">
        <f>IFERROR(__xludf.DUMMYFUNCTION("""COMPUTED_VALUE"""),"PC")</f>
        <v>PC</v>
      </c>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row>
    <row r="251">
      <c r="A251" s="5" t="str">
        <f>IFERROR(__xludf.DUMMYFUNCTION("""COMPUTED_VALUE"""),"Test Driver")</f>
        <v>Test Driver</v>
      </c>
      <c r="B251" s="5">
        <f>IFERROR(__xludf.DUMMYFUNCTION("""COMPUTED_VALUE"""),0.006944444444444444)</f>
        <v>0.006944444444</v>
      </c>
      <c r="C251" s="5" t="str">
        <f>IFERROR(__xludf.DUMMYFUNCTION("""COMPUTED_VALUE"""),"NA6CE (Mx5 Roadster)")</f>
        <v>NA6CE (Mx5 Roadster)</v>
      </c>
      <c r="D251" s="5"/>
      <c r="E251" s="5" t="str">
        <f>IFERROR(__xludf.DUMMYFUNCTION("""COMPUTED_VALUE"""),"Test Driver")</f>
        <v>Test Driver</v>
      </c>
      <c r="F251" s="5">
        <f>IFERROR(__xludf.DUMMYFUNCTION("""COMPUTED_VALUE"""),0.006944444444444444)</f>
        <v>0.006944444444</v>
      </c>
      <c r="G251" s="5" t="str">
        <f>IFERROR(__xludf.DUMMYFUNCTION("""COMPUTED_VALUE"""),"KPGC10(Skyline 2000GT-R)")</f>
        <v>KPGC10(Skyline 2000GT-R)</v>
      </c>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row>
    <row r="252">
      <c r="A252" s="5" t="str">
        <f>IFERROR(__xludf.DUMMYFUNCTION("""COMPUTED_VALUE"""),"Test Driver")</f>
        <v>Test Driver</v>
      </c>
      <c r="B252" s="5">
        <f>IFERROR(__xludf.DUMMYFUNCTION("""COMPUTED_VALUE"""),0.006944444444444444)</f>
        <v>0.006944444444</v>
      </c>
      <c r="C252" s="5" t="str">
        <f>IFERROR(__xludf.DUMMYFUNCTION("""COMPUTED_VALUE"""),"964(911)")</f>
        <v>964(911)</v>
      </c>
      <c r="D252" s="5"/>
      <c r="E252" s="5" t="str">
        <f>IFERROR(__xludf.DUMMYFUNCTION("""COMPUTED_VALUE"""),"Test Driver")</f>
        <v>Test Driver</v>
      </c>
      <c r="F252" s="5">
        <f>IFERROR(__xludf.DUMMYFUNCTION("""COMPUTED_VALUE"""),0.006944444444444444)</f>
        <v>0.006944444444</v>
      </c>
      <c r="G252" s="5" t="str">
        <f>IFERROR(__xludf.DUMMYFUNCTION("""COMPUTED_VALUE"""),"EVOX/CZ4A")</f>
        <v>EVOX/CZ4A</v>
      </c>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row>
    <row r="253">
      <c r="A253" s="5" t="str">
        <f>IFERROR(__xludf.DUMMYFUNCTION("""COMPUTED_VALUE"""),"Test Driver")</f>
        <v>Test Driver</v>
      </c>
      <c r="B253" s="5">
        <f>IFERROR(__xludf.DUMMYFUNCTION("""COMPUTED_VALUE"""),0.006944444444444444)</f>
        <v>0.006944444444</v>
      </c>
      <c r="C253" s="5" t="str">
        <f>IFERROR(__xludf.DUMMYFUNCTION("""COMPUTED_VALUE"""),"R8 ")</f>
        <v>R8 </v>
      </c>
      <c r="D253" s="5"/>
      <c r="E253" s="5" t="str">
        <f>IFERROR(__xludf.DUMMYFUNCTION("""COMPUTED_VALUE"""),"Test Driver")</f>
        <v>Test Driver</v>
      </c>
      <c r="F253" s="5">
        <f>IFERROR(__xludf.DUMMYFUNCTION("""COMPUTED_VALUE"""),0.006944444444444444)</f>
        <v>0.006944444444</v>
      </c>
      <c r="G253" s="5" t="str">
        <f>IFERROR(__xludf.DUMMYFUNCTION("""COMPUTED_VALUE"""),"BRZ/ZC6")</f>
        <v>BRZ/ZC6</v>
      </c>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row>
    <row r="254">
      <c r="A254" s="5" t="str">
        <f>IFERROR(__xludf.DUMMYFUNCTION("""COMPUTED_VALUE"""),"Test Driver")</f>
        <v>Test Driver</v>
      </c>
      <c r="B254" s="5">
        <f>IFERROR(__xludf.DUMMYFUNCTION("""COMPUTED_VALUE"""),0.006944444444444444)</f>
        <v>0.006944444444</v>
      </c>
      <c r="C254" s="5" t="str">
        <f>IFERROR(__xludf.DUMMYFUNCTION("""COMPUTED_VALUE"""),"Viper")</f>
        <v>Viper</v>
      </c>
      <c r="D254" s="5"/>
      <c r="E254" s="5" t="str">
        <f>IFERROR(__xludf.DUMMYFUNCTION("""COMPUTED_VALUE"""),"Test Driver")</f>
        <v>Test Driver</v>
      </c>
      <c r="F254" s="5">
        <f>IFERROR(__xludf.DUMMYFUNCTION("""COMPUTED_VALUE"""),0.006944444444444444)</f>
        <v>0.006944444444</v>
      </c>
      <c r="G254" s="5" t="str">
        <f>IFERROR(__xludf.DUMMYFUNCTION("""COMPUTED_VALUE"""),"RK Coupe")</f>
        <v>RK Coupe</v>
      </c>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row>
    <row r="255">
      <c r="A255" s="5" t="str">
        <f>IFERROR(__xludf.DUMMYFUNCTION("""COMPUTED_VALUE"""),"Test Driver")</f>
        <v>Test Driver</v>
      </c>
      <c r="B255" s="5">
        <f>IFERROR(__xludf.DUMMYFUNCTION("""COMPUTED_VALUE"""),0.006944444444444444)</f>
        <v>0.006944444444</v>
      </c>
      <c r="C255" s="5" t="str">
        <f>IFERROR(__xludf.DUMMYFUNCTION("""COMPUTED_VALUE"""),"Hiace")</f>
        <v>Hiace</v>
      </c>
      <c r="D255" s="5"/>
      <c r="E255" s="5" t="str">
        <f>IFERROR(__xludf.DUMMYFUNCTION("""COMPUTED_VALUE"""),"Test Driver")</f>
        <v>Test Driver</v>
      </c>
      <c r="F255" s="5">
        <f>IFERROR(__xludf.DUMMYFUNCTION("""COMPUTED_VALUE"""),0.006944444444444444)</f>
        <v>0.006944444444</v>
      </c>
      <c r="G255" s="5" t="str">
        <f>IFERROR(__xludf.DUMMYFUNCTION("""COMPUTED_VALUE"""),"GRB (WRX Gr.B)")</f>
        <v>GRB (WRX Gr.B)</v>
      </c>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row>
    <row r="257">
      <c r="A257" s="43" t="s">
        <v>76</v>
      </c>
      <c r="E257" s="43" t="s">
        <v>77</v>
      </c>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row>
    <row r="258">
      <c r="A258" s="11" t="str">
        <f>IFERROR(__xludf.DUMMYFUNCTION("LET(
  賽道, ""Nanamagari"",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258" s="11" t="str">
        <f>IFERROR(__xludf.DUMMYFUNCTION("""COMPUTED_VALUE"""),"Time時間")</f>
        <v>Time時間</v>
      </c>
      <c r="C258" s="11" t="str">
        <f>IFERROR(__xludf.DUMMYFUNCTION("""COMPUTED_VALUE"""),"Car車種")</f>
        <v>Car車種</v>
      </c>
      <c r="D258" s="11" t="str">
        <f>IFERROR(__xludf.DUMMYFUNCTION("""COMPUTED_VALUE"""),"Platform平台")</f>
        <v>Platform平台</v>
      </c>
      <c r="E258" s="11" t="str">
        <f>IFERROR(__xludf.DUMMYFUNCTION("LET(
  賽道, ""Nanamagari"",
  路線, ""UH"",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258" s="11" t="str">
        <f>IFERROR(__xludf.DUMMYFUNCTION("""COMPUTED_VALUE"""),"Time時間")</f>
        <v>Time時間</v>
      </c>
      <c r="G258" s="11" t="str">
        <f>IFERROR(__xludf.DUMMYFUNCTION("""COMPUTED_VALUE"""),"Car車種")</f>
        <v>Car車種</v>
      </c>
      <c r="H258" s="11" t="str">
        <f>IFERROR(__xludf.DUMMYFUNCTION("""COMPUTED_VALUE"""),"Platform平台")</f>
        <v>Platform平台</v>
      </c>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row>
    <row r="259">
      <c r="A259" s="5" t="str">
        <f>IFERROR(__xludf.DUMMYFUNCTION("""COMPUTED_VALUE"""),"StarRiver Arts")</f>
        <v>StarRiver Arts</v>
      </c>
      <c r="B259" s="5">
        <f>IFERROR(__xludf.DUMMYFUNCTION("""COMPUTED_VALUE"""),0.002403553240740741)</f>
        <v>0.002403553241</v>
      </c>
      <c r="C259" s="5" t="str">
        <f>IFERROR(__xludf.DUMMYFUNCTION("""COMPUTED_VALUE"""),"EK9C (Civic Type-R)")</f>
        <v>EK9C (Civic Type-R)</v>
      </c>
      <c r="D259" s="5" t="str">
        <f>IFERROR(__xludf.DUMMYFUNCTION("""COMPUTED_VALUE"""),"PC")</f>
        <v>PC</v>
      </c>
      <c r="E259" s="5" t="str">
        <f>IFERROR(__xludf.DUMMYFUNCTION("""COMPUTED_VALUE"""),"Test Driver")</f>
        <v>Test Driver</v>
      </c>
      <c r="F259" s="5">
        <f>IFERROR(__xludf.DUMMYFUNCTION("""COMPUTED_VALUE"""),0.006944444444444444)</f>
        <v>0.006944444444</v>
      </c>
      <c r="G259" s="5" t="str">
        <f>IFERROR(__xludf.DUMMYFUNCTION("""COMPUTED_VALUE"""),"AE86T")</f>
        <v>AE86T</v>
      </c>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row>
    <row r="260">
      <c r="A260" s="5" t="str">
        <f>IFERROR(__xludf.DUMMYFUNCTION("""COMPUTED_VALUE"""),"アビドサスヒカリ")</f>
        <v>アビドサスヒカリ</v>
      </c>
      <c r="B260" s="5">
        <f>IFERROR(__xludf.DUMMYFUNCTION("""COMPUTED_VALUE"""),0.002434027777777778)</f>
        <v>0.002434027778</v>
      </c>
      <c r="C260" s="5" t="str">
        <f>IFERROR(__xludf.DUMMYFUNCTION("""COMPUTED_VALUE"""),"AE86T")</f>
        <v>AE86T</v>
      </c>
      <c r="D260" s="5" t="str">
        <f>IFERROR(__xludf.DUMMYFUNCTION("""COMPUTED_VALUE"""),"PC")</f>
        <v>PC</v>
      </c>
      <c r="E260" s="5" t="str">
        <f>IFERROR(__xludf.DUMMYFUNCTION("""COMPUTED_VALUE"""),"Test Driver")</f>
        <v>Test Driver</v>
      </c>
      <c r="F260" s="5">
        <f>IFERROR(__xludf.DUMMYFUNCTION("""COMPUTED_VALUE"""),0.006944444444444444)</f>
        <v>0.006944444444</v>
      </c>
      <c r="G260" s="5" t="str">
        <f>IFERROR(__xludf.DUMMYFUNCTION("""COMPUTED_VALUE"""),"EK9C (Civic Type-R)")</f>
        <v>EK9C (Civic Type-R)</v>
      </c>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row>
    <row r="261">
      <c r="A261" s="5" t="str">
        <f>IFERROR(__xludf.DUMMYFUNCTION("""COMPUTED_VALUE"""),"StarRiver Arts")</f>
        <v>StarRiver Arts</v>
      </c>
      <c r="B261" s="5">
        <f>IFERROR(__xludf.DUMMYFUNCTION("""COMPUTED_VALUE"""),0.002544178240740741)</f>
        <v>0.002544178241</v>
      </c>
      <c r="C261" s="5" t="str">
        <f>IFERROR(__xludf.DUMMYFUNCTION("""COMPUTED_VALUE"""),"FD3S (RX7)")</f>
        <v>FD3S (RX7)</v>
      </c>
      <c r="D261" s="5" t="str">
        <f>IFERROR(__xludf.DUMMYFUNCTION("""COMPUTED_VALUE"""),"PC")</f>
        <v>PC</v>
      </c>
      <c r="E261" s="5" t="str">
        <f>IFERROR(__xludf.DUMMYFUNCTION("""COMPUTED_VALUE"""),"Test Driver")</f>
        <v>Test Driver</v>
      </c>
      <c r="F261" s="5">
        <f>IFERROR(__xludf.DUMMYFUNCTION("""COMPUTED_VALUE"""),0.006944444444444444)</f>
        <v>0.006944444444</v>
      </c>
      <c r="G261" s="5" t="str">
        <f>IFERROR(__xludf.DUMMYFUNCTION("""COMPUTED_VALUE"""),"FD3S (RX7)")</f>
        <v>FD3S (RX7)</v>
      </c>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row>
    <row r="262">
      <c r="A262" s="5" t="str">
        <f>IFERROR(__xludf.DUMMYFUNCTION("""COMPUTED_VALUE"""),"LinWu_05")</f>
        <v>LinWu_05</v>
      </c>
      <c r="B262" s="5">
        <f>IFERROR(__xludf.DUMMYFUNCTION("""COMPUTED_VALUE"""),0.002581412037037037)</f>
        <v>0.002581412037</v>
      </c>
      <c r="C262" s="5" t="str">
        <f>IFERROR(__xludf.DUMMYFUNCTION("""COMPUTED_VALUE"""),"NA2")</f>
        <v>NA2</v>
      </c>
      <c r="D262" s="5" t="str">
        <f>IFERROR(__xludf.DUMMYFUNCTION("""COMPUTED_VALUE"""),"PC")</f>
        <v>PC</v>
      </c>
      <c r="E262" s="5" t="str">
        <f>IFERROR(__xludf.DUMMYFUNCTION("""COMPUTED_VALUE"""),"Test Driver")</f>
        <v>Test Driver</v>
      </c>
      <c r="F262" s="5">
        <f>IFERROR(__xludf.DUMMYFUNCTION("""COMPUTED_VALUE"""),0.006944444444444444)</f>
        <v>0.006944444444</v>
      </c>
      <c r="G262" s="5" t="str">
        <f>IFERROR(__xludf.DUMMYFUNCTION("""COMPUTED_VALUE"""),"Z33(350Z)")</f>
        <v>Z33(350Z)</v>
      </c>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row>
    <row r="263">
      <c r="A263" s="5" t="str">
        <f>IFERROR(__xludf.DUMMYFUNCTION("""COMPUTED_VALUE"""),"Test Driver")</f>
        <v>Test Driver</v>
      </c>
      <c r="B263" s="5">
        <f>IFERROR(__xludf.DUMMYFUNCTION("""COMPUTED_VALUE"""),0.006944444444444444)</f>
        <v>0.006944444444</v>
      </c>
      <c r="C263" s="5" t="str">
        <f>IFERROR(__xludf.DUMMYFUNCTION("""COMPUTED_VALUE"""),"Z33(350Z)")</f>
        <v>Z33(350Z)</v>
      </c>
      <c r="D263" s="5"/>
      <c r="E263" s="5" t="str">
        <f>IFERROR(__xludf.DUMMYFUNCTION("""COMPUTED_VALUE"""),"Test Driver")</f>
        <v>Test Driver</v>
      </c>
      <c r="F263" s="5">
        <f>IFERROR(__xludf.DUMMYFUNCTION("""COMPUTED_VALUE"""),0.006944444444444444)</f>
        <v>0.006944444444</v>
      </c>
      <c r="G263" s="5" t="str">
        <f>IFERROR(__xludf.DUMMYFUNCTION("""COMPUTED_VALUE"""),"NA2 (NSX)")</f>
        <v>NA2 (NSX)</v>
      </c>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row>
    <row r="264">
      <c r="A264" s="5" t="str">
        <f>IFERROR(__xludf.DUMMYFUNCTION("""COMPUTED_VALUE"""),"Test Driver")</f>
        <v>Test Driver</v>
      </c>
      <c r="B264" s="5">
        <f>IFERROR(__xludf.DUMMYFUNCTION("""COMPUTED_VALUE"""),0.006944444444444444)</f>
        <v>0.006944444444</v>
      </c>
      <c r="C264" s="5" t="str">
        <f>IFERROR(__xludf.DUMMYFUNCTION("""COMPUTED_VALUE"""),"NA2 (NSX)")</f>
        <v>NA2 (NSX)</v>
      </c>
      <c r="D264" s="5"/>
      <c r="E264" s="5" t="str">
        <f>IFERROR(__xludf.DUMMYFUNCTION("""COMPUTED_VALUE"""),"Test Driver")</f>
        <v>Test Driver</v>
      </c>
      <c r="F264" s="5">
        <f>IFERROR(__xludf.DUMMYFUNCTION("""COMPUTED_VALUE"""),0.006944444444444444)</f>
        <v>0.006944444444</v>
      </c>
      <c r="G264" s="5" t="str">
        <f>IFERROR(__xludf.DUMMYFUNCTION("""COMPUTED_VALUE"""),"JZX100(Chaser)")</f>
        <v>JZX100(Chaser)</v>
      </c>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row>
    <row r="265">
      <c r="A265" s="5" t="str">
        <f>IFERROR(__xludf.DUMMYFUNCTION("""COMPUTED_VALUE"""),"Test Driver")</f>
        <v>Test Driver</v>
      </c>
      <c r="B265" s="5">
        <f>IFERROR(__xludf.DUMMYFUNCTION("""COMPUTED_VALUE"""),0.006944444444444444)</f>
        <v>0.006944444444</v>
      </c>
      <c r="C265" s="5" t="str">
        <f>IFERROR(__xludf.DUMMYFUNCTION("""COMPUTED_VALUE"""),"JZX100(Chaser)")</f>
        <v>JZX100(Chaser)</v>
      </c>
      <c r="D265" s="5"/>
      <c r="E265" s="5" t="str">
        <f>IFERROR(__xludf.DUMMYFUNCTION("""COMPUTED_VALUE"""),"Test Driver")</f>
        <v>Test Driver</v>
      </c>
      <c r="F265" s="5">
        <f>IFERROR(__xludf.DUMMYFUNCTION("""COMPUTED_VALUE"""),0.006944444444444444)</f>
        <v>0.006944444444</v>
      </c>
      <c r="G265" s="5" t="str">
        <f>IFERROR(__xludf.DUMMYFUNCTION("""COMPUTED_VALUE"""),"S15")</f>
        <v>S15</v>
      </c>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row>
    <row r="266">
      <c r="A266" s="5" t="str">
        <f>IFERROR(__xludf.DUMMYFUNCTION("""COMPUTED_VALUE"""),"Test Driver")</f>
        <v>Test Driver</v>
      </c>
      <c r="B266" s="5">
        <f>IFERROR(__xludf.DUMMYFUNCTION("""COMPUTED_VALUE"""),0.006944444444444444)</f>
        <v>0.006944444444</v>
      </c>
      <c r="C266" s="5" t="str">
        <f>IFERROR(__xludf.DUMMYFUNCTION("""COMPUTED_VALUE"""),"S15")</f>
        <v>S15</v>
      </c>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row>
    <row r="269">
      <c r="A269" s="46" t="s">
        <v>78</v>
      </c>
      <c r="E269" s="46" t="s">
        <v>79</v>
      </c>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row>
    <row r="270">
      <c r="A270" s="11" t="str">
        <f>IFERROR(__xludf.DUMMYFUNCTION("LET(
  賽道, ""H-Nanamagari"",
  路線, ""DH"",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B270" s="47" t="str">
        <f>IFERROR(__xludf.DUMMYFUNCTION("""COMPUTED_VALUE"""),"Time時間")</f>
        <v>Time時間</v>
      </c>
      <c r="C270" s="47" t="str">
        <f>IFERROR(__xludf.DUMMYFUNCTION("""COMPUTED_VALUE"""),"Car車種")</f>
        <v>Car車種</v>
      </c>
      <c r="D270" s="47" t="str">
        <f>IFERROR(__xludf.DUMMYFUNCTION("""COMPUTED_VALUE"""),"Platform平台")</f>
        <v>Platform平台</v>
      </c>
      <c r="E270" s="11" t="str">
        <f>IFERROR(__xludf.DUMMYFUNCTION("LET(
  賽道, ""H-Nanamagari"",
  路線, ""UH"",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F270" s="47" t="str">
        <f>IFERROR(__xludf.DUMMYFUNCTION("""COMPUTED_VALUE"""),"Time時間")</f>
        <v>Time時間</v>
      </c>
      <c r="G270" s="47" t="str">
        <f>IFERROR(__xludf.DUMMYFUNCTION("""COMPUTED_VALUE"""),"Car車種")</f>
        <v>Car車種</v>
      </c>
      <c r="H270" s="47" t="str">
        <f>IFERROR(__xludf.DUMMYFUNCTION("""COMPUTED_VALUE"""),"Platform平台")</f>
        <v>Platform平台</v>
      </c>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row>
    <row r="271">
      <c r="A271" s="14" t="str">
        <f>IFERROR(__xludf.DUMMYFUNCTION("""COMPUTED_VALUE"""),"StarRiver Arts")</f>
        <v>StarRiver Arts</v>
      </c>
      <c r="B271" s="48">
        <f>IFERROR(__xludf.DUMMYFUNCTION("""COMPUTED_VALUE"""),8.250578703703704E-4)</f>
        <v>0.0008250578704</v>
      </c>
      <c r="C271" s="14" t="str">
        <f>IFERROR(__xludf.DUMMYFUNCTION("""COMPUTED_VALUE"""),"EK9 (Civic Type-R)")</f>
        <v>EK9 (Civic Type-R)</v>
      </c>
      <c r="D271" s="14" t="str">
        <f>IFERROR(__xludf.DUMMYFUNCTION("""COMPUTED_VALUE"""),"PC")</f>
        <v>PC</v>
      </c>
      <c r="E271" s="14" t="str">
        <f>IFERROR(__xludf.DUMMYFUNCTION("""COMPUTED_VALUE"""),"LinWu_05")</f>
        <v>LinWu_05</v>
      </c>
      <c r="F271" s="48">
        <f>IFERROR(__xludf.DUMMYFUNCTION("""COMPUTED_VALUE"""),8.899305555555556E-4)</f>
        <v>0.0008899305556</v>
      </c>
      <c r="G271" s="14" t="str">
        <f>IFERROR(__xludf.DUMMYFUNCTION("""COMPUTED_VALUE"""),"BNR32")</f>
        <v>BNR32</v>
      </c>
      <c r="H271" s="14" t="str">
        <f>IFERROR(__xludf.DUMMYFUNCTION("""COMPUTED_VALUE"""),"PC")</f>
        <v>PC</v>
      </c>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row>
    <row r="272">
      <c r="A272" s="5" t="str">
        <f>IFERROR(__xludf.DUMMYFUNCTION("""COMPUTED_VALUE"""),"StarRiver Arts")</f>
        <v>StarRiver Arts</v>
      </c>
      <c r="B272" s="5">
        <f>IFERROR(__xludf.DUMMYFUNCTION("""COMPUTED_VALUE"""),8.434606481481482E-4)</f>
        <v>0.0008434606481</v>
      </c>
      <c r="C272" s="5" t="str">
        <f>IFERROR(__xludf.DUMMYFUNCTION("""COMPUTED_VALUE"""),"GC8 (Impreza)")</f>
        <v>GC8 (Impreza)</v>
      </c>
      <c r="D272" s="5" t="str">
        <f>IFERROR(__xludf.DUMMYFUNCTION("""COMPUTED_VALUE"""),"PC")</f>
        <v>PC</v>
      </c>
      <c r="E272" s="5" t="str">
        <f>IFERROR(__xludf.DUMMYFUNCTION("""COMPUTED_VALUE"""),"StarRiver Arts")</f>
        <v>StarRiver Arts</v>
      </c>
      <c r="F272" s="5">
        <f>IFERROR(__xludf.DUMMYFUNCTION("""COMPUTED_VALUE"""),9.381828703703704E-4)</f>
        <v>0.0009381828704</v>
      </c>
      <c r="G272" s="5" t="str">
        <f>IFERROR(__xludf.DUMMYFUNCTION("""COMPUTED_VALUE"""),"EK9 (Civic Type-R)")</f>
        <v>EK9 (Civic Type-R)</v>
      </c>
      <c r="H272" s="5" t="str">
        <f>IFERROR(__xludf.DUMMYFUNCTION("""COMPUTED_VALUE"""),"PC")</f>
        <v>PC</v>
      </c>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row>
    <row r="273">
      <c r="A273" s="5" t="str">
        <f>IFERROR(__xludf.DUMMYFUNCTION("""COMPUTED_VALUE"""),"LinWu_05")</f>
        <v>LinWu_05</v>
      </c>
      <c r="B273" s="5">
        <f>IFERROR(__xludf.DUMMYFUNCTION("""COMPUTED_VALUE"""),8.511342592592593E-4)</f>
        <v>0.0008511342593</v>
      </c>
      <c r="C273" s="5" t="str">
        <f>IFERROR(__xludf.DUMMYFUNCTION("""COMPUTED_VALUE"""),"BNR32")</f>
        <v>BNR32</v>
      </c>
      <c r="D273" s="5" t="str">
        <f>IFERROR(__xludf.DUMMYFUNCTION("""COMPUTED_VALUE"""),"PC")</f>
        <v>PC</v>
      </c>
      <c r="E273" s="5" t="str">
        <f>IFERROR(__xludf.DUMMYFUNCTION("""COMPUTED_VALUE"""),"StarRiver Arts")</f>
        <v>StarRiver Arts</v>
      </c>
      <c r="F273" s="5">
        <f>IFERROR(__xludf.DUMMYFUNCTION("""COMPUTED_VALUE"""),9.746064814814816E-4)</f>
        <v>0.0009746064815</v>
      </c>
      <c r="G273" s="5" t="str">
        <f>IFERROR(__xludf.DUMMYFUNCTION("""COMPUTED_VALUE"""),"GC8 (Impreza)")</f>
        <v>GC8 (Impreza)</v>
      </c>
      <c r="H273" s="5" t="str">
        <f>IFERROR(__xludf.DUMMYFUNCTION("""COMPUTED_VALUE"""),"PC")</f>
        <v>PC</v>
      </c>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row>
    <row r="274">
      <c r="A274" s="5" t="str">
        <f>IFERROR(__xludf.DUMMYFUNCTION("""COMPUTED_VALUE"""),"StarRiver Arts")</f>
        <v>StarRiver Arts</v>
      </c>
      <c r="B274" s="5">
        <f>IFERROR(__xludf.DUMMYFUNCTION("""COMPUTED_VALUE"""),0.0010740856481481482)</f>
        <v>0.001074085648</v>
      </c>
      <c r="C274" s="5" t="str">
        <f>IFERROR(__xludf.DUMMYFUNCTION("""COMPUTED_VALUE"""),"HCR32")</f>
        <v>HCR32</v>
      </c>
      <c r="D274" s="5" t="str">
        <f>IFERROR(__xludf.DUMMYFUNCTION("""COMPUTED_VALUE"""),"PC")</f>
        <v>PC</v>
      </c>
      <c r="E274" s="5" t="str">
        <f>IFERROR(__xludf.DUMMYFUNCTION("""COMPUTED_VALUE"""),"Test Driver")</f>
        <v>Test Driver</v>
      </c>
      <c r="F274" s="5">
        <f>IFERROR(__xludf.DUMMYFUNCTION("""COMPUTED_VALUE"""),0.006944444444444444)</f>
        <v>0.006944444444</v>
      </c>
      <c r="G274" s="5" t="str">
        <f>IFERROR(__xludf.DUMMYFUNCTION("""COMPUTED_VALUE"""),"HCR32")</f>
        <v>HCR32</v>
      </c>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row>
    <row r="278">
      <c r="A278" s="15" t="s">
        <v>14</v>
      </c>
      <c r="E278" s="15" t="s">
        <v>80</v>
      </c>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row>
    <row r="279">
      <c r="A279" s="11" t="str">
        <f>IFERROR(__xludf.DUMMYFUNCTION("LET(
  賽道, ""Momiji"",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279" s="11" t="str">
        <f>IFERROR(__xludf.DUMMYFUNCTION("""COMPUTED_VALUE"""),"Time時間")</f>
        <v>Time時間</v>
      </c>
      <c r="C279" s="11" t="str">
        <f>IFERROR(__xludf.DUMMYFUNCTION("""COMPUTED_VALUE"""),"Car車種")</f>
        <v>Car車種</v>
      </c>
      <c r="D279" s="11" t="str">
        <f>IFERROR(__xludf.DUMMYFUNCTION("""COMPUTED_VALUE"""),"Platform平台")</f>
        <v>Platform平台</v>
      </c>
      <c r="E279" s="11" t="str">
        <f>IFERROR(__xludf.DUMMYFUNCTION("LET(
  賽道, ""Momiji"",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279" s="11" t="str">
        <f>IFERROR(__xludf.DUMMYFUNCTION("""COMPUTED_VALUE"""),"Time時間")</f>
        <v>Time時間</v>
      </c>
      <c r="G279" s="11" t="str">
        <f>IFERROR(__xludf.DUMMYFUNCTION("""COMPUTED_VALUE"""),"Car車種")</f>
        <v>Car車種</v>
      </c>
      <c r="H279" s="11" t="str">
        <f>IFERROR(__xludf.DUMMYFUNCTION("""COMPUTED_VALUE"""),"Platform平台")</f>
        <v>Platform平台</v>
      </c>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row>
    <row r="280">
      <c r="A280" s="5" t="str">
        <f>IFERROR(__xludf.DUMMYFUNCTION("""COMPUTED_VALUE"""),"LinWu_05")</f>
        <v>LinWu_05</v>
      </c>
      <c r="B280" s="5">
        <f>IFERROR(__xludf.DUMMYFUNCTION("""COMPUTED_VALUE"""),0.0024261226851851852)</f>
        <v>0.002426122685</v>
      </c>
      <c r="C280" s="5" t="str">
        <f>IFERROR(__xludf.DUMMYFUNCTION("""COMPUTED_VALUE"""),"NA6CE (Mx5 Roadster)")</f>
        <v>NA6CE (Mx5 Roadster)</v>
      </c>
      <c r="D280" s="5" t="str">
        <f>IFERROR(__xludf.DUMMYFUNCTION("""COMPUTED_VALUE"""),"PC")</f>
        <v>PC</v>
      </c>
      <c r="E280" s="5" t="str">
        <f>IFERROR(__xludf.DUMMYFUNCTION("""COMPUTED_VALUE"""),"LinWu_05")</f>
        <v>LinWu_05</v>
      </c>
      <c r="F280" s="5">
        <f>IFERROR(__xludf.DUMMYFUNCTION("""COMPUTED_VALUE"""),0.002460648148148148)</f>
        <v>0.002460648148</v>
      </c>
      <c r="G280" s="5" t="str">
        <f>IFERROR(__xludf.DUMMYFUNCTION("""COMPUTED_VALUE"""),"NA6CE (Mx5 Roadster)")</f>
        <v>NA6CE (Mx5 Roadster)</v>
      </c>
      <c r="H280" s="5" t="str">
        <f>IFERROR(__xludf.DUMMYFUNCTION("""COMPUTED_VALUE"""),"PC")</f>
        <v>PC</v>
      </c>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row>
    <row r="281">
      <c r="A281" s="5" t="str">
        <f>IFERROR(__xludf.DUMMYFUNCTION("""COMPUTED_VALUE"""),"Test Driver")</f>
        <v>Test Driver</v>
      </c>
      <c r="B281" s="5">
        <f>IFERROR(__xludf.DUMMYFUNCTION("""COMPUTED_VALUE"""),0.006944444444444444)</f>
        <v>0.006944444444</v>
      </c>
      <c r="C281" s="5" t="str">
        <f>IFERROR(__xludf.DUMMYFUNCTION("""COMPUTED_VALUE"""),"AE86T")</f>
        <v>AE86T</v>
      </c>
      <c r="D281" s="5"/>
      <c r="E281" s="5" t="str">
        <f>IFERROR(__xludf.DUMMYFUNCTION("""COMPUTED_VALUE"""),"Test Driver")</f>
        <v>Test Driver</v>
      </c>
      <c r="F281" s="5">
        <f>IFERROR(__xludf.DUMMYFUNCTION("""COMPUTED_VALUE"""),0.006944444444444444)</f>
        <v>0.006944444444</v>
      </c>
      <c r="G281" s="5" t="str">
        <f>IFERROR(__xludf.DUMMYFUNCTION("""COMPUTED_VALUE"""),"AE86T")</f>
        <v>AE86T</v>
      </c>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row>
    <row r="282">
      <c r="A282" s="5" t="str">
        <f>IFERROR(__xludf.DUMMYFUNCTION("""COMPUTED_VALUE"""),"Test Driver")</f>
        <v>Test Driver</v>
      </c>
      <c r="B282" s="5">
        <f>IFERROR(__xludf.DUMMYFUNCTION("""COMPUTED_VALUE"""),0.006944444444444444)</f>
        <v>0.006944444444</v>
      </c>
      <c r="C282" s="5" t="str">
        <f>IFERROR(__xludf.DUMMYFUNCTION("""COMPUTED_VALUE"""),"GXPA16 (GR Yaris)")</f>
        <v>GXPA16 (GR Yaris)</v>
      </c>
      <c r="D282" s="5"/>
      <c r="E282" s="5" t="str">
        <f>IFERROR(__xludf.DUMMYFUNCTION("""COMPUTED_VALUE"""),"Test Driver")</f>
        <v>Test Driver</v>
      </c>
      <c r="F282" s="5">
        <f>IFERROR(__xludf.DUMMYFUNCTION("""COMPUTED_VALUE"""),0.006944444444444444)</f>
        <v>0.006944444444</v>
      </c>
      <c r="G282" s="5" t="str">
        <f>IFERROR(__xludf.DUMMYFUNCTION("""COMPUTED_VALUE"""),"GXPA16 (GR Yaris)")</f>
        <v>GXPA16 (GR Yaris)</v>
      </c>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row>
    <row r="283">
      <c r="A283" s="5" t="str">
        <f>IFERROR(__xludf.DUMMYFUNCTION("""COMPUTED_VALUE"""),"Test Driver")</f>
        <v>Test Driver</v>
      </c>
      <c r="B283" s="5">
        <f>IFERROR(__xludf.DUMMYFUNCTION("""COMPUTED_VALUE"""),0.006944444444444444)</f>
        <v>0.006944444444</v>
      </c>
      <c r="C283" s="5" t="str">
        <f>IFERROR(__xludf.DUMMYFUNCTION("""COMPUTED_VALUE"""),"ER34 (R34 23GT Turbo)")</f>
        <v>ER34 (R34 23GT Turbo)</v>
      </c>
      <c r="D283" s="5"/>
      <c r="E283" s="5" t="str">
        <f>IFERROR(__xludf.DUMMYFUNCTION("""COMPUTED_VALUE"""),"Test Driver")</f>
        <v>Test Driver</v>
      </c>
      <c r="F283" s="5">
        <f>IFERROR(__xludf.DUMMYFUNCTION("""COMPUTED_VALUE"""),0.006944444444444444)</f>
        <v>0.006944444444</v>
      </c>
      <c r="G283" s="5" t="str">
        <f>IFERROR(__xludf.DUMMYFUNCTION("""COMPUTED_VALUE"""),"ER34 (R34 23GT Turbo)")</f>
        <v>ER34 (R34 23GT Turbo)</v>
      </c>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row>
    <row r="284">
      <c r="A284" s="5" t="str">
        <f>IFERROR(__xludf.DUMMYFUNCTION("""COMPUTED_VALUE"""),"Test Driver")</f>
        <v>Test Driver</v>
      </c>
      <c r="B284" s="5">
        <f>IFERROR(__xludf.DUMMYFUNCTION("""COMPUTED_VALUE"""),0.006944444444444444)</f>
        <v>0.006944444444</v>
      </c>
      <c r="C284" s="5" t="str">
        <f>IFERROR(__xludf.DUMMYFUNCTION("""COMPUTED_VALUE"""),"FD3S (RX7)")</f>
        <v>FD3S (RX7)</v>
      </c>
      <c r="D284" s="5"/>
      <c r="E284" s="5" t="str">
        <f>IFERROR(__xludf.DUMMYFUNCTION("""COMPUTED_VALUE"""),"Test Driver")</f>
        <v>Test Driver</v>
      </c>
      <c r="F284" s="5">
        <f>IFERROR(__xludf.DUMMYFUNCTION("""COMPUTED_VALUE"""),0.006944444444444444)</f>
        <v>0.006944444444</v>
      </c>
      <c r="G284" s="5" t="str">
        <f>IFERROR(__xludf.DUMMYFUNCTION("""COMPUTED_VALUE"""),"FD3S (RX7)")</f>
        <v>FD3S (RX7)</v>
      </c>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row>
    <row r="285">
      <c r="A285" s="5" t="str">
        <f>IFERROR(__xludf.DUMMYFUNCTION("""COMPUTED_VALUE"""),"Test Driver")</f>
        <v>Test Driver</v>
      </c>
      <c r="B285" s="5">
        <f>IFERROR(__xludf.DUMMYFUNCTION("""COMPUTED_VALUE"""),0.006944444444444444)</f>
        <v>0.006944444444</v>
      </c>
      <c r="C285" s="5" t="str">
        <f>IFERROR(__xludf.DUMMYFUNCTION("""COMPUTED_VALUE"""),"VAB (S207 WRX STi)")</f>
        <v>VAB (S207 WRX STi)</v>
      </c>
      <c r="D285" s="5"/>
      <c r="E285" s="5" t="str">
        <f>IFERROR(__xludf.DUMMYFUNCTION("""COMPUTED_VALUE"""),"Test Driver")</f>
        <v>Test Driver</v>
      </c>
      <c r="F285" s="5">
        <f>IFERROR(__xludf.DUMMYFUNCTION("""COMPUTED_VALUE"""),0.006944444444444444)</f>
        <v>0.006944444444</v>
      </c>
      <c r="G285" s="5" t="str">
        <f>IFERROR(__xludf.DUMMYFUNCTION("""COMPUTED_VALUE"""),"VAB (S207 WRX STi)")</f>
        <v>VAB (S207 WRX STi)</v>
      </c>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row>
    <row r="288">
      <c r="A288" s="49" t="s">
        <v>6</v>
      </c>
      <c r="E288" s="49" t="s">
        <v>81</v>
      </c>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row>
    <row r="289">
      <c r="A289" s="11" t="str">
        <f>IFERROR(__xludf.DUMMYFUNCTION("LET(
  賽道, ""Nagao"",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289" s="47" t="str">
        <f>IFERROR(__xludf.DUMMYFUNCTION("""COMPUTED_VALUE"""),"Time時間")</f>
        <v>Time時間</v>
      </c>
      <c r="C289" s="47" t="str">
        <f>IFERROR(__xludf.DUMMYFUNCTION("""COMPUTED_VALUE"""),"Car車種")</f>
        <v>Car車種</v>
      </c>
      <c r="D289" s="47" t="str">
        <f>IFERROR(__xludf.DUMMYFUNCTION("""COMPUTED_VALUE"""),"Platform平台")</f>
        <v>Platform平台</v>
      </c>
      <c r="E289" s="11" t="str">
        <f>IFERROR(__xludf.DUMMYFUNCTION("LET(
  賽道, ""Nagao"",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289" s="47" t="str">
        <f>IFERROR(__xludf.DUMMYFUNCTION("""COMPUTED_VALUE"""),"Time時間")</f>
        <v>Time時間</v>
      </c>
      <c r="G289" s="47" t="str">
        <f>IFERROR(__xludf.DUMMYFUNCTION("""COMPUTED_VALUE"""),"Car車種")</f>
        <v>Car車種</v>
      </c>
      <c r="H289" s="47" t="str">
        <f>IFERROR(__xludf.DUMMYFUNCTION("""COMPUTED_VALUE"""),"Platform平台")</f>
        <v>Platform平台</v>
      </c>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row>
    <row r="290">
      <c r="A290" s="14" t="str">
        <f>IFERROR(__xludf.DUMMYFUNCTION("""COMPUTED_VALUE"""),"Test Driver")</f>
        <v>Test Driver</v>
      </c>
      <c r="B290" s="48">
        <f>IFERROR(__xludf.DUMMYFUNCTION("""COMPUTED_VALUE"""),0.006944444444444444)</f>
        <v>0.006944444444</v>
      </c>
      <c r="C290" s="14" t="str">
        <f>IFERROR(__xludf.DUMMYFUNCTION("""COMPUTED_VALUE"""),"ZZW30 (MR2)")</f>
        <v>ZZW30 (MR2)</v>
      </c>
      <c r="D290" s="14"/>
      <c r="E290" s="14" t="str">
        <f>IFERROR(__xludf.DUMMYFUNCTION("""COMPUTED_VALUE"""),"Test Driver")</f>
        <v>Test Driver</v>
      </c>
      <c r="F290" s="48">
        <f>IFERROR(__xludf.DUMMYFUNCTION("""COMPUTED_VALUE"""),0.006944444444444444)</f>
        <v>0.006944444444</v>
      </c>
      <c r="G290" s="14" t="str">
        <f>IFERROR(__xludf.DUMMYFUNCTION("""COMPUTED_VALUE"""),"ZZW30 (MR2)")</f>
        <v>ZZW30 (MR2)</v>
      </c>
      <c r="H290" s="14"/>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row>
    <row r="291">
      <c r="A291" s="5" t="str">
        <f>IFERROR(__xludf.DUMMYFUNCTION("""COMPUTED_VALUE"""),"Test Driver")</f>
        <v>Test Driver</v>
      </c>
      <c r="B291" s="5">
        <f>IFERROR(__xludf.DUMMYFUNCTION("""COMPUTED_VALUE"""),0.006944444444444444)</f>
        <v>0.006944444444</v>
      </c>
      <c r="C291" s="5" t="str">
        <f>IFERROR(__xludf.DUMMYFUNCTION("""COMPUTED_VALUE"""),"FD3S6 (RX7)")</f>
        <v>FD3S6 (RX7)</v>
      </c>
      <c r="D291" s="5"/>
      <c r="E291" s="5" t="str">
        <f>IFERROR(__xludf.DUMMYFUNCTION("""COMPUTED_VALUE"""),"Test Driver")</f>
        <v>Test Driver</v>
      </c>
      <c r="F291" s="5">
        <f>IFERROR(__xludf.DUMMYFUNCTION("""COMPUTED_VALUE"""),0.006944444444444444)</f>
        <v>0.006944444444</v>
      </c>
      <c r="G291" s="5" t="str">
        <f>IFERROR(__xludf.DUMMYFUNCTION("""COMPUTED_VALUE"""),"FD3S6 (RX7)")</f>
        <v>FD3S6 (RX7)</v>
      </c>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row>
    <row r="292">
      <c r="A292" s="5" t="str">
        <f>IFERROR(__xludf.DUMMYFUNCTION("""COMPUTED_VALUE"""),"Test Driver")</f>
        <v>Test Driver</v>
      </c>
      <c r="B292" s="5">
        <f>IFERROR(__xludf.DUMMYFUNCTION("""COMPUTED_VALUE"""),0.006944444444444444)</f>
        <v>0.006944444444</v>
      </c>
      <c r="C292" s="5" t="str">
        <f>IFERROR(__xludf.DUMMYFUNCTION("""COMPUTED_VALUE"""),"AE86T")</f>
        <v>AE86T</v>
      </c>
      <c r="D292" s="5"/>
      <c r="E292" s="5" t="str">
        <f>IFERROR(__xludf.DUMMYFUNCTION("""COMPUTED_VALUE"""),"Test Driver")</f>
        <v>Test Driver</v>
      </c>
      <c r="F292" s="5">
        <f>IFERROR(__xludf.DUMMYFUNCTION("""COMPUTED_VALUE"""),0.006944444444444444)</f>
        <v>0.006944444444</v>
      </c>
      <c r="G292" s="5" t="str">
        <f>IFERROR(__xludf.DUMMYFUNCTION("""COMPUTED_VALUE"""),"AE86T")</f>
        <v>AE86T</v>
      </c>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row>
    <row r="293">
      <c r="A293" s="5" t="str">
        <f>IFERROR(__xludf.DUMMYFUNCTION("""COMPUTED_VALUE"""),"Test Driver")</f>
        <v>Test Driver</v>
      </c>
      <c r="B293" s="5">
        <f>IFERROR(__xludf.DUMMYFUNCTION("""COMPUTED_VALUE"""),0.006944444444444444)</f>
        <v>0.006944444444</v>
      </c>
      <c r="C293" s="5" t="str">
        <f>IFERROR(__xludf.DUMMYFUNCTION("""COMPUTED_VALUE"""),"FD3S (RX7)")</f>
        <v>FD3S (RX7)</v>
      </c>
      <c r="D293" s="5"/>
      <c r="E293" s="5" t="str">
        <f>IFERROR(__xludf.DUMMYFUNCTION("""COMPUTED_VALUE"""),"Test Driver")</f>
        <v>Test Driver</v>
      </c>
      <c r="F293" s="5">
        <f>IFERROR(__xludf.DUMMYFUNCTION("""COMPUTED_VALUE"""),0.006944444444444444)</f>
        <v>0.006944444444</v>
      </c>
      <c r="G293" s="5" t="str">
        <f>IFERROR(__xludf.DUMMYFUNCTION("""COMPUTED_VALUE"""),"FD3S (RX7)")</f>
        <v>FD3S (RX7)</v>
      </c>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row>
    <row r="294">
      <c r="A294" s="5" t="str">
        <f>IFERROR(__xludf.DUMMYFUNCTION("""COMPUTED_VALUE"""),"Test Driver")</f>
        <v>Test Driver</v>
      </c>
      <c r="B294" s="5">
        <f>IFERROR(__xludf.DUMMYFUNCTION("""COMPUTED_VALUE"""),0.006944444444444444)</f>
        <v>0.006944444444</v>
      </c>
      <c r="C294" s="5" t="str">
        <f>IFERROR(__xludf.DUMMYFUNCTION("""COMPUTED_VALUE"""),"JZA80 (Supra)")</f>
        <v>JZA80 (Supra)</v>
      </c>
      <c r="D294" s="5"/>
      <c r="E294" s="5" t="str">
        <f>IFERROR(__xludf.DUMMYFUNCTION("""COMPUTED_VALUE"""),"Test Driver")</f>
        <v>Test Driver</v>
      </c>
      <c r="F294" s="5">
        <f>IFERROR(__xludf.DUMMYFUNCTION("""COMPUTED_VALUE"""),0.006944444444444444)</f>
        <v>0.006944444444</v>
      </c>
      <c r="G294" s="5" t="str">
        <f>IFERROR(__xludf.DUMMYFUNCTION("""COMPUTED_VALUE"""),"JZA80 (Supra)")</f>
        <v>JZA80 (Supra)</v>
      </c>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row>
    <row r="297">
      <c r="A297" s="50" t="s">
        <v>82</v>
      </c>
      <c r="E297" s="50" t="s">
        <v>83</v>
      </c>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row>
    <row r="298">
      <c r="A298" s="11" t="str">
        <f>IFERROR(__xludf.DUMMYFUNCTION("LET(
  賽道, ""Maze"",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298" s="47" t="str">
        <f>IFERROR(__xludf.DUMMYFUNCTION("""COMPUTED_VALUE"""),"Time時間")</f>
        <v>Time時間</v>
      </c>
      <c r="C298" s="47" t="str">
        <f>IFERROR(__xludf.DUMMYFUNCTION("""COMPUTED_VALUE"""),"Car車種")</f>
        <v>Car車種</v>
      </c>
      <c r="D298" s="47" t="str">
        <f>IFERROR(__xludf.DUMMYFUNCTION("""COMPUTED_VALUE"""),"Platform平台")</f>
        <v>Platform平台</v>
      </c>
      <c r="E298" s="11" t="str">
        <f>IFERROR(__xludf.DUMMYFUNCTION("LET(
  賽道, ""Maze"",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298" s="47" t="str">
        <f>IFERROR(__xludf.DUMMYFUNCTION("""COMPUTED_VALUE"""),"Time時間")</f>
        <v>Time時間</v>
      </c>
      <c r="G298" s="47" t="str">
        <f>IFERROR(__xludf.DUMMYFUNCTION("""COMPUTED_VALUE"""),"Car車種")</f>
        <v>Car車種</v>
      </c>
      <c r="H298" s="47" t="str">
        <f>IFERROR(__xludf.DUMMYFUNCTION("""COMPUTED_VALUE"""),"Platform平台")</f>
        <v>Platform平台</v>
      </c>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row>
    <row r="299">
      <c r="A299" s="5" t="str">
        <f>IFERROR(__xludf.DUMMYFUNCTION("""COMPUTED_VALUE"""),"Test Driver")</f>
        <v>Test Driver</v>
      </c>
      <c r="B299" s="5">
        <f>IFERROR(__xludf.DUMMYFUNCTION("""COMPUTED_VALUE"""),0.006944444444444444)</f>
        <v>0.006944444444</v>
      </c>
      <c r="C299" s="5" t="str">
        <f>IFERROR(__xludf.DUMMYFUNCTION("""COMPUTED_VALUE"""),"AE85")</f>
        <v>AE85</v>
      </c>
      <c r="D299" s="5"/>
      <c r="E299" s="5" t="str">
        <f>IFERROR(__xludf.DUMMYFUNCTION("""COMPUTED_VALUE"""),"Test Driver")</f>
        <v>Test Driver</v>
      </c>
      <c r="F299" s="5">
        <f>IFERROR(__xludf.DUMMYFUNCTION("""COMPUTED_VALUE"""),0.006944444444444444)</f>
        <v>0.006944444444</v>
      </c>
      <c r="G299" s="5" t="str">
        <f>IFERROR(__xludf.DUMMYFUNCTION("""COMPUTED_VALUE"""),"AE85")</f>
        <v>AE85</v>
      </c>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row>
    <row r="300">
      <c r="A300" s="5" t="str">
        <f>IFERROR(__xludf.DUMMYFUNCTION("""COMPUTED_VALUE"""),"Test Driver")</f>
        <v>Test Driver</v>
      </c>
      <c r="B300" s="5">
        <f>IFERROR(__xludf.DUMMYFUNCTION("""COMPUTED_VALUE"""),0.006944444444444444)</f>
        <v>0.006944444444</v>
      </c>
      <c r="C300" s="5" t="str">
        <f>IFERROR(__xludf.DUMMYFUNCTION("""COMPUTED_VALUE"""),"FD3S (RX7)")</f>
        <v>FD3S (RX7)</v>
      </c>
      <c r="D300" s="5"/>
      <c r="E300" s="5" t="str">
        <f>IFERROR(__xludf.DUMMYFUNCTION("""COMPUTED_VALUE"""),"Test Driver")</f>
        <v>Test Driver</v>
      </c>
      <c r="F300" s="5">
        <f>IFERROR(__xludf.DUMMYFUNCTION("""COMPUTED_VALUE"""),0.006944444444444444)</f>
        <v>0.006944444444</v>
      </c>
      <c r="G300" s="5" t="str">
        <f>IFERROR(__xludf.DUMMYFUNCTION("""COMPUTED_VALUE"""),"FD3S (RX7)")</f>
        <v>FD3S (RX7)</v>
      </c>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row>
    <row r="301">
      <c r="A301" s="5" t="str">
        <f>IFERROR(__xludf.DUMMYFUNCTION("""COMPUTED_VALUE"""),"Test Driver")</f>
        <v>Test Driver</v>
      </c>
      <c r="B301" s="5">
        <f>IFERROR(__xludf.DUMMYFUNCTION("""COMPUTED_VALUE"""),0.006944444444444444)</f>
        <v>0.006944444444</v>
      </c>
      <c r="C301" s="5" t="str">
        <f>IFERROR(__xludf.DUMMYFUNCTION("""COMPUTED_VALUE"""),"AE86L")</f>
        <v>AE86L</v>
      </c>
      <c r="D301" s="5"/>
      <c r="E301" s="5" t="str">
        <f>IFERROR(__xludf.DUMMYFUNCTION("""COMPUTED_VALUE"""),"Test Driver")</f>
        <v>Test Driver</v>
      </c>
      <c r="F301" s="5">
        <f>IFERROR(__xludf.DUMMYFUNCTION("""COMPUTED_VALUE"""),0.006944444444444444)</f>
        <v>0.006944444444</v>
      </c>
      <c r="G301" s="5" t="str">
        <f>IFERROR(__xludf.DUMMYFUNCTION("""COMPUTED_VALUE"""),"AE86L")</f>
        <v>AE86L</v>
      </c>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row>
    <row r="302">
      <c r="A302" s="5" t="str">
        <f>IFERROR(__xludf.DUMMYFUNCTION("""COMPUTED_VALUE"""),"Test Driver")</f>
        <v>Test Driver</v>
      </c>
      <c r="B302" s="5">
        <f>IFERROR(__xludf.DUMMYFUNCTION("""COMPUTED_VALUE"""),0.006944444444444444)</f>
        <v>0.006944444444</v>
      </c>
      <c r="C302" s="5" t="str">
        <f>IFERROR(__xludf.DUMMYFUNCTION("""COMPUTED_VALUE"""),"AE86T")</f>
        <v>AE86T</v>
      </c>
      <c r="D302" s="5"/>
      <c r="E302" s="5" t="str">
        <f>IFERROR(__xludf.DUMMYFUNCTION("""COMPUTED_VALUE"""),"Test Driver")</f>
        <v>Test Driver</v>
      </c>
      <c r="F302" s="5">
        <f>IFERROR(__xludf.DUMMYFUNCTION("""COMPUTED_VALUE"""),0.006944444444444444)</f>
        <v>0.006944444444</v>
      </c>
      <c r="G302" s="5" t="str">
        <f>IFERROR(__xludf.DUMMYFUNCTION("""COMPUTED_VALUE"""),"AE86T")</f>
        <v>AE86T</v>
      </c>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row>
    <row r="303">
      <c r="A303" s="5" t="str">
        <f>IFERROR(__xludf.DUMMYFUNCTION("""COMPUTED_VALUE"""),"Test Driver")</f>
        <v>Test Driver</v>
      </c>
      <c r="B303" s="5">
        <f>IFERROR(__xludf.DUMMYFUNCTION("""COMPUTED_VALUE"""),0.006944444444444444)</f>
        <v>0.006944444444</v>
      </c>
      <c r="C303" s="5" t="str">
        <f>IFERROR(__xludf.DUMMYFUNCTION("""COMPUTED_VALUE"""),"EA11R (Cappuccino)")</f>
        <v>EA11R (Cappuccino)</v>
      </c>
      <c r="D303" s="5"/>
      <c r="E303" s="5" t="str">
        <f>IFERROR(__xludf.DUMMYFUNCTION("""COMPUTED_VALUE"""),"Test Driver")</f>
        <v>Test Driver</v>
      </c>
      <c r="F303" s="5">
        <f>IFERROR(__xludf.DUMMYFUNCTION("""COMPUTED_VALUE"""),0.006944444444444444)</f>
        <v>0.006944444444</v>
      </c>
      <c r="G303" s="5" t="str">
        <f>IFERROR(__xludf.DUMMYFUNCTION("""COMPUTED_VALUE"""),"EA11R (Cappuccino)")</f>
        <v>EA11R (Cappuccino)</v>
      </c>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row>
    <row r="306">
      <c r="A306" s="49" t="s">
        <v>84</v>
      </c>
      <c r="E306" s="49" t="s">
        <v>85</v>
      </c>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row>
    <row r="307">
      <c r="A307" s="11" t="str">
        <f>IFERROR(__xludf.DUMMYFUNCTION("LET(
  賽道, ""Happogahara"",
  路線, ""OB"",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B307" s="47" t="str">
        <f>IFERROR(__xludf.DUMMYFUNCTION("""COMPUTED_VALUE"""),"Time時間")</f>
        <v>Time時間</v>
      </c>
      <c r="C307" s="47" t="str">
        <f>IFERROR(__xludf.DUMMYFUNCTION("""COMPUTED_VALUE"""),"Car車種")</f>
        <v>Car車種</v>
      </c>
      <c r="D307" s="47" t="str">
        <f>IFERROR(__xludf.DUMMYFUNCTION("""COMPUTED_VALUE"""),"Platform平台")</f>
        <v>Platform平台</v>
      </c>
      <c r="E307" s="11" t="str">
        <f>IFERROR(__xludf.DUMMYFUNCTION("LET(
  賽道, ""Happogahara"",
  路線, ""IB"",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F307" s="47" t="str">
        <f>IFERROR(__xludf.DUMMYFUNCTION("""COMPUTED_VALUE"""),"Time時間")</f>
        <v>Time時間</v>
      </c>
      <c r="G307" s="47" t="str">
        <f>IFERROR(__xludf.DUMMYFUNCTION("""COMPUTED_VALUE"""),"Car車種")</f>
        <v>Car車種</v>
      </c>
      <c r="H307" s="47" t="str">
        <f>IFERROR(__xludf.DUMMYFUNCTION("""COMPUTED_VALUE"""),"Platform平台")</f>
        <v>Platform平台</v>
      </c>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row>
    <row r="308">
      <c r="A308" s="14" t="str">
        <f>IFERROR(__xludf.DUMMYFUNCTION("""COMPUTED_VALUE"""),"StarRiver Arts")</f>
        <v>StarRiver Arts</v>
      </c>
      <c r="B308" s="48">
        <f>IFERROR(__xludf.DUMMYFUNCTION("""COMPUTED_VALUE"""),0.0028121180555555556)</f>
        <v>0.002812118056</v>
      </c>
      <c r="C308" s="14" t="str">
        <f>IFERROR(__xludf.DUMMYFUNCTION("""COMPUTED_VALUE"""),"GXPA16 (GR Yaris)")</f>
        <v>GXPA16 (GR Yaris)</v>
      </c>
      <c r="D308" s="14" t="str">
        <f>IFERROR(__xludf.DUMMYFUNCTION("""COMPUTED_VALUE"""),"PC")</f>
        <v>PC</v>
      </c>
      <c r="E308" s="14" t="str">
        <f>IFERROR(__xludf.DUMMYFUNCTION("""COMPUTED_VALUE"""),"Test Driver")</f>
        <v>Test Driver</v>
      </c>
      <c r="F308" s="48">
        <f>IFERROR(__xludf.DUMMYFUNCTION("""COMPUTED_VALUE"""),0.006944444444444444)</f>
        <v>0.006944444444</v>
      </c>
      <c r="G308" s="14" t="str">
        <f>IFERROR(__xludf.DUMMYFUNCTION("""COMPUTED_VALUE"""),"GXPA16 (GR Yaris)")</f>
        <v>GXPA16 (GR Yaris)</v>
      </c>
      <c r="H308" s="14"/>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row>
    <row r="309">
      <c r="A309" s="5" t="str">
        <f>IFERROR(__xludf.DUMMYFUNCTION("""COMPUTED_VALUE"""),"Test Driver")</f>
        <v>Test Driver</v>
      </c>
      <c r="B309" s="5">
        <f>IFERROR(__xludf.DUMMYFUNCTION("""COMPUTED_VALUE"""),0.006944444444444444)</f>
        <v>0.006944444444</v>
      </c>
      <c r="C309" s="5" t="str">
        <f>IFERROR(__xludf.DUMMYFUNCTION("""COMPUTED_VALUE"""),"EK9 (Civic Type-R)")</f>
        <v>EK9 (Civic Type-R)</v>
      </c>
      <c r="D309" s="5"/>
      <c r="E309" s="5" t="str">
        <f>IFERROR(__xludf.DUMMYFUNCTION("""COMPUTED_VALUE"""),"Test Driver")</f>
        <v>Test Driver</v>
      </c>
      <c r="F309" s="5">
        <f>IFERROR(__xludf.DUMMYFUNCTION("""COMPUTED_VALUE"""),0.006944444444444444)</f>
        <v>0.006944444444</v>
      </c>
      <c r="G309" s="5" t="str">
        <f>IFERROR(__xludf.DUMMYFUNCTION("""COMPUTED_VALUE"""),"EK9 (Civic Type-R)")</f>
        <v>EK9 (Civic Type-R)</v>
      </c>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row>
    <row r="310">
      <c r="A310" s="5" t="str">
        <f>IFERROR(__xludf.DUMMYFUNCTION("""COMPUTED_VALUE"""),"Test Driver")</f>
        <v>Test Driver</v>
      </c>
      <c r="B310" s="5">
        <f>IFERROR(__xludf.DUMMYFUNCTION("""COMPUTED_VALUE"""),0.006944444444444444)</f>
        <v>0.006944444444</v>
      </c>
      <c r="C310" s="5" t="str">
        <f>IFERROR(__xludf.DUMMYFUNCTION("""COMPUTED_VALUE"""),"BNR34")</f>
        <v>BNR34</v>
      </c>
      <c r="D310" s="5"/>
      <c r="E310" s="5" t="str">
        <f>IFERROR(__xludf.DUMMYFUNCTION("""COMPUTED_VALUE"""),"Test Driver")</f>
        <v>Test Driver</v>
      </c>
      <c r="F310" s="5">
        <f>IFERROR(__xludf.DUMMYFUNCTION("""COMPUTED_VALUE"""),0.006944444444444444)</f>
        <v>0.006944444444</v>
      </c>
      <c r="G310" s="5" t="str">
        <f>IFERROR(__xludf.DUMMYFUNCTION("""COMPUTED_VALUE"""),"BNR34")</f>
        <v>BNR34</v>
      </c>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row>
    <row r="311">
      <c r="A311" s="5" t="str">
        <f>IFERROR(__xludf.DUMMYFUNCTION("""COMPUTED_VALUE"""),"Test Driver")</f>
        <v>Test Driver</v>
      </c>
      <c r="B311" s="5">
        <f>IFERROR(__xludf.DUMMYFUNCTION("""COMPUTED_VALUE"""),0.006944444444444444)</f>
        <v>0.006944444444</v>
      </c>
      <c r="C311" s="5" t="str">
        <f>IFERROR(__xludf.DUMMYFUNCTION("""COMPUTED_VALUE"""),"FC3S (RX7)")</f>
        <v>FC3S (RX7)</v>
      </c>
      <c r="D311" s="5"/>
      <c r="E311" s="5" t="str">
        <f>IFERROR(__xludf.DUMMYFUNCTION("""COMPUTED_VALUE"""),"Test Driver")</f>
        <v>Test Driver</v>
      </c>
      <c r="F311" s="5">
        <f>IFERROR(__xludf.DUMMYFUNCTION("""COMPUTED_VALUE"""),0.006944444444444444)</f>
        <v>0.006944444444</v>
      </c>
      <c r="G311" s="5" t="str">
        <f>IFERROR(__xludf.DUMMYFUNCTION("""COMPUTED_VALUE"""),"FC3S (RX7)")</f>
        <v>FC3S (RX7)</v>
      </c>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row>
    <row r="312">
      <c r="A312" s="5" t="str">
        <f>IFERROR(__xludf.DUMMYFUNCTION("""COMPUTED_VALUE"""),"Test Driver")</f>
        <v>Test Driver</v>
      </c>
      <c r="B312" s="5">
        <f>IFERROR(__xludf.DUMMYFUNCTION("""COMPUTED_VALUE"""),0.006944444444444444)</f>
        <v>0.006944444444</v>
      </c>
      <c r="C312" s="5" t="str">
        <f>IFERROR(__xludf.DUMMYFUNCTION("""COMPUTED_VALUE"""),"EVOIII/CE9A                                                 ")</f>
        <v>EVOIII/CE9A                                                 </v>
      </c>
      <c r="D312" s="5"/>
      <c r="E312" s="5" t="str">
        <f>IFERROR(__xludf.DUMMYFUNCTION("""COMPUTED_VALUE"""),"Test Driver")</f>
        <v>Test Driver</v>
      </c>
      <c r="F312" s="5">
        <f>IFERROR(__xludf.DUMMYFUNCTION("""COMPUTED_VALUE"""),0.006944444444444444)</f>
        <v>0.006944444444</v>
      </c>
      <c r="G312" s="5" t="str">
        <f>IFERROR(__xludf.DUMMYFUNCTION("""COMPUTED_VALUE"""),"EVOIII/CE9A                                                 ")</f>
        <v>EVOIII/CE9A                                                 </v>
      </c>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row>
    <row r="313">
      <c r="A313" s="5" t="str">
        <f>IFERROR(__xludf.DUMMYFUNCTION("""COMPUTED_VALUE"""),"Test Driver")</f>
        <v>Test Driver</v>
      </c>
      <c r="B313" s="5">
        <f>IFERROR(__xludf.DUMMYFUNCTION("""COMPUTED_VALUE"""),0.006944444444444444)</f>
        <v>0.006944444444</v>
      </c>
      <c r="C313" s="5" t="str">
        <f>IFERROR(__xludf.DUMMYFUNCTION("""COMPUTED_VALUE"""),"FD3S (RX7)")</f>
        <v>FD3S (RX7)</v>
      </c>
      <c r="D313" s="5"/>
      <c r="E313" s="5" t="str">
        <f>IFERROR(__xludf.DUMMYFUNCTION("""COMPUTED_VALUE"""),"Test Driver")</f>
        <v>Test Driver</v>
      </c>
      <c r="F313" s="5">
        <f>IFERROR(__xludf.DUMMYFUNCTION("""COMPUTED_VALUE"""),0.006944444444444444)</f>
        <v>0.006944444444</v>
      </c>
      <c r="G313" s="5" t="str">
        <f>IFERROR(__xludf.DUMMYFUNCTION("""COMPUTED_VALUE"""),"FD3S (RX7)")</f>
        <v>FD3S (RX7)</v>
      </c>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row>
    <row r="314">
      <c r="A314" s="5" t="str">
        <f>IFERROR(__xludf.DUMMYFUNCTION("""COMPUTED_VALUE"""),"Test Driver")</f>
        <v>Test Driver</v>
      </c>
      <c r="B314" s="5">
        <f>IFERROR(__xludf.DUMMYFUNCTION("""COMPUTED_VALUE"""),0.006944444444444444)</f>
        <v>0.006944444444</v>
      </c>
      <c r="C314" s="5" t="str">
        <f>IFERROR(__xludf.DUMMYFUNCTION("""COMPUTED_VALUE"""),"AE86T")</f>
        <v>AE86T</v>
      </c>
      <c r="D314" s="5"/>
      <c r="E314" s="5" t="str">
        <f>IFERROR(__xludf.DUMMYFUNCTION("""COMPUTED_VALUE"""),"Test Driver")</f>
        <v>Test Driver</v>
      </c>
      <c r="F314" s="5">
        <f>IFERROR(__xludf.DUMMYFUNCTION("""COMPUTED_VALUE"""),0.006944444444444444)</f>
        <v>0.006944444444</v>
      </c>
      <c r="G314" s="5" t="str">
        <f>IFERROR(__xludf.DUMMYFUNCTION("""COMPUTED_VALUE"""),"AE86T")</f>
        <v>AE86T</v>
      </c>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row>
    <row r="316">
      <c r="A316" s="49" t="s">
        <v>86</v>
      </c>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row>
    <row r="317">
      <c r="A317" s="11" t="str">
        <f>IFERROR(__xludf.DUMMYFUNCTION("LET(
  賽道, ""Happogahara"",
  路線, ""Double"",
  系統, ""Sacc"",
  原始, FILTER('歷史紀錄'!$E$2:$H1244, '歷史紀錄'!$B$2:$B1244=賽道, '歷史紀錄'!$C$2:$C1244=路線, '歷史紀錄'!$I$2:$I1244=系統),
  排序後, SORT(原始, 2, TRUE),
  車輛, INDEX(排序後,,3),
  唯一車輛, UNIQUE(車輛),
  結果,
    MAP(唯一車輛, LAM"&amp;"BDA(p,
      INDEX(FILTER(排序後, INDEX(排序後,,3)=p),1,0)
    )),
  表頭, {""Player玩家"",""Time時間"",""Car車種"",""Platform平台""},
  VSTACK(表頭, 結果)
)
"),"Player玩家")</f>
        <v>Player玩家</v>
      </c>
      <c r="B317" s="47" t="str">
        <f>IFERROR(__xludf.DUMMYFUNCTION("""COMPUTED_VALUE"""),"Time時間")</f>
        <v>Time時間</v>
      </c>
      <c r="C317" s="47" t="str">
        <f>IFERROR(__xludf.DUMMYFUNCTION("""COMPUTED_VALUE"""),"Car車種")</f>
        <v>Car車種</v>
      </c>
      <c r="D317" s="47" t="str">
        <f>IFERROR(__xludf.DUMMYFUNCTION("""COMPUTED_VALUE"""),"Platform平台")</f>
        <v>Platform平台</v>
      </c>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row>
    <row r="318">
      <c r="A318" s="14" t="str">
        <f>IFERROR(__xludf.DUMMYFUNCTION("""COMPUTED_VALUE"""),"Test Driver")</f>
        <v>Test Driver</v>
      </c>
      <c r="B318" s="48">
        <f>IFERROR(__xludf.DUMMYFUNCTION("""COMPUTED_VALUE"""),0.006944444444444444)</f>
        <v>0.006944444444</v>
      </c>
      <c r="C318" s="14" t="str">
        <f>IFERROR(__xludf.DUMMYFUNCTION("""COMPUTED_VALUE"""),"GXPA16 (GR Yaris)")</f>
        <v>GXPA16 (GR Yaris)</v>
      </c>
      <c r="D318" s="14"/>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row>
    <row r="319">
      <c r="A319" s="5" t="str">
        <f>IFERROR(__xludf.DUMMYFUNCTION("""COMPUTED_VALUE"""),"Test Driver")</f>
        <v>Test Driver</v>
      </c>
      <c r="B319" s="5">
        <f>IFERROR(__xludf.DUMMYFUNCTION("""COMPUTED_VALUE"""),0.006944444444444444)</f>
        <v>0.006944444444</v>
      </c>
      <c r="C319" s="5" t="str">
        <f>IFERROR(__xludf.DUMMYFUNCTION("""COMPUTED_VALUE"""),"EK9 (Civic Type-R)")</f>
        <v>EK9 (Civic Type-R)</v>
      </c>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row>
    <row r="320">
      <c r="A320" s="5" t="str">
        <f>IFERROR(__xludf.DUMMYFUNCTION("""COMPUTED_VALUE"""),"Test Driver")</f>
        <v>Test Driver</v>
      </c>
      <c r="B320" s="5">
        <f>IFERROR(__xludf.DUMMYFUNCTION("""COMPUTED_VALUE"""),0.006944444444444444)</f>
        <v>0.006944444444</v>
      </c>
      <c r="C320" s="5" t="str">
        <f>IFERROR(__xludf.DUMMYFUNCTION("""COMPUTED_VALUE"""),"BNR34")</f>
        <v>BNR34</v>
      </c>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row>
    <row r="321">
      <c r="A321" s="5" t="str">
        <f>IFERROR(__xludf.DUMMYFUNCTION("""COMPUTED_VALUE"""),"Test Driver")</f>
        <v>Test Driver</v>
      </c>
      <c r="B321" s="5">
        <f>IFERROR(__xludf.DUMMYFUNCTION("""COMPUTED_VALUE"""),0.006944444444444444)</f>
        <v>0.006944444444</v>
      </c>
      <c r="C321" s="5" t="str">
        <f>IFERROR(__xludf.DUMMYFUNCTION("""COMPUTED_VALUE"""),"FC3S (RX7)")</f>
        <v>FC3S (RX7)</v>
      </c>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row>
    <row r="322">
      <c r="A322" s="5" t="str">
        <f>IFERROR(__xludf.DUMMYFUNCTION("""COMPUTED_VALUE"""),"Test Driver")</f>
        <v>Test Driver</v>
      </c>
      <c r="B322" s="5">
        <f>IFERROR(__xludf.DUMMYFUNCTION("""COMPUTED_VALUE"""),0.006944444444444444)</f>
        <v>0.006944444444</v>
      </c>
      <c r="C322" s="5" t="str">
        <f>IFERROR(__xludf.DUMMYFUNCTION("""COMPUTED_VALUE"""),"EVOIII/CE9A                                                 ")</f>
        <v>EVOIII/CE9A                                                 </v>
      </c>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row>
    <row r="323">
      <c r="A323" s="5" t="str">
        <f>IFERROR(__xludf.DUMMYFUNCTION("""COMPUTED_VALUE"""),"Test Driver")</f>
        <v>Test Driver</v>
      </c>
      <c r="B323" s="5">
        <f>IFERROR(__xludf.DUMMYFUNCTION("""COMPUTED_VALUE"""),0.006944444444444444)</f>
        <v>0.006944444444</v>
      </c>
      <c r="C323" s="5" t="str">
        <f>IFERROR(__xludf.DUMMYFUNCTION("""COMPUTED_VALUE"""),"FD3S (RX7)")</f>
        <v>FD3S (RX7)</v>
      </c>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row>
    <row r="324">
      <c r="A324" s="5" t="str">
        <f>IFERROR(__xludf.DUMMYFUNCTION("""COMPUTED_VALUE"""),"Test Driver")</f>
        <v>Test Driver</v>
      </c>
      <c r="B324" s="5">
        <f>IFERROR(__xludf.DUMMYFUNCTION("""COMPUTED_VALUE"""),0.006944444444444444)</f>
        <v>0.006944444444</v>
      </c>
      <c r="C324" s="5" t="str">
        <f>IFERROR(__xludf.DUMMYFUNCTION("""COMPUTED_VALUE"""),"AE86T")</f>
        <v>AE86T</v>
      </c>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row>
    <row r="326">
      <c r="A326" s="51" t="s">
        <v>87</v>
      </c>
      <c r="E326" s="51" t="s">
        <v>88</v>
      </c>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row>
    <row r="327">
      <c r="A327" s="11" t="str">
        <f>IFERROR(__xludf.DUMMYFUNCTION("LET(
  賽道, ""GunsaiCP"",
  路線, ""FC"",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327" s="11" t="str">
        <f>IFERROR(__xludf.DUMMYFUNCTION("""COMPUTED_VALUE"""),"Time時間")</f>
        <v>Time時間</v>
      </c>
      <c r="C327" s="11" t="str">
        <f>IFERROR(__xludf.DUMMYFUNCTION("""COMPUTED_VALUE"""),"Car車種")</f>
        <v>Car車種</v>
      </c>
      <c r="D327" s="11" t="str">
        <f>IFERROR(__xludf.DUMMYFUNCTION("""COMPUTED_VALUE"""),"Platform平台")</f>
        <v>Platform平台</v>
      </c>
      <c r="E327" s="11" t="str">
        <f>IFERROR(__xludf.DUMMYFUNCTION("LET(
  賽道, ""GunsaiCP"",
  路線, ""C-A"",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327" s="11" t="str">
        <f>IFERROR(__xludf.DUMMYFUNCTION("""COMPUTED_VALUE"""),"Time時間")</f>
        <v>Time時間</v>
      </c>
      <c r="G327" s="11" t="str">
        <f>IFERROR(__xludf.DUMMYFUNCTION("""COMPUTED_VALUE"""),"Car車種")</f>
        <v>Car車種</v>
      </c>
      <c r="H327" s="11" t="str">
        <f>IFERROR(__xludf.DUMMYFUNCTION("""COMPUTED_VALUE"""),"Platform平台")</f>
        <v>Platform平台</v>
      </c>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row>
    <row r="328">
      <c r="A328" s="5" t="str">
        <f>IFERROR(__xludf.DUMMYFUNCTION("""COMPUTED_VALUE"""),"LinWu_05")</f>
        <v>LinWu_05</v>
      </c>
      <c r="B328" s="5">
        <f>IFERROR(__xludf.DUMMYFUNCTION("""COMPUTED_VALUE"""),0.0019977430555555556)</f>
        <v>0.001997743056</v>
      </c>
      <c r="C328" s="5" t="str">
        <f>IFERROR(__xludf.DUMMYFUNCTION("""COMPUTED_VALUE"""),"MCR R34")</f>
        <v>MCR R34</v>
      </c>
      <c r="D328" s="5" t="str">
        <f>IFERROR(__xludf.DUMMYFUNCTION("""COMPUTED_VALUE"""),"PC")</f>
        <v>PC</v>
      </c>
      <c r="E328" s="5" t="str">
        <f>IFERROR(__xludf.DUMMYFUNCTION("""COMPUTED_VALUE"""),"LinWu_05")</f>
        <v>LinWu_05</v>
      </c>
      <c r="F328" s="5">
        <f>IFERROR(__xludf.DUMMYFUNCTION("""COMPUTED_VALUE"""),5.876851851851852E-4)</f>
        <v>0.0005876851852</v>
      </c>
      <c r="G328" s="5" t="str">
        <f>IFERROR(__xludf.DUMMYFUNCTION("""COMPUTED_VALUE"""),"MCR R34")</f>
        <v>MCR R34</v>
      </c>
      <c r="H328" s="5" t="str">
        <f>IFERROR(__xludf.DUMMYFUNCTION("""COMPUTED_VALUE"""),"PC")</f>
        <v>PC</v>
      </c>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row>
    <row r="329">
      <c r="A329" s="5" t="str">
        <f>IFERROR(__xludf.DUMMYFUNCTION("""COMPUTED_VALUE"""),"Test Driver")</f>
        <v>Test Driver</v>
      </c>
      <c r="B329" s="5">
        <f>IFERROR(__xludf.DUMMYFUNCTION("""COMPUTED_VALUE"""),0.006944444444444444)</f>
        <v>0.006944444444</v>
      </c>
      <c r="C329" s="5" t="str">
        <f>IFERROR(__xludf.DUMMYFUNCTION("""COMPUTED_VALUE"""),"AE86T-Street")</f>
        <v>AE86T-Street</v>
      </c>
      <c r="D329" s="5"/>
      <c r="E329" s="5" t="str">
        <f>IFERROR(__xludf.DUMMYFUNCTION("""COMPUTED_VALUE"""),"Test Driver")</f>
        <v>Test Driver</v>
      </c>
      <c r="F329" s="5">
        <f>IFERROR(__xludf.DUMMYFUNCTION("""COMPUTED_VALUE"""),0.006944444444444444)</f>
        <v>0.006944444444</v>
      </c>
      <c r="G329" s="5" t="str">
        <f>IFERROR(__xludf.DUMMYFUNCTION("""COMPUTED_VALUE"""),"AE86T-Street")</f>
        <v>AE86T-Street</v>
      </c>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row>
    <row r="330">
      <c r="A330" s="5" t="str">
        <f>IFERROR(__xludf.DUMMYFUNCTION("""COMPUTED_VALUE"""),"Test Driver")</f>
        <v>Test Driver</v>
      </c>
      <c r="B330" s="5">
        <f>IFERROR(__xludf.DUMMYFUNCTION("""COMPUTED_VALUE"""),0.006944444444444444)</f>
        <v>0.006944444444</v>
      </c>
      <c r="C330" s="5" t="str">
        <f>IFERROR(__xludf.DUMMYFUNCTION("""COMPUTED_VALUE"""),"DB42 (Ridox-GR Supra)")</f>
        <v>DB42 (Ridox-GR Supra)</v>
      </c>
      <c r="D330" s="5"/>
      <c r="E330" s="5" t="str">
        <f>IFERROR(__xludf.DUMMYFUNCTION("""COMPUTED_VALUE"""),"Test Driver")</f>
        <v>Test Driver</v>
      </c>
      <c r="F330" s="5">
        <f>IFERROR(__xludf.DUMMYFUNCTION("""COMPUTED_VALUE"""),0.006944444444444444)</f>
        <v>0.006944444444</v>
      </c>
      <c r="G330" s="5" t="str">
        <f>IFERROR(__xludf.DUMMYFUNCTION("""COMPUTED_VALUE"""),"DB42 (Ridox-GR Supra)")</f>
        <v>DB42 (Ridox-GR Supra)</v>
      </c>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row>
    <row r="331">
      <c r="A331" s="5" t="str">
        <f>IFERROR(__xludf.DUMMYFUNCTION("""COMPUTED_VALUE"""),"Test Driver")</f>
        <v>Test Driver</v>
      </c>
      <c r="B331" s="5">
        <f>IFERROR(__xludf.DUMMYFUNCTION("""COMPUTED_VALUE"""),0.006944444444444444)</f>
        <v>0.006944444444</v>
      </c>
      <c r="C331" s="5" t="str">
        <f>IFERROR(__xludf.DUMMYFUNCTION("""COMPUTED_VALUE"""),"S15 (Nob Taniguchi's)")</f>
        <v>S15 (Nob Taniguchi's)</v>
      </c>
      <c r="D331" s="5"/>
      <c r="E331" s="5" t="str">
        <f>IFERROR(__xludf.DUMMYFUNCTION("""COMPUTED_VALUE"""),"Test Driver")</f>
        <v>Test Driver</v>
      </c>
      <c r="F331" s="5">
        <f>IFERROR(__xludf.DUMMYFUNCTION("""COMPUTED_VALUE"""),0.006944444444444444)</f>
        <v>0.006944444444</v>
      </c>
      <c r="G331" s="5" t="str">
        <f>IFERROR(__xludf.DUMMYFUNCTION("""COMPUTED_VALUE"""),"S15 (Nob Taniguchi's)")</f>
        <v>S15 (Nob Taniguchi's)</v>
      </c>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row>
    <row r="332">
      <c r="A332" s="5" t="str">
        <f>IFERROR(__xludf.DUMMYFUNCTION("""COMPUTED_VALUE"""),"Test Driver")</f>
        <v>Test Driver</v>
      </c>
      <c r="B332" s="5">
        <f>IFERROR(__xludf.DUMMYFUNCTION("""COMPUTED_VALUE"""),0.006944444444444444)</f>
        <v>0.006944444444</v>
      </c>
      <c r="C332" s="5" t="str">
        <f>IFERROR(__xludf.DUMMYFUNCTION("""COMPUTED_VALUE"""),"AP1 (J's Racing S2000)")</f>
        <v>AP1 (J's Racing S2000)</v>
      </c>
      <c r="D332" s="5"/>
      <c r="E332" s="5" t="str">
        <f>IFERROR(__xludf.DUMMYFUNCTION("""COMPUTED_VALUE"""),"Test Driver")</f>
        <v>Test Driver</v>
      </c>
      <c r="F332" s="5">
        <f>IFERROR(__xludf.DUMMYFUNCTION("""COMPUTED_VALUE"""),0.006944444444444444)</f>
        <v>0.006944444444</v>
      </c>
      <c r="G332" s="5" t="str">
        <f>IFERROR(__xludf.DUMMYFUNCTION("""COMPUTED_VALUE"""),"AP1 (J's Racing S2000)")</f>
        <v>AP1 (J's Racing S2000)</v>
      </c>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row>
    <row r="333">
      <c r="A333" s="5" t="str">
        <f>IFERROR(__xludf.DUMMYFUNCTION("""COMPUTED_VALUE"""),"Test Driver")</f>
        <v>Test Driver</v>
      </c>
      <c r="B333" s="5">
        <f>IFERROR(__xludf.DUMMYFUNCTION("""COMPUTED_VALUE"""),0.006944444444444444)</f>
        <v>0.006944444444</v>
      </c>
      <c r="C333" s="5" t="str">
        <f>IFERROR(__xludf.DUMMYFUNCTION("""COMPUTED_VALUE"""),"FD3S (RX7 FEED)")</f>
        <v>FD3S (RX7 FEED)</v>
      </c>
      <c r="D333" s="5"/>
      <c r="E333" s="5" t="str">
        <f>IFERROR(__xludf.DUMMYFUNCTION("""COMPUTED_VALUE"""),"Test Driver")</f>
        <v>Test Driver</v>
      </c>
      <c r="F333" s="5">
        <f>IFERROR(__xludf.DUMMYFUNCTION("""COMPUTED_VALUE"""),0.006944444444444444)</f>
        <v>0.006944444444</v>
      </c>
      <c r="G333" s="5" t="str">
        <f>IFERROR(__xludf.DUMMYFUNCTION("""COMPUTED_VALUE"""),"FD3S (RX7 FEED)")</f>
        <v>FD3S (RX7 FEED)</v>
      </c>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row>
    <row r="334">
      <c r="A334" s="5" t="str">
        <f>IFERROR(__xludf.DUMMYFUNCTION("""COMPUTED_VALUE"""),"Test Driver")</f>
        <v>Test Driver</v>
      </c>
      <c r="B334" s="5">
        <f>IFERROR(__xludf.DUMMYFUNCTION("""COMPUTED_VALUE"""),0.006944444444444444)</f>
        <v>0.006944444444</v>
      </c>
      <c r="C334" s="5" t="str">
        <f>IFERROR(__xludf.DUMMYFUNCTION("""COMPUTED_VALUE"""),"FD2 (Civic Type-R Seeker)")</f>
        <v>FD2 (Civic Type-R Seeker)</v>
      </c>
      <c r="D334" s="5"/>
      <c r="E334" s="5" t="str">
        <f>IFERROR(__xludf.DUMMYFUNCTION("""COMPUTED_VALUE"""),"Test Driver")</f>
        <v>Test Driver</v>
      </c>
      <c r="F334" s="5">
        <f>IFERROR(__xludf.DUMMYFUNCTION("""COMPUTED_VALUE"""),0.006944444444444444)</f>
        <v>0.006944444444</v>
      </c>
      <c r="G334" s="5" t="str">
        <f>IFERROR(__xludf.DUMMYFUNCTION("""COMPUTED_VALUE"""),"FD2 (Civic Type-R Seeker)")</f>
        <v>FD2 (Civic Type-R Seeker)</v>
      </c>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row>
    <row r="336">
      <c r="A336" s="52" t="s">
        <v>89</v>
      </c>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row>
    <row r="337">
      <c r="A337" s="11" t="str">
        <f>IFERROR(__xludf.DUMMYFUNCTION("LET(
  賽道, ""Gunsai"",
  路線, ""FC"",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337" s="11" t="str">
        <f>IFERROR(__xludf.DUMMYFUNCTION("""COMPUTED_VALUE"""),"Time時間")</f>
        <v>Time時間</v>
      </c>
      <c r="C337" s="11" t="str">
        <f>IFERROR(__xludf.DUMMYFUNCTION("""COMPUTED_VALUE"""),"Car車種")</f>
        <v>Car車種</v>
      </c>
      <c r="D337" s="11" t="str">
        <f>IFERROR(__xludf.DUMMYFUNCTION("""COMPUTED_VALUE"""),"Platform平台")</f>
        <v>Platform平台</v>
      </c>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row>
    <row r="338">
      <c r="A338" s="5" t="str">
        <f>IFERROR(__xludf.DUMMYFUNCTION("""COMPUTED_VALUE"""),"LinWu_05")</f>
        <v>LinWu_05</v>
      </c>
      <c r="B338" s="5">
        <f>IFERROR(__xludf.DUMMYFUNCTION("""COMPUTED_VALUE"""),0.002279583333333333)</f>
        <v>0.002279583333</v>
      </c>
      <c r="C338" s="5" t="str">
        <f>IFERROR(__xludf.DUMMYFUNCTION("""COMPUTED_VALUE"""),"MCR R34")</f>
        <v>MCR R34</v>
      </c>
      <c r="D338" s="5" t="str">
        <f>IFERROR(__xludf.DUMMYFUNCTION("""COMPUTED_VALUE"""),"PC")</f>
        <v>PC</v>
      </c>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row>
    <row r="339">
      <c r="A339" s="5" t="str">
        <f>IFERROR(__xludf.DUMMYFUNCTION("""COMPUTED_VALUE"""),"Test Driver")</f>
        <v>Test Driver</v>
      </c>
      <c r="B339" s="5">
        <f>IFERROR(__xludf.DUMMYFUNCTION("""COMPUTED_VALUE"""),0.006944444444444444)</f>
        <v>0.006944444444</v>
      </c>
      <c r="C339" s="5" t="str">
        <f>IFERROR(__xludf.DUMMYFUNCTION("""COMPUTED_VALUE"""),"AE86T-Street")</f>
        <v>AE86T-Street</v>
      </c>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row>
    <row r="340">
      <c r="A340" s="5" t="str">
        <f>IFERROR(__xludf.DUMMYFUNCTION("""COMPUTED_VALUE"""),"Test Driver")</f>
        <v>Test Driver</v>
      </c>
      <c r="B340" s="5">
        <f>IFERROR(__xludf.DUMMYFUNCTION("""COMPUTED_VALUE"""),0.006944444444444444)</f>
        <v>0.006944444444</v>
      </c>
      <c r="C340" s="5" t="str">
        <f>IFERROR(__xludf.DUMMYFUNCTION("""COMPUTED_VALUE"""),"DB42 (Ridox-GR Supra)")</f>
        <v>DB42 (Ridox-GR Supra)</v>
      </c>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row>
    <row r="341">
      <c r="A341" s="5" t="str">
        <f>IFERROR(__xludf.DUMMYFUNCTION("""COMPUTED_VALUE"""),"Test Driver")</f>
        <v>Test Driver</v>
      </c>
      <c r="B341" s="5">
        <f>IFERROR(__xludf.DUMMYFUNCTION("""COMPUTED_VALUE"""),0.006944444444444444)</f>
        <v>0.006944444444</v>
      </c>
      <c r="C341" s="5" t="str">
        <f>IFERROR(__xludf.DUMMYFUNCTION("""COMPUTED_VALUE"""),"S15 (Nob Taniguchi's)")</f>
        <v>S15 (Nob Taniguchi's)</v>
      </c>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row>
    <row r="342">
      <c r="A342" s="5" t="str">
        <f>IFERROR(__xludf.DUMMYFUNCTION("""COMPUTED_VALUE"""),"Test Driver")</f>
        <v>Test Driver</v>
      </c>
      <c r="B342" s="5">
        <f>IFERROR(__xludf.DUMMYFUNCTION("""COMPUTED_VALUE"""),0.006944444444444444)</f>
        <v>0.006944444444</v>
      </c>
      <c r="C342" s="5" t="str">
        <f>IFERROR(__xludf.DUMMYFUNCTION("""COMPUTED_VALUE"""),"AP1 (J's Racing S2000)")</f>
        <v>AP1 (J's Racing S2000)</v>
      </c>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row>
    <row r="343">
      <c r="A343" s="5" t="str">
        <f>IFERROR(__xludf.DUMMYFUNCTION("""COMPUTED_VALUE"""),"Test Driver")</f>
        <v>Test Driver</v>
      </c>
      <c r="B343" s="5">
        <f>IFERROR(__xludf.DUMMYFUNCTION("""COMPUTED_VALUE"""),0.006944444444444444)</f>
        <v>0.006944444444</v>
      </c>
      <c r="C343" s="5" t="str">
        <f>IFERROR(__xludf.DUMMYFUNCTION("""COMPUTED_VALUE"""),"FD3S (RX7 FEED)")</f>
        <v>FD3S (RX7 FEED)</v>
      </c>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row>
    <row r="344">
      <c r="A344" s="5" t="str">
        <f>IFERROR(__xludf.DUMMYFUNCTION("""COMPUTED_VALUE"""),"Test Driver")</f>
        <v>Test Driver</v>
      </c>
      <c r="B344" s="5">
        <f>IFERROR(__xludf.DUMMYFUNCTION("""COMPUTED_VALUE"""),0.006944444444444444)</f>
        <v>0.006944444444</v>
      </c>
      <c r="C344" s="5" t="str">
        <f>IFERROR(__xludf.DUMMYFUNCTION("""COMPUTED_VALUE"""),"FD2 (Civic Type-R Seeker)")</f>
        <v>FD2 (Civic Type-R Seeker)</v>
      </c>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row>
    <row r="347">
      <c r="A347" s="52" t="s">
        <v>89</v>
      </c>
      <c r="E347" s="52" t="s">
        <v>91</v>
      </c>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row>
    <row r="348">
      <c r="A348" s="11" t="str">
        <f>IFERROR(__xludf.DUMMYFUNCTION("LET(
  賽道, ""Gunsai"",
  路線, ""FC"",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348" s="11" t="str">
        <f>IFERROR(__xludf.DUMMYFUNCTION("""COMPUTED_VALUE"""),"Time時間")</f>
        <v>Time時間</v>
      </c>
      <c r="C348" s="11" t="str">
        <f>IFERROR(__xludf.DUMMYFUNCTION("""COMPUTED_VALUE"""),"Car車種")</f>
        <v>Car車種</v>
      </c>
      <c r="D348" s="11" t="str">
        <f>IFERROR(__xludf.DUMMYFUNCTION("""COMPUTED_VALUE"""),"Platform平台")</f>
        <v>Platform平台</v>
      </c>
      <c r="E348" s="11" t="str">
        <f>IFERROR(__xludf.DUMMYFUNCTION("LET(
  賽道, ""Gunsai"",
  路線, ""C-B"",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348" s="11" t="str">
        <f>IFERROR(__xludf.DUMMYFUNCTION("""COMPUTED_VALUE"""),"Time時間")</f>
        <v>Time時間</v>
      </c>
      <c r="G348" s="11" t="str">
        <f>IFERROR(__xludf.DUMMYFUNCTION("""COMPUTED_VALUE"""),"Car車種")</f>
        <v>Car車種</v>
      </c>
      <c r="H348" s="11" t="str">
        <f>IFERROR(__xludf.DUMMYFUNCTION("""COMPUTED_VALUE"""),"Platform平台")</f>
        <v>Platform平台</v>
      </c>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row>
    <row r="349">
      <c r="A349" s="5" t="str">
        <f>IFERROR(__xludf.DUMMYFUNCTION("""COMPUTED_VALUE"""),"LinWu_05")</f>
        <v>LinWu_05</v>
      </c>
      <c r="B349" s="5">
        <f>IFERROR(__xludf.DUMMYFUNCTION("""COMPUTED_VALUE"""),0.002279583333333333)</f>
        <v>0.002279583333</v>
      </c>
      <c r="C349" s="5" t="str">
        <f>IFERROR(__xludf.DUMMYFUNCTION("""COMPUTED_VALUE"""),"MCR R34")</f>
        <v>MCR R34</v>
      </c>
      <c r="D349" s="5" t="str">
        <f>IFERROR(__xludf.DUMMYFUNCTION("""COMPUTED_VALUE"""),"PC")</f>
        <v>PC</v>
      </c>
      <c r="E349" s="5" t="str">
        <f>IFERROR(__xludf.DUMMYFUNCTION("""COMPUTED_VALUE"""),"Test Driver")</f>
        <v>Test Driver</v>
      </c>
      <c r="F349" s="5">
        <f>IFERROR(__xludf.DUMMYFUNCTION("""COMPUTED_VALUE"""),0.006944444444444444)</f>
        <v>0.006944444444</v>
      </c>
      <c r="G349" s="5" t="str">
        <f>IFERROR(__xludf.DUMMYFUNCTION("""COMPUTED_VALUE"""),"MCR R34")</f>
        <v>MCR R34</v>
      </c>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row>
    <row r="350">
      <c r="A350" s="5" t="str">
        <f>IFERROR(__xludf.DUMMYFUNCTION("""COMPUTED_VALUE"""),"Test Driver")</f>
        <v>Test Driver</v>
      </c>
      <c r="B350" s="5">
        <f>IFERROR(__xludf.DUMMYFUNCTION("""COMPUTED_VALUE"""),0.006944444444444444)</f>
        <v>0.006944444444</v>
      </c>
      <c r="C350" s="5" t="str">
        <f>IFERROR(__xludf.DUMMYFUNCTION("""COMPUTED_VALUE"""),"AE86T-Street")</f>
        <v>AE86T-Street</v>
      </c>
      <c r="D350" s="5"/>
      <c r="E350" s="5" t="str">
        <f>IFERROR(__xludf.DUMMYFUNCTION("""COMPUTED_VALUE"""),"Test Driver")</f>
        <v>Test Driver</v>
      </c>
      <c r="F350" s="5">
        <f>IFERROR(__xludf.DUMMYFUNCTION("""COMPUTED_VALUE"""),0.006944444444444444)</f>
        <v>0.006944444444</v>
      </c>
      <c r="G350" s="5" t="str">
        <f>IFERROR(__xludf.DUMMYFUNCTION("""COMPUTED_VALUE"""),"AE86T-Street")</f>
        <v>AE86T-Street</v>
      </c>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row>
    <row r="351">
      <c r="A351" s="5" t="str">
        <f>IFERROR(__xludf.DUMMYFUNCTION("""COMPUTED_VALUE"""),"Test Driver")</f>
        <v>Test Driver</v>
      </c>
      <c r="B351" s="5">
        <f>IFERROR(__xludf.DUMMYFUNCTION("""COMPUTED_VALUE"""),0.006944444444444444)</f>
        <v>0.006944444444</v>
      </c>
      <c r="C351" s="5" t="str">
        <f>IFERROR(__xludf.DUMMYFUNCTION("""COMPUTED_VALUE"""),"DB42 (Ridox-GR Supra)")</f>
        <v>DB42 (Ridox-GR Supra)</v>
      </c>
      <c r="D351" s="5"/>
      <c r="E351" s="5" t="str">
        <f>IFERROR(__xludf.DUMMYFUNCTION("""COMPUTED_VALUE"""),"Test Driver")</f>
        <v>Test Driver</v>
      </c>
      <c r="F351" s="5">
        <f>IFERROR(__xludf.DUMMYFUNCTION("""COMPUTED_VALUE"""),0.006944444444444444)</f>
        <v>0.006944444444</v>
      </c>
      <c r="G351" s="5" t="str">
        <f>IFERROR(__xludf.DUMMYFUNCTION("""COMPUTED_VALUE"""),"DB42 (Ridox-GR Supra)")</f>
        <v>DB42 (Ridox-GR Supra)</v>
      </c>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row>
    <row r="352">
      <c r="A352" s="5" t="str">
        <f>IFERROR(__xludf.DUMMYFUNCTION("""COMPUTED_VALUE"""),"Test Driver")</f>
        <v>Test Driver</v>
      </c>
      <c r="B352" s="5">
        <f>IFERROR(__xludf.DUMMYFUNCTION("""COMPUTED_VALUE"""),0.006944444444444444)</f>
        <v>0.006944444444</v>
      </c>
      <c r="C352" s="5" t="str">
        <f>IFERROR(__xludf.DUMMYFUNCTION("""COMPUTED_VALUE"""),"S15 (Nob Taniguchi's)")</f>
        <v>S15 (Nob Taniguchi's)</v>
      </c>
      <c r="D352" s="5"/>
      <c r="E352" s="5" t="str">
        <f>IFERROR(__xludf.DUMMYFUNCTION("""COMPUTED_VALUE"""),"Test Driver")</f>
        <v>Test Driver</v>
      </c>
      <c r="F352" s="5">
        <f>IFERROR(__xludf.DUMMYFUNCTION("""COMPUTED_VALUE"""),0.006944444444444444)</f>
        <v>0.006944444444</v>
      </c>
      <c r="G352" s="5" t="str">
        <f>IFERROR(__xludf.DUMMYFUNCTION("""COMPUTED_VALUE"""),"S15 (Nob Taniguchi's)")</f>
        <v>S15 (Nob Taniguchi's)</v>
      </c>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row>
    <row r="353">
      <c r="A353" s="5" t="str">
        <f>IFERROR(__xludf.DUMMYFUNCTION("""COMPUTED_VALUE"""),"Test Driver")</f>
        <v>Test Driver</v>
      </c>
      <c r="B353" s="5">
        <f>IFERROR(__xludf.DUMMYFUNCTION("""COMPUTED_VALUE"""),0.006944444444444444)</f>
        <v>0.006944444444</v>
      </c>
      <c r="C353" s="5" t="str">
        <f>IFERROR(__xludf.DUMMYFUNCTION("""COMPUTED_VALUE"""),"AP1 (J's Racing S2000)")</f>
        <v>AP1 (J's Racing S2000)</v>
      </c>
      <c r="D353" s="5"/>
      <c r="E353" s="5" t="str">
        <f>IFERROR(__xludf.DUMMYFUNCTION("""COMPUTED_VALUE"""),"Test Driver")</f>
        <v>Test Driver</v>
      </c>
      <c r="F353" s="5">
        <f>IFERROR(__xludf.DUMMYFUNCTION("""COMPUTED_VALUE"""),0.006944444444444444)</f>
        <v>0.006944444444</v>
      </c>
      <c r="G353" s="5" t="str">
        <f>IFERROR(__xludf.DUMMYFUNCTION("""COMPUTED_VALUE"""),"AP1 (J's Racing S2000)")</f>
        <v>AP1 (J's Racing S2000)</v>
      </c>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row>
    <row r="354">
      <c r="A354" s="5" t="str">
        <f>IFERROR(__xludf.DUMMYFUNCTION("""COMPUTED_VALUE"""),"Test Driver")</f>
        <v>Test Driver</v>
      </c>
      <c r="B354" s="5">
        <f>IFERROR(__xludf.DUMMYFUNCTION("""COMPUTED_VALUE"""),0.006944444444444444)</f>
        <v>0.006944444444</v>
      </c>
      <c r="C354" s="5" t="str">
        <f>IFERROR(__xludf.DUMMYFUNCTION("""COMPUTED_VALUE"""),"FD3S (RX7 FEED)")</f>
        <v>FD3S (RX7 FEED)</v>
      </c>
      <c r="D354" s="5"/>
      <c r="E354" s="5" t="str">
        <f>IFERROR(__xludf.DUMMYFUNCTION("""COMPUTED_VALUE"""),"Test Driver")</f>
        <v>Test Driver</v>
      </c>
      <c r="F354" s="5">
        <f>IFERROR(__xludf.DUMMYFUNCTION("""COMPUTED_VALUE"""),0.006944444444444444)</f>
        <v>0.006944444444</v>
      </c>
      <c r="G354" s="5" t="str">
        <f>IFERROR(__xludf.DUMMYFUNCTION("""COMPUTED_VALUE"""),"FD3S (RX7 FEED)")</f>
        <v>FD3S (RX7 FEED)</v>
      </c>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row>
    <row r="355">
      <c r="A355" s="5" t="str">
        <f>IFERROR(__xludf.DUMMYFUNCTION("""COMPUTED_VALUE"""),"Test Driver")</f>
        <v>Test Driver</v>
      </c>
      <c r="B355" s="5">
        <f>IFERROR(__xludf.DUMMYFUNCTION("""COMPUTED_VALUE"""),0.006944444444444444)</f>
        <v>0.006944444444</v>
      </c>
      <c r="C355" s="5" t="str">
        <f>IFERROR(__xludf.DUMMYFUNCTION("""COMPUTED_VALUE"""),"FD2 (Civic Type-R Seeker)")</f>
        <v>FD2 (Civic Type-R Seeker)</v>
      </c>
      <c r="D355" s="5"/>
      <c r="E355" s="5" t="str">
        <f>IFERROR(__xludf.DUMMYFUNCTION("""COMPUTED_VALUE"""),"Test Driver")</f>
        <v>Test Driver</v>
      </c>
      <c r="F355" s="5">
        <f>IFERROR(__xludf.DUMMYFUNCTION("""COMPUTED_VALUE"""),0.006944444444444444)</f>
        <v>0.006944444444</v>
      </c>
      <c r="G355" s="5" t="str">
        <f>IFERROR(__xludf.DUMMYFUNCTION("""COMPUTED_VALUE"""),"FD2 (Civic Type-R Seeker)")</f>
        <v>FD2 (Civic Type-R Seeker)</v>
      </c>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row>
    <row r="357" ht="15.0"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row>
    <row r="358">
      <c r="A358" s="29" t="s">
        <v>92</v>
      </c>
      <c r="E358" s="29" t="s">
        <v>93</v>
      </c>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row>
    <row r="359">
      <c r="A359" s="11" t="str">
        <f>IFERROR(__xludf.DUMMYFUNCTION("LET(
  賽道, ""Tsukuba"",
  路線, ""OB"",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"),"#REF!")</f>
        <v>#REF!</v>
      </c>
      <c r="B359" s="11"/>
      <c r="C359" s="11"/>
      <c r="D359" s="11"/>
      <c r="E359" s="11" t="str">
        <f>IFERROR(__xludf.DUMMYFUNCTION("LET(
  賽道, ""Tsukuba"",
  路線, ""IB"",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359" s="11" t="str">
        <f>IFERROR(__xludf.DUMMYFUNCTION("""COMPUTED_VALUE"""),"Time時間")</f>
        <v>Time時間</v>
      </c>
      <c r="G359" s="11" t="str">
        <f>IFERROR(__xludf.DUMMYFUNCTION("""COMPUTED_VALUE"""),"Car車種")</f>
        <v>Car車種</v>
      </c>
      <c r="H359" s="11" t="str">
        <f>IFERROR(__xludf.DUMMYFUNCTION("""COMPUTED_VALUE"""),"Platform平台")</f>
        <v>Platform平台</v>
      </c>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5"/>
      <c r="C360" s="5"/>
      <c r="D360" s="5"/>
      <c r="E360" s="5" t="str">
        <f>IFERROR(__xludf.DUMMYFUNCTION("""COMPUTED_VALUE"""),"Lolidia")</f>
        <v>Lolidia</v>
      </c>
      <c r="F360" s="5">
        <f>IFERROR(__xludf.DUMMYFUNCTION("""COMPUTED_VALUE"""),0.002311759259259259)</f>
        <v>0.002311759259</v>
      </c>
      <c r="G360" s="5" t="str">
        <f>IFERROR(__xludf.DUMMYFUNCTION("""COMPUTED_VALUE"""),"AE86T")</f>
        <v>AE86T</v>
      </c>
      <c r="H360" s="5" t="str">
        <f>IFERROR(__xludf.DUMMYFUNCTION("""COMPUTED_VALUE"""),"PCVR")</f>
        <v>PCVR</v>
      </c>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5"/>
      <c r="C361" s="5"/>
      <c r="D361" s="5"/>
      <c r="E361" s="5" t="str">
        <f>IFERROR(__xludf.DUMMYFUNCTION("""COMPUTED_VALUE"""),"Test Driver")</f>
        <v>Test Driver</v>
      </c>
      <c r="F361" s="5">
        <f>IFERROR(__xludf.DUMMYFUNCTION("""COMPUTED_VALUE"""),0.006944444444444444)</f>
        <v>0.006944444444</v>
      </c>
      <c r="G361" s="5" t="str">
        <f>IFERROR(__xludf.DUMMYFUNCTION("""COMPUTED_VALUE"""),"R35 Nismo")</f>
        <v>R35 Nismo</v>
      </c>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5"/>
      <c r="C362" s="5"/>
      <c r="D362" s="5"/>
      <c r="E362" s="5" t="str">
        <f>IFERROR(__xludf.DUMMYFUNCTION("""COMPUTED_VALUE"""),"Test Driver")</f>
        <v>Test Driver</v>
      </c>
      <c r="F362" s="5">
        <f>IFERROR(__xludf.DUMMYFUNCTION("""COMPUTED_VALUE"""),0.006944444444444444)</f>
        <v>0.006944444444</v>
      </c>
      <c r="G362" s="5" t="str">
        <f>IFERROR(__xludf.DUMMYFUNCTION("""COMPUTED_VALUE"""),"DB42 (GR Supra)")</f>
        <v>DB42 (GR Supra)</v>
      </c>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5"/>
      <c r="C363" s="5"/>
      <c r="D363" s="5"/>
      <c r="E363" s="5" t="str">
        <f>IFERROR(__xludf.DUMMYFUNCTION("""COMPUTED_VALUE"""),"Test Driver")</f>
        <v>Test Driver</v>
      </c>
      <c r="F363" s="5">
        <f>IFERROR(__xludf.DUMMYFUNCTION("""COMPUTED_VALUE"""),0.006944444444444444)</f>
        <v>0.006944444444</v>
      </c>
      <c r="G363" s="5" t="str">
        <f>IFERROR(__xludf.DUMMYFUNCTION("""COMPUTED_VALUE"""),"EK9 (Civic Type-R)")</f>
        <v>EK9 (Civic Type-R)</v>
      </c>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5"/>
      <c r="C364" s="5"/>
      <c r="D364" s="5"/>
      <c r="E364" s="5" t="str">
        <f>IFERROR(__xludf.DUMMYFUNCTION("""COMPUTED_VALUE"""),"Test Driver")</f>
        <v>Test Driver</v>
      </c>
      <c r="F364" s="5">
        <f>IFERROR(__xludf.DUMMYFUNCTION("""COMPUTED_VALUE"""),0.006944444444444444)</f>
        <v>0.006944444444</v>
      </c>
      <c r="G364" s="5" t="str">
        <f>IFERROR(__xludf.DUMMYFUNCTION("""COMPUTED_VALUE"""),"BNR34")</f>
        <v>BNR34</v>
      </c>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5"/>
      <c r="C365" s="5"/>
      <c r="D365" s="5"/>
      <c r="E365" s="5" t="str">
        <f>IFERROR(__xludf.DUMMYFUNCTION("""COMPUTED_VALUE"""),"Test Driver")</f>
        <v>Test Driver</v>
      </c>
      <c r="F365" s="5">
        <f>IFERROR(__xludf.DUMMYFUNCTION("""COMPUTED_VALUE"""),0.006944444444444444)</f>
        <v>0.006944444444</v>
      </c>
      <c r="G365" s="5" t="str">
        <f>IFERROR(__xludf.DUMMYFUNCTION("""COMPUTED_VALUE"""),"GDB-F (Impreza WRX STi)")</f>
        <v>GDB-F (Impreza WRX STi)</v>
      </c>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5"/>
      <c r="C366" s="5"/>
      <c r="D366" s="5"/>
      <c r="E366" s="5" t="str">
        <f>IFERROR(__xludf.DUMMYFUNCTION("""COMPUTED_VALUE"""),"Test Driver")</f>
        <v>Test Driver</v>
      </c>
      <c r="F366" s="5">
        <f>IFERROR(__xludf.DUMMYFUNCTION("""COMPUTED_VALUE"""),0.006944444444444444)</f>
        <v>0.006944444444</v>
      </c>
      <c r="G366" s="5" t="str">
        <f>IFERROR(__xludf.DUMMYFUNCTION("""COMPUTED_VALUE"""),"BNR32 Gr.A")</f>
        <v>BNR32 Gr.A</v>
      </c>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5"/>
      <c r="C367" s="5"/>
      <c r="D367" s="5"/>
      <c r="E367" s="5" t="str">
        <f>IFERROR(__xludf.DUMMYFUNCTION("""COMPUTED_VALUE"""),"Test Driver")</f>
        <v>Test Driver</v>
      </c>
      <c r="F367" s="5">
        <f>IFERROR(__xludf.DUMMYFUNCTION("""COMPUTED_VALUE"""),0.006944444444444444)</f>
        <v>0.006944444444</v>
      </c>
      <c r="G367" s="5" t="str">
        <f>IFERROR(__xludf.DUMMYFUNCTION("""COMPUTED_VALUE"""),"DC2 (Integra)")</f>
        <v>DC2 (Integra)</v>
      </c>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5"/>
      <c r="C368" s="5"/>
      <c r="D368" s="5"/>
      <c r="E368" s="5" t="str">
        <f>IFERROR(__xludf.DUMMYFUNCTION("""COMPUTED_VALUE"""),"Test Driver")</f>
        <v>Test Driver</v>
      </c>
      <c r="F368" s="5">
        <f>IFERROR(__xludf.DUMMYFUNCTION("""COMPUTED_VALUE"""),0.006944444444444444)</f>
        <v>0.006944444444</v>
      </c>
      <c r="G368" s="5" t="str">
        <f>IFERROR(__xludf.DUMMYFUNCTION("""COMPUTED_VALUE"""),"FD3S (RX7)")</f>
        <v>FD3S (RX7)</v>
      </c>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5"/>
      <c r="C369" s="5"/>
      <c r="D369" s="5"/>
      <c r="E369" s="5" t="str">
        <f>IFERROR(__xludf.DUMMYFUNCTION("""COMPUTED_VALUE"""),"Test Driver")</f>
        <v>Test Driver</v>
      </c>
      <c r="F369" s="5">
        <f>IFERROR(__xludf.DUMMYFUNCTION("""COMPUTED_VALUE"""),0.006944444444444444)</f>
        <v>0.006944444444</v>
      </c>
      <c r="G369" s="5" t="str">
        <f>IFERROR(__xludf.DUMMYFUNCTION("""COMPUTED_VALUE"""),"R35N3")</f>
        <v>R35N3</v>
      </c>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5"/>
      <c r="C370" s="5"/>
      <c r="D370" s="5"/>
      <c r="E370" s="5" t="str">
        <f>IFERROR(__xludf.DUMMYFUNCTION("""COMPUTED_VALUE"""),"Test Driver")</f>
        <v>Test Driver</v>
      </c>
      <c r="F370" s="5">
        <f>IFERROR(__xludf.DUMMYFUNCTION("""COMPUTED_VALUE"""),0.006944444444444444)</f>
        <v>0.006944444444</v>
      </c>
      <c r="G370" s="5" t="str">
        <f>IFERROR(__xludf.DUMMYFUNCTION("""COMPUTED_VALUE"""),"R35T")</f>
        <v>R35T</v>
      </c>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5"/>
      <c r="C371" s="5"/>
      <c r="D371" s="5"/>
      <c r="E371" s="5" t="str">
        <f>IFERROR(__xludf.DUMMYFUNCTION("""COMPUTED_VALUE"""),"Test Driver")</f>
        <v>Test Driver</v>
      </c>
      <c r="F371" s="5">
        <f>IFERROR(__xludf.DUMMYFUNCTION("""COMPUTED_VALUE"""),0.006944444444444444)</f>
        <v>0.006944444444</v>
      </c>
      <c r="G371" s="5" t="str">
        <f>IFERROR(__xludf.DUMMYFUNCTION("""COMPUTED_VALUE"""),"AP1 (S2000)")</f>
        <v>AP1 (S2000)</v>
      </c>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row>
    <row r="373">
      <c r="A373" s="29" t="s">
        <v>94</v>
      </c>
      <c r="E373" s="29" t="s">
        <v>95</v>
      </c>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row>
    <row r="374">
      <c r="A374" s="11" t="str">
        <f>IFERROR(__xludf.DUMMYFUNCTION("LET(
  賽道, ""Tsukuba"",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374" s="11" t="str">
        <f>IFERROR(__xludf.DUMMYFUNCTION("""COMPUTED_VALUE"""),"Time時間")</f>
        <v>Time時間</v>
      </c>
      <c r="C374" s="11" t="str">
        <f>IFERROR(__xludf.DUMMYFUNCTION("""COMPUTED_VALUE"""),"Car車種")</f>
        <v>Car車種</v>
      </c>
      <c r="D374" s="11" t="str">
        <f>IFERROR(__xludf.DUMMYFUNCTION("""COMPUTED_VALUE"""),"Platform平台")</f>
        <v>Platform平台</v>
      </c>
      <c r="E374" s="11" t="str">
        <f>IFERROR(__xludf.DUMMYFUNCTION("LET(
  賽道, ""Tsukuba"",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374" s="11" t="str">
        <f>IFERROR(__xludf.DUMMYFUNCTION("""COMPUTED_VALUE"""),"Time時間")</f>
        <v>Time時間</v>
      </c>
      <c r="G374" s="11" t="str">
        <f>IFERROR(__xludf.DUMMYFUNCTION("""COMPUTED_VALUE"""),"Car車種")</f>
        <v>Car車種</v>
      </c>
      <c r="H374" s="11" t="str">
        <f>IFERROR(__xludf.DUMMYFUNCTION("""COMPUTED_VALUE"""),"Platform平台")</f>
        <v>Platform平台</v>
      </c>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row>
    <row r="375">
      <c r="A375" s="5" t="str">
        <f>IFERROR(__xludf.DUMMYFUNCTION("""COMPUTED_VALUE"""),"Lolidia")</f>
        <v>Lolidia</v>
      </c>
      <c r="B375" s="5">
        <f>IFERROR(__xludf.DUMMYFUNCTION("""COMPUTED_VALUE"""),0.0011308796296296297)</f>
        <v>0.00113087963</v>
      </c>
      <c r="C375" s="5" t="str">
        <f>IFERROR(__xludf.DUMMYFUNCTION("""COMPUTED_VALUE"""),"AE86T")</f>
        <v>AE86T</v>
      </c>
      <c r="D375" s="5" t="str">
        <f>IFERROR(__xludf.DUMMYFUNCTION("""COMPUTED_VALUE"""),"PCVR")</f>
        <v>PCVR</v>
      </c>
      <c r="E375" s="5" t="str">
        <f>IFERROR(__xludf.DUMMYFUNCTION("""COMPUTED_VALUE"""),"Lolidia")</f>
        <v>Lolidia</v>
      </c>
      <c r="F375" s="5">
        <f>IFERROR(__xludf.DUMMYFUNCTION("""COMPUTED_VALUE"""),0.0012160532407407406)</f>
        <v>0.001216053241</v>
      </c>
      <c r="G375" s="5" t="str">
        <f>IFERROR(__xludf.DUMMYFUNCTION("""COMPUTED_VALUE"""),"EK9 (Civic Type-R)")</f>
        <v>EK9 (Civic Type-R)</v>
      </c>
      <c r="H375" s="5" t="str">
        <f>IFERROR(__xludf.DUMMYFUNCTION("""COMPUTED_VALUE"""),"PCVR")</f>
        <v>PCVR</v>
      </c>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row>
    <row r="376">
      <c r="A376" s="5" t="str">
        <f>IFERROR(__xludf.DUMMYFUNCTION("""COMPUTED_VALUE"""),"Lolidia")</f>
        <v>Lolidia</v>
      </c>
      <c r="B376" s="5">
        <f>IFERROR(__xludf.DUMMYFUNCTION("""COMPUTED_VALUE"""),0.001134363425925926)</f>
        <v>0.001134363426</v>
      </c>
      <c r="C376" s="5" t="str">
        <f>IFERROR(__xludf.DUMMYFUNCTION("""COMPUTED_VALUE"""),"EK9 (Civic Type-R)")</f>
        <v>EK9 (Civic Type-R)</v>
      </c>
      <c r="D376" s="5" t="str">
        <f>IFERROR(__xludf.DUMMYFUNCTION("""COMPUTED_VALUE"""),"PCVR")</f>
        <v>PCVR</v>
      </c>
      <c r="E376" s="5" t="str">
        <f>IFERROR(__xludf.DUMMYFUNCTION("""COMPUTED_VALUE"""),"ikuhopen")</f>
        <v>ikuhopen</v>
      </c>
      <c r="F376" s="5">
        <f>IFERROR(__xludf.DUMMYFUNCTION("""COMPUTED_VALUE"""),0.0012766435185185185)</f>
        <v>0.001276643519</v>
      </c>
      <c r="G376" s="5" t="str">
        <f>IFERROR(__xludf.DUMMYFUNCTION("""COMPUTED_VALUE"""),"GDB-F (Impreza WRX STi)")</f>
        <v>GDB-F (Impreza WRX STi)</v>
      </c>
      <c r="H376" s="5" t="str">
        <f>IFERROR(__xludf.DUMMYFUNCTION("""COMPUTED_VALUE"""),"PCVR")</f>
        <v>PCVR</v>
      </c>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row>
    <row r="377">
      <c r="A377" s="5" t="str">
        <f>IFERROR(__xludf.DUMMYFUNCTION("""COMPUTED_VALUE"""),"LinWu_05")</f>
        <v>LinWu_05</v>
      </c>
      <c r="B377" s="5">
        <f>IFERROR(__xludf.DUMMYFUNCTION("""COMPUTED_VALUE"""),0.0012330208333333334)</f>
        <v>0.001233020833</v>
      </c>
      <c r="C377" s="5" t="str">
        <f>IFERROR(__xludf.DUMMYFUNCTION("""COMPUTED_VALUE"""),"BNR34")</f>
        <v>BNR34</v>
      </c>
      <c r="D377" s="5" t="str">
        <f>IFERROR(__xludf.DUMMYFUNCTION("""COMPUTED_VALUE"""),"PC")</f>
        <v>PC</v>
      </c>
      <c r="E377" s="5" t="str">
        <f>IFERROR(__xludf.DUMMYFUNCTION("""COMPUTED_VALUE"""),"LinWu_05")</f>
        <v>LinWu_05</v>
      </c>
      <c r="F377" s="5">
        <f>IFERROR(__xludf.DUMMYFUNCTION("""COMPUTED_VALUE"""),0.0013437500000000001)</f>
        <v>0.00134375</v>
      </c>
      <c r="G377" s="5" t="str">
        <f>IFERROR(__xludf.DUMMYFUNCTION("""COMPUTED_VALUE"""),"BNR34")</f>
        <v>BNR34</v>
      </c>
      <c r="H377" s="5" t="str">
        <f>IFERROR(__xludf.DUMMYFUNCTION("""COMPUTED_VALUE"""),"PC")</f>
        <v>PC</v>
      </c>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row>
    <row r="378">
      <c r="A378" s="5" t="str">
        <f>IFERROR(__xludf.DUMMYFUNCTION("""COMPUTED_VALUE"""),"Test Driver")</f>
        <v>Test Driver</v>
      </c>
      <c r="B378" s="5">
        <f>IFERROR(__xludf.DUMMYFUNCTION("""COMPUTED_VALUE"""),0.006944444444444444)</f>
        <v>0.006944444444</v>
      </c>
      <c r="C378" s="5" t="str">
        <f>IFERROR(__xludf.DUMMYFUNCTION("""COMPUTED_VALUE"""),"GDB-F (Impreza WRX STi)")</f>
        <v>GDB-F (Impreza WRX STi)</v>
      </c>
      <c r="D378" s="5"/>
      <c r="E378" s="5" t="str">
        <f>IFERROR(__xludf.DUMMYFUNCTION("""COMPUTED_VALUE"""),"StarRiver Arts")</f>
        <v>StarRiver Arts</v>
      </c>
      <c r="F378" s="5">
        <f>IFERROR(__xludf.DUMMYFUNCTION("""COMPUTED_VALUE"""),0.0014099189814814814)</f>
        <v>0.001409918981</v>
      </c>
      <c r="G378" s="5" t="str">
        <f>IFERROR(__xludf.DUMMYFUNCTION("""COMPUTED_VALUE"""),"AE86T")</f>
        <v>AE86T</v>
      </c>
      <c r="H378" s="5" t="str">
        <f>IFERROR(__xludf.DUMMYFUNCTION("""COMPUTED_VALUE"""),"PC")</f>
        <v>PC</v>
      </c>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row>
    <row r="379">
      <c r="A379" s="5" t="str">
        <f>IFERROR(__xludf.DUMMYFUNCTION("""COMPUTED_VALUE"""),"Test Driver")</f>
        <v>Test Driver</v>
      </c>
      <c r="B379" s="5">
        <f>IFERROR(__xludf.DUMMYFUNCTION("""COMPUTED_VALUE"""),0.006944444444444444)</f>
        <v>0.006944444444</v>
      </c>
      <c r="C379" s="5" t="str">
        <f>IFERROR(__xludf.DUMMYFUNCTION("""COMPUTED_VALUE"""),"BNR32 Gr.A")</f>
        <v>BNR32 Gr.A</v>
      </c>
      <c r="D379" s="5"/>
      <c r="E379" s="5" t="str">
        <f>IFERROR(__xludf.DUMMYFUNCTION("""COMPUTED_VALUE"""),"Test Driver")</f>
        <v>Test Driver</v>
      </c>
      <c r="F379" s="5">
        <f>IFERROR(__xludf.DUMMYFUNCTION("""COMPUTED_VALUE"""),0.006944444444444444)</f>
        <v>0.006944444444</v>
      </c>
      <c r="G379" s="5" t="str">
        <f>IFERROR(__xludf.DUMMYFUNCTION("""COMPUTED_VALUE"""),"R35 Nismo")</f>
        <v>R35 Nismo</v>
      </c>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row>
    <row r="380">
      <c r="A380" s="5" t="str">
        <f>IFERROR(__xludf.DUMMYFUNCTION("""COMPUTED_VALUE"""),"Test Driver")</f>
        <v>Test Driver</v>
      </c>
      <c r="B380" s="5">
        <f>IFERROR(__xludf.DUMMYFUNCTION("""COMPUTED_VALUE"""),0.006944444444444444)</f>
        <v>0.006944444444</v>
      </c>
      <c r="C380" s="5" t="str">
        <f>IFERROR(__xludf.DUMMYFUNCTION("""COMPUTED_VALUE"""),"DC2 (Integra)")</f>
        <v>DC2 (Integra)</v>
      </c>
      <c r="D380" s="5"/>
      <c r="E380" s="5" t="str">
        <f>IFERROR(__xludf.DUMMYFUNCTION("""COMPUTED_VALUE"""),"Test Driver")</f>
        <v>Test Driver</v>
      </c>
      <c r="F380" s="5">
        <f>IFERROR(__xludf.DUMMYFUNCTION("""COMPUTED_VALUE"""),0.006944444444444444)</f>
        <v>0.006944444444</v>
      </c>
      <c r="G380" s="5" t="str">
        <f>IFERROR(__xludf.DUMMYFUNCTION("""COMPUTED_VALUE"""),"DB42 (GR Supra)")</f>
        <v>DB42 (GR Supra)</v>
      </c>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row>
    <row r="381">
      <c r="A381" s="5" t="str">
        <f>IFERROR(__xludf.DUMMYFUNCTION("""COMPUTED_VALUE"""),"Test Driver")</f>
        <v>Test Driver</v>
      </c>
      <c r="B381" s="5">
        <f>IFERROR(__xludf.DUMMYFUNCTION("""COMPUTED_VALUE"""),0.006944444444444444)</f>
        <v>0.006944444444</v>
      </c>
      <c r="C381" s="5" t="str">
        <f>IFERROR(__xludf.DUMMYFUNCTION("""COMPUTED_VALUE"""),"FD3S (RX7)")</f>
        <v>FD3S (RX7)</v>
      </c>
      <c r="D381" s="5"/>
      <c r="E381" s="5" t="str">
        <f>IFERROR(__xludf.DUMMYFUNCTION("""COMPUTED_VALUE"""),"Test Driver")</f>
        <v>Test Driver</v>
      </c>
      <c r="F381" s="5">
        <f>IFERROR(__xludf.DUMMYFUNCTION("""COMPUTED_VALUE"""),0.006944444444444444)</f>
        <v>0.006944444444</v>
      </c>
      <c r="G381" s="5" t="str">
        <f>IFERROR(__xludf.DUMMYFUNCTION("""COMPUTED_VALUE"""),"BNR32 Gr.A")</f>
        <v>BNR32 Gr.A</v>
      </c>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row>
    <row r="382">
      <c r="A382" s="5" t="str">
        <f>IFERROR(__xludf.DUMMYFUNCTION("""COMPUTED_VALUE"""),"Test Driver")</f>
        <v>Test Driver</v>
      </c>
      <c r="B382" s="5">
        <f>IFERROR(__xludf.DUMMYFUNCTION("""COMPUTED_VALUE"""),0.006944444444444444)</f>
        <v>0.006944444444</v>
      </c>
      <c r="C382" s="5" t="str">
        <f>IFERROR(__xludf.DUMMYFUNCTION("""COMPUTED_VALUE"""),"R35N3")</f>
        <v>R35N3</v>
      </c>
      <c r="D382" s="5"/>
      <c r="E382" s="5" t="str">
        <f>IFERROR(__xludf.DUMMYFUNCTION("""COMPUTED_VALUE"""),"Test Driver")</f>
        <v>Test Driver</v>
      </c>
      <c r="F382" s="5">
        <f>IFERROR(__xludf.DUMMYFUNCTION("""COMPUTED_VALUE"""),0.006944444444444444)</f>
        <v>0.006944444444</v>
      </c>
      <c r="G382" s="5" t="str">
        <f>IFERROR(__xludf.DUMMYFUNCTION("""COMPUTED_VALUE"""),"DC2 (Integra)")</f>
        <v>DC2 (Integra)</v>
      </c>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row>
    <row r="383">
      <c r="A383" s="5" t="str">
        <f>IFERROR(__xludf.DUMMYFUNCTION("""COMPUTED_VALUE"""),"Test Driver")</f>
        <v>Test Driver</v>
      </c>
      <c r="B383" s="5">
        <f>IFERROR(__xludf.DUMMYFUNCTION("""COMPUTED_VALUE"""),0.006944444444444444)</f>
        <v>0.006944444444</v>
      </c>
      <c r="C383" s="5" t="str">
        <f>IFERROR(__xludf.DUMMYFUNCTION("""COMPUTED_VALUE"""),"R35T")</f>
        <v>R35T</v>
      </c>
      <c r="D383" s="5"/>
      <c r="E383" s="5" t="str">
        <f>IFERROR(__xludf.DUMMYFUNCTION("""COMPUTED_VALUE"""),"Test Driver")</f>
        <v>Test Driver</v>
      </c>
      <c r="F383" s="5">
        <f>IFERROR(__xludf.DUMMYFUNCTION("""COMPUTED_VALUE"""),0.006944444444444444)</f>
        <v>0.006944444444</v>
      </c>
      <c r="G383" s="5" t="str">
        <f>IFERROR(__xludf.DUMMYFUNCTION("""COMPUTED_VALUE"""),"FD3S (RX7)")</f>
        <v>FD3S (RX7)</v>
      </c>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row>
    <row r="384">
      <c r="A384" s="5" t="str">
        <f>IFERROR(__xludf.DUMMYFUNCTION("""COMPUTED_VALUE"""),"Test Driver")</f>
        <v>Test Driver</v>
      </c>
      <c r="B384" s="5">
        <f>IFERROR(__xludf.DUMMYFUNCTION("""COMPUTED_VALUE"""),0.006944444444444444)</f>
        <v>0.006944444444</v>
      </c>
      <c r="C384" s="5" t="str">
        <f>IFERROR(__xludf.DUMMYFUNCTION("""COMPUTED_VALUE"""),"AP1 (S2000)")</f>
        <v>AP1 (S2000)</v>
      </c>
      <c r="D384" s="5"/>
      <c r="E384" s="5" t="str">
        <f>IFERROR(__xludf.DUMMYFUNCTION("""COMPUTED_VALUE"""),"Test Driver")</f>
        <v>Test Driver</v>
      </c>
      <c r="F384" s="5">
        <f>IFERROR(__xludf.DUMMYFUNCTION("""COMPUTED_VALUE"""),0.006944444444444444)</f>
        <v>0.006944444444</v>
      </c>
      <c r="G384" s="5" t="str">
        <f>IFERROR(__xludf.DUMMYFUNCTION("""COMPUTED_VALUE"""),"R35N3")</f>
        <v>R35N3</v>
      </c>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row>
    <row r="385">
      <c r="A385" s="5" t="str">
        <f>IFERROR(__xludf.DUMMYFUNCTION("""COMPUTED_VALUE"""),"Test Driver")</f>
        <v>Test Driver</v>
      </c>
      <c r="B385" s="5">
        <f>IFERROR(__xludf.DUMMYFUNCTION("""COMPUTED_VALUE"""),0.006944444444444444)</f>
        <v>0.006944444444</v>
      </c>
      <c r="C385" s="5" t="str">
        <f>IFERROR(__xludf.DUMMYFUNCTION("""COMPUTED_VALUE"""),"R35 Nismo")</f>
        <v>R35 Nismo</v>
      </c>
      <c r="D385" s="5"/>
      <c r="E385" s="5" t="str">
        <f>IFERROR(__xludf.DUMMYFUNCTION("""COMPUTED_VALUE"""),"Test Driver")</f>
        <v>Test Driver</v>
      </c>
      <c r="F385" s="5">
        <f>IFERROR(__xludf.DUMMYFUNCTION("""COMPUTED_VALUE"""),0.006944444444444444)</f>
        <v>0.006944444444</v>
      </c>
      <c r="G385" s="5" t="str">
        <f>IFERROR(__xludf.DUMMYFUNCTION("""COMPUTED_VALUE"""),"R35T")</f>
        <v>R35T</v>
      </c>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row>
    <row r="386">
      <c r="A386" s="5" t="str">
        <f>IFERROR(__xludf.DUMMYFUNCTION("""COMPUTED_VALUE"""),"Test Driver")</f>
        <v>Test Driver</v>
      </c>
      <c r="B386" s="5">
        <f>IFERROR(__xludf.DUMMYFUNCTION("""COMPUTED_VALUE"""),0.006944444444444444)</f>
        <v>0.006944444444</v>
      </c>
      <c r="C386" s="5" t="str">
        <f>IFERROR(__xludf.DUMMYFUNCTION("""COMPUTED_VALUE"""),"DB42 (GR Supra)")</f>
        <v>DB42 (GR Supra)</v>
      </c>
      <c r="D386" s="5"/>
      <c r="E386" s="5" t="str">
        <f>IFERROR(__xludf.DUMMYFUNCTION("""COMPUTED_VALUE"""),"Test Driver")</f>
        <v>Test Driver</v>
      </c>
      <c r="F386" s="5">
        <f>IFERROR(__xludf.DUMMYFUNCTION("""COMPUTED_VALUE"""),0.006944444444444444)</f>
        <v>0.006944444444</v>
      </c>
      <c r="G386" s="5" t="str">
        <f>IFERROR(__xludf.DUMMYFUNCTION("""COMPUTED_VALUE"""),"AP1 (S2000)")</f>
        <v>AP1 (S2000)</v>
      </c>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row>
    <row r="388">
      <c r="A388" s="29" t="s">
        <v>115</v>
      </c>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row>
    <row r="389">
      <c r="A389" s="11" t="str">
        <f>IFERROR(__xludf.DUMMYFUNCTION("LET(
  賽道, ""Tsukuba"",
  路線, ""Double"",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B389" s="11" t="str">
        <f>IFERROR(__xludf.DUMMYFUNCTION("""COMPUTED_VALUE"""),"Time時間")</f>
        <v>Time時間</v>
      </c>
      <c r="C389" s="11" t="str">
        <f>IFERROR(__xludf.DUMMYFUNCTION("""COMPUTED_VALUE"""),"Car車種")</f>
        <v>Car車種</v>
      </c>
      <c r="D389" s="11" t="str">
        <f>IFERROR(__xludf.DUMMYFUNCTION("""COMPUTED_VALUE"""),"Platform平台")</f>
        <v>Platform平台</v>
      </c>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row>
    <row r="390">
      <c r="A390" s="27" t="str">
        <f>IFERROR(__xludf.DUMMYFUNCTION("""COMPUTED_VALUE"""),"Lolidia")</f>
        <v>Lolidia</v>
      </c>
      <c r="B390" s="5">
        <f>IFERROR(__xludf.DUMMYFUNCTION("""COMPUTED_VALUE"""),0.0023803935185185182)</f>
        <v>0.002380393519</v>
      </c>
      <c r="C390" s="5" t="str">
        <f>IFERROR(__xludf.DUMMYFUNCTION("""COMPUTED_VALUE"""),"AE86T")</f>
        <v>AE86T</v>
      </c>
      <c r="D390" s="5" t="str">
        <f>IFERROR(__xludf.DUMMYFUNCTION("""COMPUTED_VALUE"""),"PCVR")</f>
        <v>PCVR</v>
      </c>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row>
    <row r="391">
      <c r="A391" s="5" t="str">
        <f>IFERROR(__xludf.DUMMYFUNCTION("""COMPUTED_VALUE"""),"Kinokono_Tenka")</f>
        <v>Kinokono_Tenka</v>
      </c>
      <c r="B391" s="5">
        <f>IFERROR(__xludf.DUMMYFUNCTION("""COMPUTED_VALUE"""),0.002527164351851852)</f>
        <v>0.002527164352</v>
      </c>
      <c r="C391" s="5" t="str">
        <f>IFERROR(__xludf.DUMMYFUNCTION("""COMPUTED_VALUE"""),"EK9 (Civic Type-R)")</f>
        <v>EK9 (Civic Type-R)</v>
      </c>
      <c r="D391" s="5" t="str">
        <f>IFERROR(__xludf.DUMMYFUNCTION("""COMPUTED_VALUE"""),"PCVR")</f>
        <v>PCVR</v>
      </c>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row>
    <row r="392">
      <c r="A392" s="5" t="str">
        <f>IFERROR(__xludf.DUMMYFUNCTION("""COMPUTED_VALUE"""),"Yune")</f>
        <v>Yune</v>
      </c>
      <c r="B392" s="5">
        <f>IFERROR(__xludf.DUMMYFUNCTION("""COMPUTED_VALUE"""),0.002537037037037037)</f>
        <v>0.002537037037</v>
      </c>
      <c r="C392" s="5" t="str">
        <f>IFERROR(__xludf.DUMMYFUNCTION("""COMPUTED_VALUE"""),"BNR32 Gr.A")</f>
        <v>BNR32 Gr.A</v>
      </c>
      <c r="D392" s="5" t="str">
        <f>IFERROR(__xludf.DUMMYFUNCTION("""COMPUTED_VALUE"""),"PC")</f>
        <v>PC</v>
      </c>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row>
    <row r="393">
      <c r="A393" s="5" t="str">
        <f>IFERROR(__xludf.DUMMYFUNCTION("""COMPUTED_VALUE"""),"Kinokono_Tenka")</f>
        <v>Kinokono_Tenka</v>
      </c>
      <c r="B393" s="5">
        <f>IFERROR(__xludf.DUMMYFUNCTION("""COMPUTED_VALUE"""),0.0025760300925925924)</f>
        <v>0.002576030093</v>
      </c>
      <c r="C393" s="5" t="str">
        <f>IFERROR(__xludf.DUMMYFUNCTION("""COMPUTED_VALUE"""),"GDB-F (Impreza WRX STi)")</f>
        <v>GDB-F (Impreza WRX STi)</v>
      </c>
      <c r="D393" s="5" t="str">
        <f>IFERROR(__xludf.DUMMYFUNCTION("""COMPUTED_VALUE"""),"PCVR")</f>
        <v>PCVR</v>
      </c>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row>
    <row r="394">
      <c r="A394" s="5" t="str">
        <f>IFERROR(__xludf.DUMMYFUNCTION("""COMPUTED_VALUE"""),"StarRiver Arts")</f>
        <v>StarRiver Arts</v>
      </c>
      <c r="B394" s="5">
        <f>IFERROR(__xludf.DUMMYFUNCTION("""COMPUTED_VALUE"""),0.0025958680555555557)</f>
        <v>0.002595868056</v>
      </c>
      <c r="C394" s="5" t="str">
        <f>IFERROR(__xludf.DUMMYFUNCTION("""COMPUTED_VALUE"""),"BNR34")</f>
        <v>BNR34</v>
      </c>
      <c r="D394" s="5" t="str">
        <f>IFERROR(__xludf.DUMMYFUNCTION("""COMPUTED_VALUE"""),"PC")</f>
        <v>PC</v>
      </c>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row>
    <row r="395">
      <c r="A395" s="5" t="str">
        <f>IFERROR(__xludf.DUMMYFUNCTION("""COMPUTED_VALUE"""),"StarRiver Arts")</f>
        <v>StarRiver Arts</v>
      </c>
      <c r="B395" s="5">
        <f>IFERROR(__xludf.DUMMYFUNCTION("""COMPUTED_VALUE"""),0.002624039351851852)</f>
        <v>0.002624039352</v>
      </c>
      <c r="C395" s="5" t="str">
        <f>IFERROR(__xludf.DUMMYFUNCTION("""COMPUTED_VALUE"""),"DC2 (Integra)")</f>
        <v>DC2 (Integra)</v>
      </c>
      <c r="D395" s="5" t="str">
        <f>IFERROR(__xludf.DUMMYFUNCTION("""COMPUTED_VALUE"""),"PC")</f>
        <v>PC</v>
      </c>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row>
    <row r="396">
      <c r="A396" s="5" t="str">
        <f>IFERROR(__xludf.DUMMYFUNCTION("""COMPUTED_VALUE"""),"Yune")</f>
        <v>Yune</v>
      </c>
      <c r="B396" s="5">
        <f>IFERROR(__xludf.DUMMYFUNCTION("""COMPUTED_VALUE"""),0.002637349537037037)</f>
        <v>0.002637349537</v>
      </c>
      <c r="C396" s="5" t="str">
        <f>IFERROR(__xludf.DUMMYFUNCTION("""COMPUTED_VALUE"""),"FD3S (RX7)")</f>
        <v>FD3S (RX7)</v>
      </c>
      <c r="D396" s="5" t="str">
        <f>IFERROR(__xludf.DUMMYFUNCTION("""COMPUTED_VALUE"""),"PCVR")</f>
        <v>PCVR</v>
      </c>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row>
    <row r="397">
      <c r="A397" s="5" t="str">
        <f>IFERROR(__xludf.DUMMYFUNCTION("""COMPUTED_VALUE"""),"LinWu_05")</f>
        <v>LinWu_05</v>
      </c>
      <c r="B397" s="5">
        <f>IFERROR(__xludf.DUMMYFUNCTION("""COMPUTED_VALUE"""),0.002646412037037037)</f>
        <v>0.002646412037</v>
      </c>
      <c r="C397" s="5" t="str">
        <f>IFERROR(__xludf.DUMMYFUNCTION("""COMPUTED_VALUE"""),"R35N3")</f>
        <v>R35N3</v>
      </c>
      <c r="D397" s="5" t="str">
        <f>IFERROR(__xludf.DUMMYFUNCTION("""COMPUTED_VALUE"""),"PC")</f>
        <v>PC</v>
      </c>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row>
    <row r="398">
      <c r="A398" s="5" t="str">
        <f>IFERROR(__xludf.DUMMYFUNCTION("""COMPUTED_VALUE"""),"LinWu_05")</f>
        <v>LinWu_05</v>
      </c>
      <c r="B398" s="5">
        <f>IFERROR(__xludf.DUMMYFUNCTION("""COMPUTED_VALUE"""),0.002672650462962963)</f>
        <v>0.002672650463</v>
      </c>
      <c r="C398" s="5" t="str">
        <f>IFERROR(__xludf.DUMMYFUNCTION("""COMPUTED_VALUE"""),"R35T")</f>
        <v>R35T</v>
      </c>
      <c r="D398" s="5" t="str">
        <f>IFERROR(__xludf.DUMMYFUNCTION("""COMPUTED_VALUE"""),"PC")</f>
        <v>PC</v>
      </c>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row>
    <row r="399">
      <c r="A399" s="5" t="str">
        <f>IFERROR(__xludf.DUMMYFUNCTION("""COMPUTED_VALUE"""),"Sakanakokokoko")</f>
        <v>Sakanakokokoko</v>
      </c>
      <c r="B399" s="5">
        <f>IFERROR(__xludf.DUMMYFUNCTION("""COMPUTED_VALUE"""),0.0029525462962962964)</f>
        <v>0.002952546296</v>
      </c>
      <c r="C399" s="5" t="str">
        <f>IFERROR(__xludf.DUMMYFUNCTION("""COMPUTED_VALUE"""),"AP1 (S2000)")</f>
        <v>AP1 (S2000)</v>
      </c>
      <c r="D399" s="5" t="str">
        <f>IFERROR(__xludf.DUMMYFUNCTION("""COMPUTED_VALUE"""),"PC")</f>
        <v>PC</v>
      </c>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row>
    <row r="400">
      <c r="A400" s="5" t="str">
        <f>IFERROR(__xludf.DUMMYFUNCTION("""COMPUTED_VALUE"""),"Test Driver")</f>
        <v>Test Driver</v>
      </c>
      <c r="B400" s="5">
        <f>IFERROR(__xludf.DUMMYFUNCTION("""COMPUTED_VALUE"""),0.006944444444444444)</f>
        <v>0.006944444444</v>
      </c>
      <c r="C400" s="5" t="str">
        <f>IFERROR(__xludf.DUMMYFUNCTION("""COMPUTED_VALUE"""),"R35 Nismo")</f>
        <v>R35 Nismo</v>
      </c>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row>
    <row r="401">
      <c r="A401" s="5" t="str">
        <f>IFERROR(__xludf.DUMMYFUNCTION("""COMPUTED_VALUE"""),"Test Driver")</f>
        <v>Test Driver</v>
      </c>
      <c r="B401" s="5">
        <f>IFERROR(__xludf.DUMMYFUNCTION("""COMPUTED_VALUE"""),0.006944444444444444)</f>
        <v>0.006944444444</v>
      </c>
      <c r="C401" s="5" t="str">
        <f>IFERROR(__xludf.DUMMYFUNCTION("""COMPUTED_VALUE"""),"DB42 (GR Supra)")</f>
        <v>DB42 (GR Supra)</v>
      </c>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row>
    <row r="403">
      <c r="A403" s="53" t="s">
        <v>97</v>
      </c>
      <c r="E403" s="53" t="s">
        <v>98</v>
      </c>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row>
    <row r="404">
      <c r="A404" s="11" t="str">
        <f>IFERROR(__xludf.DUMMYFUNCTION("LET(
  賽道, ""Shomaru"",
  路線, ""OB"",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404" s="11" t="str">
        <f>IFERROR(__xludf.DUMMYFUNCTION("""COMPUTED_VALUE"""),"Time時間")</f>
        <v>Time時間</v>
      </c>
      <c r="C404" s="11" t="str">
        <f>IFERROR(__xludf.DUMMYFUNCTION("""COMPUTED_VALUE"""),"Car車種")</f>
        <v>Car車種</v>
      </c>
      <c r="D404" s="11" t="str">
        <f>IFERROR(__xludf.DUMMYFUNCTION("""COMPUTED_VALUE"""),"Platform平台")</f>
        <v>Platform平台</v>
      </c>
      <c r="E404" s="11" t="str">
        <f>IFERROR(__xludf.DUMMYFUNCTION("LET(
  賽道, ""Shomaru"",
  路線, ""IB"",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404" s="11" t="str">
        <f>IFERROR(__xludf.DUMMYFUNCTION("""COMPUTED_VALUE"""),"Time時間")</f>
        <v>Time時間</v>
      </c>
      <c r="G404" s="11" t="str">
        <f>IFERROR(__xludf.DUMMYFUNCTION("""COMPUTED_VALUE"""),"Car車種")</f>
        <v>Car車種</v>
      </c>
      <c r="H404" s="11" t="str">
        <f>IFERROR(__xludf.DUMMYFUNCTION("""COMPUTED_VALUE"""),"Platform平台")</f>
        <v>Platform平台</v>
      </c>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row>
    <row r="405">
      <c r="A405" s="5" t="str">
        <f>IFERROR(__xludf.DUMMYFUNCTION("""COMPUTED_VALUE"""),"LinWu_05")</f>
        <v>LinWu_05</v>
      </c>
      <c r="B405" s="5">
        <f>IFERROR(__xludf.DUMMYFUNCTION("""COMPUTED_VALUE"""),0.002636377314814815)</f>
        <v>0.002636377315</v>
      </c>
      <c r="C405" s="5" t="str">
        <f>IFERROR(__xludf.DUMMYFUNCTION("""COMPUTED_VALUE"""),"EA11R (Cappuccino)")</f>
        <v>EA11R (Cappuccino)</v>
      </c>
      <c r="D405" s="5" t="str">
        <f>IFERROR(__xludf.DUMMYFUNCTION("""COMPUTED_VALUE"""),"PC")</f>
        <v>PC</v>
      </c>
      <c r="E405" s="5" t="str">
        <f>IFERROR(__xludf.DUMMYFUNCTION("""COMPUTED_VALUE"""),"StarRiver Arts")</f>
        <v>StarRiver Arts</v>
      </c>
      <c r="F405" s="5">
        <f>IFERROR(__xludf.DUMMYFUNCTION("""COMPUTED_VALUE"""),0.002908368055555555)</f>
        <v>0.002908368056</v>
      </c>
      <c r="G405" s="5" t="str">
        <f>IFERROR(__xludf.DUMMYFUNCTION("""COMPUTED_VALUE"""),"EA11R (Cappuccino)")</f>
        <v>EA11R (Cappuccino)</v>
      </c>
      <c r="H405" s="5" t="str">
        <f>IFERROR(__xludf.DUMMYFUNCTION("""COMPUTED_VALUE"""),"PC")</f>
        <v>PC</v>
      </c>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row>
    <row r="406">
      <c r="A406" s="5" t="str">
        <f>IFERROR(__xludf.DUMMYFUNCTION("""COMPUTED_VALUE"""),"アビドサスヒカリ")</f>
        <v>アビドサスヒカリ</v>
      </c>
      <c r="B406" s="5">
        <f>IFERROR(__xludf.DUMMYFUNCTION("""COMPUTED_VALUE"""),0.0026850462962962965)</f>
        <v>0.002685046296</v>
      </c>
      <c r="C406" s="5" t="str">
        <f>IFERROR(__xludf.DUMMYFUNCTION("""COMPUTED_VALUE"""),"GT86/ZN6")</f>
        <v>GT86/ZN6</v>
      </c>
      <c r="D406" s="5" t="str">
        <f>IFERROR(__xludf.DUMMYFUNCTION("""COMPUTED_VALUE"""),"PC")</f>
        <v>PC</v>
      </c>
      <c r="E406" s="5" t="str">
        <f>IFERROR(__xludf.DUMMYFUNCTION("""COMPUTED_VALUE"""),"Test Driver")</f>
        <v>Test Driver</v>
      </c>
      <c r="F406" s="5">
        <f>IFERROR(__xludf.DUMMYFUNCTION("""COMPUTED_VALUE"""),0.006944444444444444)</f>
        <v>0.006944444444</v>
      </c>
      <c r="G406" s="5" t="str">
        <f>IFERROR(__xludf.DUMMYFUNCTION("""COMPUTED_VALUE"""),"GT86/ZN6")</f>
        <v>GT86/ZN6</v>
      </c>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row>
    <row r="407">
      <c r="A407" s="5" t="str">
        <f>IFERROR(__xludf.DUMMYFUNCTION("""COMPUTED_VALUE"""),"Test Driver")</f>
        <v>Test Driver</v>
      </c>
      <c r="B407" s="5">
        <f>IFERROR(__xludf.DUMMYFUNCTION("""COMPUTED_VALUE"""),0.006944444444444444)</f>
        <v>0.006944444444</v>
      </c>
      <c r="C407" s="5" t="str">
        <f>IFERROR(__xludf.DUMMYFUNCTION("""COMPUTED_VALUE"""),"AE86T-V2")</f>
        <v>AE86T-V2</v>
      </c>
      <c r="D407" s="5"/>
      <c r="E407" s="5" t="str">
        <f>IFERROR(__xludf.DUMMYFUNCTION("""COMPUTED_VALUE"""),"Test Driver")</f>
        <v>Test Driver</v>
      </c>
      <c r="F407" s="5">
        <f>IFERROR(__xludf.DUMMYFUNCTION("""COMPUTED_VALUE"""),0.006944444444444444)</f>
        <v>0.006944444444</v>
      </c>
      <c r="G407" s="5" t="str">
        <f>IFERROR(__xludf.DUMMYFUNCTION("""COMPUTED_VALUE"""),"AE86T-V2")</f>
        <v>AE86T-V2</v>
      </c>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row>
    <row r="408">
      <c r="A408" s="5" t="str">
        <f>IFERROR(__xludf.DUMMYFUNCTION("""COMPUTED_VALUE"""),"Test Driver")</f>
        <v>Test Driver</v>
      </c>
      <c r="B408" s="5">
        <f>IFERROR(__xludf.DUMMYFUNCTION("""COMPUTED_VALUE"""),0.006944444444444444)</f>
        <v>0.006944444444</v>
      </c>
      <c r="C408" s="5" t="str">
        <f>IFERROR(__xludf.DUMMYFUNCTION("""COMPUTED_VALUE"""),"AE86L-V2")</f>
        <v>AE86L-V2</v>
      </c>
      <c r="D408" s="5"/>
      <c r="E408" s="5" t="str">
        <f>IFERROR(__xludf.DUMMYFUNCTION("""COMPUTED_VALUE"""),"Test Driver")</f>
        <v>Test Driver</v>
      </c>
      <c r="F408" s="5">
        <f>IFERROR(__xludf.DUMMYFUNCTION("""COMPUTED_VALUE"""),0.006944444444444444)</f>
        <v>0.006944444444</v>
      </c>
      <c r="G408" s="5" t="str">
        <f>IFERROR(__xludf.DUMMYFUNCTION("""COMPUTED_VALUE"""),"AE86L-V2")</f>
        <v>AE86L-V2</v>
      </c>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row>
    <row r="409">
      <c r="A409" s="5" t="str">
        <f>IFERROR(__xludf.DUMMYFUNCTION("""COMPUTED_VALUE"""),"Test Driver")</f>
        <v>Test Driver</v>
      </c>
      <c r="B409" s="5">
        <f>IFERROR(__xludf.DUMMYFUNCTION("""COMPUTED_VALUE"""),0.006944444444444444)</f>
        <v>0.006944444444</v>
      </c>
      <c r="C409" s="5" t="str">
        <f>IFERROR(__xludf.DUMMYFUNCTION("""COMPUTED_VALUE"""),"SXE10 (Altezza)")</f>
        <v>SXE10 (Altezza)</v>
      </c>
      <c r="D409" s="5"/>
      <c r="E409" s="5" t="str">
        <f>IFERROR(__xludf.DUMMYFUNCTION("""COMPUTED_VALUE"""),"Test Driver")</f>
        <v>Test Driver</v>
      </c>
      <c r="F409" s="5">
        <f>IFERROR(__xludf.DUMMYFUNCTION("""COMPUTED_VALUE"""),0.006944444444444444)</f>
        <v>0.006944444444</v>
      </c>
      <c r="G409" s="5" t="str">
        <f>IFERROR(__xludf.DUMMYFUNCTION("""COMPUTED_VALUE"""),"SXE10 (Altezza)")</f>
        <v>SXE10 (Altezza)</v>
      </c>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row>
    <row r="411">
      <c r="A411" s="53" t="s">
        <v>99</v>
      </c>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row>
    <row r="412">
      <c r="A412" s="11" t="str">
        <f>IFERROR(__xludf.DUMMYFUNCTION("LET(
  賽道, ""Shomaru"",
  路線, ""Double"",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B412" s="11" t="str">
        <f>IFERROR(__xludf.DUMMYFUNCTION("""COMPUTED_VALUE"""),"Time時間")</f>
        <v>Time時間</v>
      </c>
      <c r="C412" s="11" t="str">
        <f>IFERROR(__xludf.DUMMYFUNCTION("""COMPUTED_VALUE"""),"Car車種")</f>
        <v>Car車種</v>
      </c>
      <c r="D412" s="11" t="str">
        <f>IFERROR(__xludf.DUMMYFUNCTION("""COMPUTED_VALUE"""),"Platform平台")</f>
        <v>Platform平台</v>
      </c>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row>
    <row r="413">
      <c r="A413" s="5" t="str">
        <f>IFERROR(__xludf.DUMMYFUNCTION("""COMPUTED_VALUE"""),"StarRiver Arts")</f>
        <v>StarRiver Arts</v>
      </c>
      <c r="B413" s="5">
        <f>IFERROR(__xludf.DUMMYFUNCTION("""COMPUTED_VALUE"""),0.006263368055555555)</f>
        <v>0.006263368056</v>
      </c>
      <c r="C413" s="5" t="str">
        <f>IFERROR(__xludf.DUMMYFUNCTION("""COMPUTED_VALUE"""),"SXE10 (Altezza)")</f>
        <v>SXE10 (Altezza)</v>
      </c>
      <c r="D413" s="5" t="str">
        <f>IFERROR(__xludf.DUMMYFUNCTION("""COMPUTED_VALUE"""),"PC")</f>
        <v>PC</v>
      </c>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row>
    <row r="414">
      <c r="A414" s="5" t="str">
        <f>IFERROR(__xludf.DUMMYFUNCTION("""COMPUTED_VALUE"""),"Test Driver")</f>
        <v>Test Driver</v>
      </c>
      <c r="B414" s="5">
        <f>IFERROR(__xludf.DUMMYFUNCTION("""COMPUTED_VALUE"""),0.006944444444444444)</f>
        <v>0.006944444444</v>
      </c>
      <c r="C414" s="5" t="str">
        <f>IFERROR(__xludf.DUMMYFUNCTION("""COMPUTED_VALUE"""),"GT86/ZN6")</f>
        <v>GT86/ZN6</v>
      </c>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row>
    <row r="415">
      <c r="A415" s="5" t="str">
        <f>IFERROR(__xludf.DUMMYFUNCTION("""COMPUTED_VALUE"""),"Test Driver")</f>
        <v>Test Driver</v>
      </c>
      <c r="B415" s="5">
        <f>IFERROR(__xludf.DUMMYFUNCTION("""COMPUTED_VALUE"""),0.006944444444444444)</f>
        <v>0.006944444444</v>
      </c>
      <c r="C415" s="5" t="str">
        <f>IFERROR(__xludf.DUMMYFUNCTION("""COMPUTED_VALUE"""),"AE86T-V2")</f>
        <v>AE86T-V2</v>
      </c>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row>
    <row r="416">
      <c r="A416" s="5" t="str">
        <f>IFERROR(__xludf.DUMMYFUNCTION("""COMPUTED_VALUE"""),"Test Driver")</f>
        <v>Test Driver</v>
      </c>
      <c r="B416" s="5">
        <f>IFERROR(__xludf.DUMMYFUNCTION("""COMPUTED_VALUE"""),0.006944444444444444)</f>
        <v>0.006944444444</v>
      </c>
      <c r="C416" s="5" t="str">
        <f>IFERROR(__xludf.DUMMYFUNCTION("""COMPUTED_VALUE"""),"AE86L-V2")</f>
        <v>AE86L-V2</v>
      </c>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row>
    <row r="417">
      <c r="A417" s="5" t="str">
        <f>IFERROR(__xludf.DUMMYFUNCTION("""COMPUTED_VALUE"""),"Test Driver")</f>
        <v>Test Driver</v>
      </c>
      <c r="B417" s="5">
        <f>IFERROR(__xludf.DUMMYFUNCTION("""COMPUTED_VALUE"""),0.006944444444444444)</f>
        <v>0.006944444444</v>
      </c>
      <c r="C417" s="5" t="str">
        <f>IFERROR(__xludf.DUMMYFUNCTION("""COMPUTED_VALUE"""),"EA11R (Cappuccino)")</f>
        <v>EA11R (Cappuccino)</v>
      </c>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row>
    <row r="419">
      <c r="A419" s="54" t="s">
        <v>100</v>
      </c>
      <c r="E419" s="54" t="s">
        <v>101</v>
      </c>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row>
    <row r="420">
      <c r="A420" s="11" t="str">
        <f>IFERROR(__xludf.DUMMYFUNCTION("LET(
  賽道, ""Hakone"",
  路線, ""DH"",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420" s="11" t="str">
        <f>IFERROR(__xludf.DUMMYFUNCTION("""COMPUTED_VALUE"""),"Time時間")</f>
        <v>Time時間</v>
      </c>
      <c r="C420" s="11" t="str">
        <f>IFERROR(__xludf.DUMMYFUNCTION("""COMPUTED_VALUE"""),"Car車種")</f>
        <v>Car車種</v>
      </c>
      <c r="D420" s="11" t="str">
        <f>IFERROR(__xludf.DUMMYFUNCTION("""COMPUTED_VALUE"""),"Platform平台")</f>
        <v>Platform平台</v>
      </c>
      <c r="E420" s="11" t="str">
        <f>IFERROR(__xludf.DUMMYFUNCTION("LET(
  賽道, ""Hakone"",
  路線, ""UH"",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F420" s="11" t="str">
        <f>IFERROR(__xludf.DUMMYFUNCTION("""COMPUTED_VALUE"""),"Time時間")</f>
        <v>Time時間</v>
      </c>
      <c r="G420" s="11" t="str">
        <f>IFERROR(__xludf.DUMMYFUNCTION("""COMPUTED_VALUE"""),"Car車種")</f>
        <v>Car車種</v>
      </c>
      <c r="H420" s="11" t="str">
        <f>IFERROR(__xludf.DUMMYFUNCTION("""COMPUTED_VALUE"""),"Platform平台")</f>
        <v>Platform平台</v>
      </c>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row>
    <row r="421">
      <c r="A421" s="5" t="str">
        <f>IFERROR(__xludf.DUMMYFUNCTION("""COMPUTED_VALUE"""),"LinWu_05")</f>
        <v>LinWu_05</v>
      </c>
      <c r="B421" s="5">
        <f>IFERROR(__xludf.DUMMYFUNCTION("""COMPUTED_VALUE"""),0.002515428240740741)</f>
        <v>0.002515428241</v>
      </c>
      <c r="C421" s="5" t="str">
        <f>IFERROR(__xludf.DUMMYFUNCTION("""COMPUTED_VALUE"""),"BNR32")</f>
        <v>BNR32</v>
      </c>
      <c r="D421" s="5" t="str">
        <f>IFERROR(__xludf.DUMMYFUNCTION("""COMPUTED_VALUE"""),"PC")</f>
        <v>PC</v>
      </c>
      <c r="E421" s="5" t="str">
        <f>IFERROR(__xludf.DUMMYFUNCTION("""COMPUTED_VALUE"""),"Test Driver")</f>
        <v>Test Driver</v>
      </c>
      <c r="F421" s="5">
        <f>IFERROR(__xludf.DUMMYFUNCTION("""COMPUTED_VALUE"""),0.006944444444444444)</f>
        <v>0.006944444444</v>
      </c>
      <c r="G421" s="5" t="str">
        <f>IFERROR(__xludf.DUMMYFUNCTION("""COMPUTED_VALUE"""),"991(911 GT3)")</f>
        <v>991(911 GT3)</v>
      </c>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row>
    <row r="422">
      <c r="A422" s="5" t="str">
        <f>IFERROR(__xludf.DUMMYFUNCTION("""COMPUTED_VALUE"""),"StarRiver Arts")</f>
        <v>StarRiver Arts</v>
      </c>
      <c r="B422" s="5">
        <f>IFERROR(__xludf.DUMMYFUNCTION("""COMPUTED_VALUE"""),0.0026454513888888886)</f>
        <v>0.002645451389</v>
      </c>
      <c r="C422" s="5" t="str">
        <f>IFERROR(__xludf.DUMMYFUNCTION("""COMPUTED_VALUE"""),"FC3S")</f>
        <v>FC3S</v>
      </c>
      <c r="D422" s="5" t="str">
        <f>IFERROR(__xludf.DUMMYFUNCTION("""COMPUTED_VALUE"""),"PC")</f>
        <v>PC</v>
      </c>
      <c r="E422" s="5" t="str">
        <f>IFERROR(__xludf.DUMMYFUNCTION("""COMPUTED_VALUE"""),"Test Driver")</f>
        <v>Test Driver</v>
      </c>
      <c r="F422" s="5">
        <f>IFERROR(__xludf.DUMMYFUNCTION("""COMPUTED_VALUE"""),0.006944444444444444)</f>
        <v>0.006944444444</v>
      </c>
      <c r="G422" s="5" t="str">
        <f>IFERROR(__xludf.DUMMYFUNCTION("""COMPUTED_VALUE"""),"Z33(350Z)")</f>
        <v>Z33(350Z)</v>
      </c>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row>
    <row r="423">
      <c r="A423" s="5" t="str">
        <f>IFERROR(__xludf.DUMMYFUNCTION("""COMPUTED_VALUE"""),"Test Driver")</f>
        <v>Test Driver</v>
      </c>
      <c r="B423" s="5">
        <f>IFERROR(__xludf.DUMMYFUNCTION("""COMPUTED_VALUE"""),0.006944444444444444)</f>
        <v>0.006944444444</v>
      </c>
      <c r="C423" s="5" t="str">
        <f>IFERROR(__xludf.DUMMYFUNCTION("""COMPUTED_VALUE"""),"991(911 GT3)")</f>
        <v>991(911 GT3)</v>
      </c>
      <c r="D423" s="5"/>
      <c r="E423" s="5" t="str">
        <f>IFERROR(__xludf.DUMMYFUNCTION("""COMPUTED_VALUE"""),"Test Driver")</f>
        <v>Test Driver</v>
      </c>
      <c r="F423" s="5">
        <f>IFERROR(__xludf.DUMMYFUNCTION("""COMPUTED_VALUE"""),0.006944444444444444)</f>
        <v>0.006944444444</v>
      </c>
      <c r="G423" s="5" t="str">
        <f>IFERROR(__xludf.DUMMYFUNCTION("""COMPUTED_VALUE"""),"BNR32")</f>
        <v>BNR32</v>
      </c>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row>
    <row r="424">
      <c r="A424" s="5" t="str">
        <f>IFERROR(__xludf.DUMMYFUNCTION("""COMPUTED_VALUE"""),"Test Driver")</f>
        <v>Test Driver</v>
      </c>
      <c r="B424" s="5">
        <f>IFERROR(__xludf.DUMMYFUNCTION("""COMPUTED_VALUE"""),0.006944444444444444)</f>
        <v>0.006944444444</v>
      </c>
      <c r="C424" s="5" t="str">
        <f>IFERROR(__xludf.DUMMYFUNCTION("""COMPUTED_VALUE"""),"Z33(350Z)")</f>
        <v>Z33(350Z)</v>
      </c>
      <c r="D424" s="5"/>
      <c r="E424" s="5" t="str">
        <f>IFERROR(__xludf.DUMMYFUNCTION("""COMPUTED_VALUE"""),"Test Driver")</f>
        <v>Test Driver</v>
      </c>
      <c r="F424" s="5">
        <f>IFERROR(__xludf.DUMMYFUNCTION("""COMPUTED_VALUE"""),0.006944444444444444)</f>
        <v>0.006944444444</v>
      </c>
      <c r="G424" s="5" t="str">
        <f>IFERROR(__xludf.DUMMYFUNCTION("""COMPUTED_VALUE"""),"FC3S (RX7)")</f>
        <v>FC3S (RX7)</v>
      </c>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row>
    <row r="425">
      <c r="A425" s="5" t="str">
        <f>IFERROR(__xludf.DUMMYFUNCTION("""COMPUTED_VALUE"""),"Test Driver")</f>
        <v>Test Driver</v>
      </c>
      <c r="B425" s="5">
        <f>IFERROR(__xludf.DUMMYFUNCTION("""COMPUTED_VALUE"""),0.006944444444444444)</f>
        <v>0.006944444444</v>
      </c>
      <c r="C425" s="5" t="str">
        <f>IFERROR(__xludf.DUMMYFUNCTION("""COMPUTED_VALUE"""),"FC3S (RX7)")</f>
        <v>FC3S (RX7)</v>
      </c>
      <c r="D425" s="5"/>
      <c r="E425" s="5" t="str">
        <f>IFERROR(__xludf.DUMMYFUNCTION("""COMPUTED_VALUE"""),"Test Driver")</f>
        <v>Test Driver</v>
      </c>
      <c r="F425" s="5">
        <f>IFERROR(__xludf.DUMMYFUNCTION("""COMPUTED_VALUE"""),0.006944444444444444)</f>
        <v>0.006944444444</v>
      </c>
      <c r="G425" s="5" t="str">
        <f>IFERROR(__xludf.DUMMYFUNCTION("""COMPUTED_VALUE"""),"BRZ/ZC6")</f>
        <v>BRZ/ZC6</v>
      </c>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row>
    <row r="426">
      <c r="A426" s="5" t="str">
        <f>IFERROR(__xludf.DUMMYFUNCTION("""COMPUTED_VALUE"""),"Test Driver")</f>
        <v>Test Driver</v>
      </c>
      <c r="B426" s="5">
        <f>IFERROR(__xludf.DUMMYFUNCTION("""COMPUTED_VALUE"""),0.006944444444444444)</f>
        <v>0.006944444444</v>
      </c>
      <c r="C426" s="5" t="str">
        <f>IFERROR(__xludf.DUMMYFUNCTION("""COMPUTED_VALUE"""),"BRZ/ZC6")</f>
        <v>BRZ/ZC6</v>
      </c>
      <c r="D426" s="5"/>
      <c r="E426" s="5" t="str">
        <f>IFERROR(__xludf.DUMMYFUNCTION("""COMPUTED_VALUE"""),"Test Driver")</f>
        <v>Test Driver</v>
      </c>
      <c r="F426" s="5">
        <f>IFERROR(__xludf.DUMMYFUNCTION("""COMPUTED_VALUE"""),0.006944444444444444)</f>
        <v>0.006944444444</v>
      </c>
      <c r="G426" s="5" t="str">
        <f>IFERROR(__xludf.DUMMYFUNCTION("""COMPUTED_VALUE"""),"R35N3")</f>
        <v>R35N3</v>
      </c>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row>
    <row r="427">
      <c r="A427" s="5" t="str">
        <f>IFERROR(__xludf.DUMMYFUNCTION("""COMPUTED_VALUE"""),"Test Driver")</f>
        <v>Test Driver</v>
      </c>
      <c r="B427" s="5">
        <f>IFERROR(__xludf.DUMMYFUNCTION("""COMPUTED_VALUE"""),0.006944444444444444)</f>
        <v>0.006944444444</v>
      </c>
      <c r="C427" s="5" t="str">
        <f>IFERROR(__xludf.DUMMYFUNCTION("""COMPUTED_VALUE"""),"R35N3")</f>
        <v>R35N3</v>
      </c>
      <c r="D427" s="5"/>
      <c r="E427" s="5" t="str">
        <f>IFERROR(__xludf.DUMMYFUNCTION("""COMPUTED_VALUE"""),"Test Driver")</f>
        <v>Test Driver</v>
      </c>
      <c r="F427" s="5">
        <f>IFERROR(__xludf.DUMMYFUNCTION("""COMPUTED_VALUE"""),0.006944444444444444)</f>
        <v>0.006944444444</v>
      </c>
      <c r="G427" s="5" t="str">
        <f>IFERROR(__xludf.DUMMYFUNCTION("""COMPUTED_VALUE"""),"Swift")</f>
        <v>Swift</v>
      </c>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row>
    <row r="428">
      <c r="A428" s="5" t="str">
        <f>IFERROR(__xludf.DUMMYFUNCTION("""COMPUTED_VALUE"""),"Test Driver")</f>
        <v>Test Driver</v>
      </c>
      <c r="B428" s="5">
        <f>IFERROR(__xludf.DUMMYFUNCTION("""COMPUTED_VALUE"""),0.006944444444444444)</f>
        <v>0.006944444444</v>
      </c>
      <c r="C428" s="5" t="str">
        <f>IFERROR(__xludf.DUMMYFUNCTION("""COMPUTED_VALUE"""),"Swift")</f>
        <v>Swift</v>
      </c>
      <c r="D428" s="5"/>
      <c r="E428" s="5" t="str">
        <f>IFERROR(__xludf.DUMMYFUNCTION("""COMPUTED_VALUE"""),"Test Driver")</f>
        <v>Test Driver</v>
      </c>
      <c r="F428" s="5">
        <f>IFERROR(__xludf.DUMMYFUNCTION("""COMPUTED_VALUE"""),0.006944444444444444)</f>
        <v>0.006944444444</v>
      </c>
      <c r="G428" s="5" t="str">
        <f>IFERROR(__xludf.DUMMYFUNCTION("""COMPUTED_VALUE"""),"R35")</f>
        <v>R35</v>
      </c>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row>
    <row r="429">
      <c r="A429" s="5" t="str">
        <f>IFERROR(__xludf.DUMMYFUNCTION("""COMPUTED_VALUE"""),"Test Driver")</f>
        <v>Test Driver</v>
      </c>
      <c r="B429" s="5">
        <f>IFERROR(__xludf.DUMMYFUNCTION("""COMPUTED_VALUE"""),0.006944444444444444)</f>
        <v>0.006944444444</v>
      </c>
      <c r="C429" s="5" t="str">
        <f>IFERROR(__xludf.DUMMYFUNCTION("""COMPUTED_VALUE"""),"R35")</f>
        <v>R35</v>
      </c>
      <c r="D429" s="5"/>
      <c r="E429" s="5" t="str">
        <f>IFERROR(__xludf.DUMMYFUNCTION("""COMPUTED_VALUE"""),"Test Driver")</f>
        <v>Test Driver</v>
      </c>
      <c r="F429" s="5">
        <f>IFERROR(__xludf.DUMMYFUNCTION("""COMPUTED_VALUE"""),0.006944444444444444)</f>
        <v>0.006944444444</v>
      </c>
      <c r="G429" s="5" t="str">
        <f>IFERROR(__xludf.DUMMYFUNCTION("""COMPUTED_VALUE"""),"GT86/ZN6")</f>
        <v>GT86/ZN6</v>
      </c>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row>
    <row r="430">
      <c r="A430" s="5" t="str">
        <f>IFERROR(__xludf.DUMMYFUNCTION("""COMPUTED_VALUE"""),"Test Driver")</f>
        <v>Test Driver</v>
      </c>
      <c r="B430" s="5">
        <f>IFERROR(__xludf.DUMMYFUNCTION("""COMPUTED_VALUE"""),0.006944444444444444)</f>
        <v>0.006944444444</v>
      </c>
      <c r="C430" s="5" t="str">
        <f>IFERROR(__xludf.DUMMYFUNCTION("""COMPUTED_VALUE"""),"GT86/ZN6")</f>
        <v>GT86/ZN6</v>
      </c>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row>
    <row r="432">
      <c r="A432" s="43" t="s">
        <v>102</v>
      </c>
      <c r="E432" s="43" t="s">
        <v>103</v>
      </c>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row>
    <row r="433">
      <c r="A433" s="11" t="str">
        <f>IFERROR(__xludf.DUMMYFUNCTION("LET(
  賽道, ""Tsukuba Snow"",
  路線, ""OB"",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B433" s="11" t="str">
        <f>IFERROR(__xludf.DUMMYFUNCTION("""COMPUTED_VALUE"""),"Time時間")</f>
        <v>Time時間</v>
      </c>
      <c r="C433" s="11" t="str">
        <f>IFERROR(__xludf.DUMMYFUNCTION("""COMPUTED_VALUE"""),"Car車種")</f>
        <v>Car車種</v>
      </c>
      <c r="D433" s="11" t="str">
        <f>IFERROR(__xludf.DUMMYFUNCTION("""COMPUTED_VALUE"""),"Platform平台")</f>
        <v>Platform平台</v>
      </c>
      <c r="E433" s="11" t="str">
        <f>IFERROR(__xludf.DUMMYFUNCTION("LET(
  賽道, ""Tsukuba Snow"",
  路線, ""IB"",
  系統, ""Sacc"",
  原始, FILTER('歷史紀錄'!$E$2:$H1244, '歷史紀錄'!$B$2:$B1244=賽道, '歷史紀錄'!$C$2:$C1244=路線, '歷史紀錄'!$I$2:$I1244=系統),
  排序後, SORT(原始, 2, TRUE),
  車輛, INDEX(排序後,,3),
  唯一車輛, UNIQUE(車輛),
  結果,
    MAP(唯一車輛, LAMBDA"&amp;"(p,
      INDEX(FILTER(排序後, INDEX(排序後,,3)=p),1,0)
    )),
  表頭, {""Player玩家"",""Time時間"",""Car車種"",""Platform平台""},
  VSTACK(表頭, 結果)
)
"),"Player玩家")</f>
        <v>Player玩家</v>
      </c>
      <c r="F433" s="11" t="str">
        <f>IFERROR(__xludf.DUMMYFUNCTION("""COMPUTED_VALUE"""),"Time時間")</f>
        <v>Time時間</v>
      </c>
      <c r="G433" s="11" t="str">
        <f>IFERROR(__xludf.DUMMYFUNCTION("""COMPUTED_VALUE"""),"Car車種")</f>
        <v>Car車種</v>
      </c>
      <c r="H433" s="11" t="str">
        <f>IFERROR(__xludf.DUMMYFUNCTION("""COMPUTED_VALUE"""),"Platform平台")</f>
        <v>Platform平台</v>
      </c>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row>
    <row r="434">
      <c r="A434" s="5" t="str">
        <f>IFERROR(__xludf.DUMMYFUNCTION("""COMPUTED_VALUE"""),"LinWu_05")</f>
        <v>LinWu_05</v>
      </c>
      <c r="B434" s="5">
        <f>IFERROR(__xludf.DUMMYFUNCTION("""COMPUTED_VALUE"""),0.002798414351851852)</f>
        <v>0.002798414352</v>
      </c>
      <c r="C434" s="5" t="str">
        <f>IFERROR(__xludf.DUMMYFUNCTION("""COMPUTED_VALUE"""),"BNR34")</f>
        <v>BNR34</v>
      </c>
      <c r="D434" s="5" t="str">
        <f>IFERROR(__xludf.DUMMYFUNCTION("""COMPUTED_VALUE"""),"PC")</f>
        <v>PC</v>
      </c>
      <c r="E434" s="5" t="str">
        <f>IFERROR(__xludf.DUMMYFUNCTION("""COMPUTED_VALUE"""),"LinWu_05")</f>
        <v>LinWu_05</v>
      </c>
      <c r="F434" s="5">
        <f>IFERROR(__xludf.DUMMYFUNCTION("""COMPUTED_VALUE"""),0.002837997685185185)</f>
        <v>0.002837997685</v>
      </c>
      <c r="G434" s="5" t="str">
        <f>IFERROR(__xludf.DUMMYFUNCTION("""COMPUTED_VALUE"""),"BNR34")</f>
        <v>BNR34</v>
      </c>
      <c r="H434" s="5" t="str">
        <f>IFERROR(__xludf.DUMMYFUNCTION("""COMPUTED_VALUE"""),"PC")</f>
        <v>PC</v>
      </c>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row>
    <row r="435">
      <c r="A435" s="5" t="str">
        <f>IFERROR(__xludf.DUMMYFUNCTION("""COMPUTED_VALUE"""),"Test Driver")</f>
        <v>Test Driver</v>
      </c>
      <c r="B435" s="5">
        <f>IFERROR(__xludf.DUMMYFUNCTION("""COMPUTED_VALUE"""),0.006944444444444444)</f>
        <v>0.006944444444</v>
      </c>
      <c r="C435" s="5" t="str">
        <f>IFERROR(__xludf.DUMMYFUNCTION("""COMPUTED_VALUE"""),"Nissan Z Proto")</f>
        <v>Nissan Z Proto</v>
      </c>
      <c r="D435" s="5"/>
      <c r="E435" s="5" t="str">
        <f>IFERROR(__xludf.DUMMYFUNCTION("""COMPUTED_VALUE"""),"Test Driver")</f>
        <v>Test Driver</v>
      </c>
      <c r="F435" s="5">
        <f>IFERROR(__xludf.DUMMYFUNCTION("""COMPUTED_VALUE"""),0.006944444444444444)</f>
        <v>0.006944444444</v>
      </c>
      <c r="G435" s="5" t="str">
        <f>IFERROR(__xludf.DUMMYFUNCTION("""COMPUTED_VALUE"""),"Nissan Z Proto")</f>
        <v>Nissan Z Proto</v>
      </c>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row>
    <row r="436">
      <c r="A436" s="5" t="str">
        <f>IFERROR(__xludf.DUMMYFUNCTION("""COMPUTED_VALUE"""),"Test Driver")</f>
        <v>Test Driver</v>
      </c>
      <c r="B436" s="5">
        <f>IFERROR(__xludf.DUMMYFUNCTION("""COMPUTED_VALUE"""),0.006944444444444444)</f>
        <v>0.006944444444</v>
      </c>
      <c r="C436" s="5" t="str">
        <f>IFERROR(__xludf.DUMMYFUNCTION("""COMPUTED_VALUE"""),"RZ34(Fairlady Z)")</f>
        <v>RZ34(Fairlady Z)</v>
      </c>
      <c r="D436" s="5"/>
      <c r="E436" s="5" t="str">
        <f>IFERROR(__xludf.DUMMYFUNCTION("""COMPUTED_VALUE"""),"Test Driver")</f>
        <v>Test Driver</v>
      </c>
      <c r="F436" s="5">
        <f>IFERROR(__xludf.DUMMYFUNCTION("""COMPUTED_VALUE"""),0.006944444444444444)</f>
        <v>0.006944444444</v>
      </c>
      <c r="G436" s="5" t="str">
        <f>IFERROR(__xludf.DUMMYFUNCTION("""COMPUTED_VALUE"""),"RZ34(Fairlady Z)")</f>
        <v>RZ34(Fairlady Z)</v>
      </c>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row>
    <row r="437">
      <c r="A437" s="5" t="str">
        <f>IFERROR(__xludf.DUMMYFUNCTION("""COMPUTED_VALUE"""),"Test Driver")</f>
        <v>Test Driver</v>
      </c>
      <c r="B437" s="5">
        <f>IFERROR(__xludf.DUMMYFUNCTION("""COMPUTED_VALUE"""),0.006944444444444444)</f>
        <v>0.006944444444</v>
      </c>
      <c r="C437" s="5" t="str">
        <f>IFERROR(__xludf.DUMMYFUNCTION("""COMPUTED_VALUE"""),"S30Z(Nissan Fairlady Z/Devil Z)")</f>
        <v>S30Z(Nissan Fairlady Z/Devil Z)</v>
      </c>
      <c r="D437" s="5"/>
      <c r="E437" s="5" t="str">
        <f>IFERROR(__xludf.DUMMYFUNCTION("""COMPUTED_VALUE"""),"Test Driver")</f>
        <v>Test Driver</v>
      </c>
      <c r="F437" s="5">
        <f>IFERROR(__xludf.DUMMYFUNCTION("""COMPUTED_VALUE"""),0.006944444444444444)</f>
        <v>0.006944444444</v>
      </c>
      <c r="G437" s="5" t="str">
        <f>IFERROR(__xludf.DUMMYFUNCTION("""COMPUTED_VALUE"""),"S30Z(Nissan Fairlady Z/Devil Z)")</f>
        <v>S30Z(Nissan Fairlady Z/Devil Z)</v>
      </c>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row>
    <row r="438">
      <c r="A438" s="5" t="str">
        <f>IFERROR(__xludf.DUMMYFUNCTION("""COMPUTED_VALUE"""),"Test Driver")</f>
        <v>Test Driver</v>
      </c>
      <c r="B438" s="5">
        <f>IFERROR(__xludf.DUMMYFUNCTION("""COMPUTED_VALUE"""),0.006944444444444444)</f>
        <v>0.006944444444</v>
      </c>
      <c r="C438" s="5" t="str">
        <f>IFERROR(__xludf.DUMMYFUNCTION("""COMPUTED_VALUE"""),"AP1 (S2000)")</f>
        <v>AP1 (S2000)</v>
      </c>
      <c r="D438" s="5"/>
      <c r="E438" s="5" t="str">
        <f>IFERROR(__xludf.DUMMYFUNCTION("""COMPUTED_VALUE"""),"Test Driver")</f>
        <v>Test Driver</v>
      </c>
      <c r="F438" s="5">
        <f>IFERROR(__xludf.DUMMYFUNCTION("""COMPUTED_VALUE"""),0.006944444444444444)</f>
        <v>0.006944444444</v>
      </c>
      <c r="G438" s="5" t="str">
        <f>IFERROR(__xludf.DUMMYFUNCTION("""COMPUTED_VALUE"""),"AP1 (S2000)")</f>
        <v>AP1 (S2000)</v>
      </c>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row>
    <row r="439">
      <c r="A439" s="5" t="str">
        <f>IFERROR(__xludf.DUMMYFUNCTION("""COMPUTED_VALUE"""),"Test Driver")</f>
        <v>Test Driver</v>
      </c>
      <c r="B439" s="5">
        <f>IFERROR(__xludf.DUMMYFUNCTION("""COMPUTED_VALUE"""),0.006944444444444444)</f>
        <v>0.006944444444</v>
      </c>
      <c r="C439" s="5" t="str">
        <f>IFERROR(__xludf.DUMMYFUNCTION("""COMPUTED_VALUE"""),"Z33(350Z)")</f>
        <v>Z33(350Z)</v>
      </c>
      <c r="D439" s="5"/>
      <c r="E439" s="5" t="str">
        <f>IFERROR(__xludf.DUMMYFUNCTION("""COMPUTED_VALUE"""),"Test Driver")</f>
        <v>Test Driver</v>
      </c>
      <c r="F439" s="5">
        <f>IFERROR(__xludf.DUMMYFUNCTION("""COMPUTED_VALUE"""),0.006944444444444444)</f>
        <v>0.006944444444</v>
      </c>
      <c r="G439" s="5" t="str">
        <f>IFERROR(__xludf.DUMMYFUNCTION("""COMPUTED_VALUE"""),"Z33(350Z)")</f>
        <v>Z33(350Z)</v>
      </c>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row>
    <row r="441">
      <c r="A441" s="24" t="s">
        <v>104</v>
      </c>
      <c r="E441" s="24" t="s">
        <v>105</v>
      </c>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row>
    <row r="442">
      <c r="A442" s="11" t="str">
        <f>IFERROR(__xludf.DUMMYFUNCTION("LET(
  賽道, ""Akina Snow"",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442" s="11" t="str">
        <f>IFERROR(__xludf.DUMMYFUNCTION("""COMPUTED_VALUE"""),"Time時間")</f>
        <v>Time時間</v>
      </c>
      <c r="C442" s="11" t="str">
        <f>IFERROR(__xludf.DUMMYFUNCTION("""COMPUTED_VALUE"""),"Car車種")</f>
        <v>Car車種</v>
      </c>
      <c r="D442" s="11" t="str">
        <f>IFERROR(__xludf.DUMMYFUNCTION("""COMPUTED_VALUE"""),"Platform平台")</f>
        <v>Platform平台</v>
      </c>
      <c r="E442" s="11" t="str">
        <f>IFERROR(__xludf.DUMMYFUNCTION("LET(
  賽道, ""Akina Snow"",
  路線, ""UH"",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442" s="11" t="str">
        <f>IFERROR(__xludf.DUMMYFUNCTION("""COMPUTED_VALUE"""),"Time時間")</f>
        <v>Time時間</v>
      </c>
      <c r="G442" s="11" t="str">
        <f>IFERROR(__xludf.DUMMYFUNCTION("""COMPUTED_VALUE"""),"Car車種")</f>
        <v>Car車種</v>
      </c>
      <c r="H442" s="11" t="str">
        <f>IFERROR(__xludf.DUMMYFUNCTION("""COMPUTED_VALUE"""),"Platform平台")</f>
        <v>Platform平台</v>
      </c>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row>
    <row r="443">
      <c r="A443" s="5" t="str">
        <f>IFERROR(__xludf.DUMMYFUNCTION("""COMPUTED_VALUE"""),"Lolidia")</f>
        <v>Lolidia</v>
      </c>
      <c r="B443" s="5">
        <f>IFERROR(__xludf.DUMMYFUNCTION("""COMPUTED_VALUE"""),0.0026738657407407405)</f>
        <v>0.002673865741</v>
      </c>
      <c r="C443" s="5" t="str">
        <f>IFERROR(__xludf.DUMMYFUNCTION("""COMPUTED_VALUE"""),"AE86T")</f>
        <v>AE86T</v>
      </c>
      <c r="D443" s="5" t="str">
        <f>IFERROR(__xludf.DUMMYFUNCTION("""COMPUTED_VALUE"""),"PCVR")</f>
        <v>PCVR</v>
      </c>
      <c r="E443" s="5" t="str">
        <f>IFERROR(__xludf.DUMMYFUNCTION("""COMPUTED_VALUE"""),"Test Driver")</f>
        <v>Test Driver</v>
      </c>
      <c r="F443" s="5">
        <f>IFERROR(__xludf.DUMMYFUNCTION("""COMPUTED_VALUE"""),0.006944444444444444)</f>
        <v>0.006944444444</v>
      </c>
      <c r="G443" s="5" t="str">
        <f>IFERROR(__xludf.DUMMYFUNCTION("""COMPUTED_VALUE"""),"AE86T")</f>
        <v>AE86T</v>
      </c>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row>
    <row r="444">
      <c r="A444" s="5" t="str">
        <f>IFERROR(__xludf.DUMMYFUNCTION("""COMPUTED_VALUE"""),"StarRiver Arts")</f>
        <v>StarRiver Arts</v>
      </c>
      <c r="B444" s="5">
        <f>IFERROR(__xludf.DUMMYFUNCTION("""COMPUTED_VALUE"""),0.0028599537037037035)</f>
        <v>0.002859953704</v>
      </c>
      <c r="C444" s="5" t="str">
        <f>IFERROR(__xludf.DUMMYFUNCTION("""COMPUTED_VALUE"""),"GC8-F (Impreza)")</f>
        <v>GC8-F (Impreza)</v>
      </c>
      <c r="D444" s="5" t="str">
        <f>IFERROR(__xludf.DUMMYFUNCTION("""COMPUTED_VALUE"""),"PC")</f>
        <v>PC</v>
      </c>
      <c r="E444" s="5" t="str">
        <f>IFERROR(__xludf.DUMMYFUNCTION("""COMPUTED_VALUE"""),"Test Driver")</f>
        <v>Test Driver</v>
      </c>
      <c r="F444" s="5">
        <f>IFERROR(__xludf.DUMMYFUNCTION("""COMPUTED_VALUE"""),0.006944444444444444)</f>
        <v>0.006944444444</v>
      </c>
      <c r="G444" s="5" t="str">
        <f>IFERROR(__xludf.DUMMYFUNCTION("""COMPUTED_VALUE"""),"GC8-F (Impreza)")</f>
        <v>GC8-F (Impreza)</v>
      </c>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row>
    <row r="445">
      <c r="A445" s="5" t="str">
        <f>IFERROR(__xludf.DUMMYFUNCTION("""COMPUTED_VALUE"""),"ikuhopen")</f>
        <v>ikuhopen</v>
      </c>
      <c r="B445" s="5">
        <f>IFERROR(__xludf.DUMMYFUNCTION("""COMPUTED_VALUE"""),0.0028941319444444444)</f>
        <v>0.002894131944</v>
      </c>
      <c r="C445" s="5" t="str">
        <f>IFERROR(__xludf.DUMMYFUNCTION("""COMPUTED_VALUE"""),"ST205 (Celica)")</f>
        <v>ST205 (Celica)</v>
      </c>
      <c r="D445" s="5" t="str">
        <f>IFERROR(__xludf.DUMMYFUNCTION("""COMPUTED_VALUE"""),"PCVR")</f>
        <v>PCVR</v>
      </c>
      <c r="E445" s="5" t="str">
        <f>IFERROR(__xludf.DUMMYFUNCTION("""COMPUTED_VALUE"""),"Test Driver")</f>
        <v>Test Driver</v>
      </c>
      <c r="F445" s="5">
        <f>IFERROR(__xludf.DUMMYFUNCTION("""COMPUTED_VALUE"""),0.006944444444444444)</f>
        <v>0.006944444444</v>
      </c>
      <c r="G445" s="5" t="str">
        <f>IFERROR(__xludf.DUMMYFUNCTION("""COMPUTED_VALUE"""),"ST205 (Celica)")</f>
        <v>ST205 (Celica)</v>
      </c>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row>
    <row r="446">
      <c r="A446" s="5" t="str">
        <f>IFERROR(__xludf.DUMMYFUNCTION("""COMPUTED_VALUE"""),"Test Driver")</f>
        <v>Test Driver</v>
      </c>
      <c r="B446" s="5">
        <f>IFERROR(__xludf.DUMMYFUNCTION("""COMPUTED_VALUE"""),0.006944444444444444)</f>
        <v>0.006944444444</v>
      </c>
      <c r="C446" s="5" t="str">
        <f>IFERROR(__xludf.DUMMYFUNCTION("""COMPUTED_VALUE"""),"SilEighty")</f>
        <v>SilEighty</v>
      </c>
      <c r="D446" s="5"/>
      <c r="E446" s="5" t="str">
        <f>IFERROR(__xludf.DUMMYFUNCTION("""COMPUTED_VALUE"""),"Test Driver")</f>
        <v>Test Driver</v>
      </c>
      <c r="F446" s="5">
        <f>IFERROR(__xludf.DUMMYFUNCTION("""COMPUTED_VALUE"""),0.006944444444444444)</f>
        <v>0.006944444444</v>
      </c>
      <c r="G446" s="5" t="str">
        <f>IFERROR(__xludf.DUMMYFUNCTION("""COMPUTED_VALUE"""),"FC3S (RX7)")</f>
        <v>FC3S (RX7)</v>
      </c>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row>
    <row r="447">
      <c r="A447" s="5" t="str">
        <f>IFERROR(__xludf.DUMMYFUNCTION("""COMPUTED_VALUE"""),"Test Driver")</f>
        <v>Test Driver</v>
      </c>
      <c r="B447" s="5">
        <f>IFERROR(__xludf.DUMMYFUNCTION("""COMPUTED_VALUE"""),0.006944444444444444)</f>
        <v>0.006944444444</v>
      </c>
      <c r="C447" s="5" t="str">
        <f>IFERROR(__xludf.DUMMYFUNCTION("""COMPUTED_VALUE"""),"FC3S (RX7)")</f>
        <v>FC3S (RX7)</v>
      </c>
      <c r="D447" s="5"/>
      <c r="E447" s="5" t="str">
        <f>IFERROR(__xludf.DUMMYFUNCTION("""COMPUTED_VALUE"""),"Test Driver")</f>
        <v>Test Driver</v>
      </c>
      <c r="F447" s="5">
        <f>IFERROR(__xludf.DUMMYFUNCTION("""COMPUTED_VALUE"""),0.006944444444444444)</f>
        <v>0.006944444444</v>
      </c>
      <c r="G447" s="5" t="str">
        <f>IFERROR(__xludf.DUMMYFUNCTION("""COMPUTED_VALUE"""),"Mini Cooper")</f>
        <v>Mini Cooper</v>
      </c>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row>
    <row r="448">
      <c r="A448" s="5" t="str">
        <f>IFERROR(__xludf.DUMMYFUNCTION("""COMPUTED_VALUE"""),"Test Driver")</f>
        <v>Test Driver</v>
      </c>
      <c r="B448" s="5">
        <f>IFERROR(__xludf.DUMMYFUNCTION("""COMPUTED_VALUE"""),0.006944444444444444)</f>
        <v>0.006944444444</v>
      </c>
      <c r="C448" s="5" t="str">
        <f>IFERROR(__xludf.DUMMYFUNCTION("""COMPUTED_VALUE"""),"Mini Cooper")</f>
        <v>Mini Cooper</v>
      </c>
      <c r="D448" s="5"/>
      <c r="E448" s="5" t="str">
        <f>IFERROR(__xludf.DUMMYFUNCTION("""COMPUTED_VALUE"""),"Test Driver")</f>
        <v>Test Driver</v>
      </c>
      <c r="F448" s="5">
        <f>IFERROR(__xludf.DUMMYFUNCTION("""COMPUTED_VALUE"""),0.006944444444444444)</f>
        <v>0.006944444444</v>
      </c>
      <c r="G448" s="5" t="str">
        <f>IFERROR(__xludf.DUMMYFUNCTION("""COMPUTED_VALUE"""),"R32N2")</f>
        <v>R32N2</v>
      </c>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row>
    <row r="449">
      <c r="A449" s="5" t="str">
        <f>IFERROR(__xludf.DUMMYFUNCTION("""COMPUTED_VALUE"""),"Test Driver")</f>
        <v>Test Driver</v>
      </c>
      <c r="B449" s="5">
        <f>IFERROR(__xludf.DUMMYFUNCTION("""COMPUTED_VALUE"""),0.006944444444444444)</f>
        <v>0.006944444444</v>
      </c>
      <c r="C449" s="5" t="str">
        <f>IFERROR(__xludf.DUMMYFUNCTION("""COMPUTED_VALUE"""),"R32N2")</f>
        <v>R32N2</v>
      </c>
      <c r="D449" s="5"/>
      <c r="E449" s="5" t="str">
        <f>IFERROR(__xludf.DUMMYFUNCTION("""COMPUTED_VALUE"""),"Test Driver")</f>
        <v>Test Driver</v>
      </c>
      <c r="F449" s="5">
        <f>IFERROR(__xludf.DUMMYFUNCTION("""COMPUTED_VALUE"""),0.006944444444444444)</f>
        <v>0.006944444444</v>
      </c>
      <c r="G449" s="5" t="str">
        <f>IFERROR(__xludf.DUMMYFUNCTION("""COMPUTED_VALUE"""),"SilEighty")</f>
        <v>SilEighty</v>
      </c>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row>
    <row r="452">
      <c r="A452" s="43" t="s">
        <v>106</v>
      </c>
      <c r="E452" s="43" t="s">
        <v>107</v>
      </c>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row>
    <row r="453">
      <c r="A453" s="11" t="str">
        <f>IFERROR(__xludf.DUMMYFUNCTION("LET(
  賽道, ""Tsuchisaka Snow"",
  路線, ""IB"",
  系統, ""Sacc"",
  原始, FILTER('歷史紀錄'!$E$2:$H1244, '歷史紀錄'!$B$2:$B1244=賽道, '歷史紀錄'!$C$2:$C1244=路線, '歷史紀錄'!$I$2:$I1244=系統),
  排序後, SORT(原始, 2, TRUE),
  車輛, INDEX(排序後,,3),
  唯一車輛, UNIQUE(車輛),
  結果,
    MAP(唯一車輛, LAM"&amp;"BDA(p,
      INDEX(FILTER(排序後, INDEX(排序後,,3)=p),1,0)
    )),
  表頭, {""Player玩家"",""Time時間"",""Car車種"",""Platform平台""},
  VSTACK(表頭, 結果)
)
"),"Player玩家")</f>
        <v>Player玩家</v>
      </c>
      <c r="B453" s="11" t="str">
        <f>IFERROR(__xludf.DUMMYFUNCTION("""COMPUTED_VALUE"""),"Time時間")</f>
        <v>Time時間</v>
      </c>
      <c r="C453" s="11" t="str">
        <f>IFERROR(__xludf.DUMMYFUNCTION("""COMPUTED_VALUE"""),"Car車種")</f>
        <v>Car車種</v>
      </c>
      <c r="D453" s="11" t="str">
        <f>IFERROR(__xludf.DUMMYFUNCTION("""COMPUTED_VALUE"""),"Platform平台")</f>
        <v>Platform平台</v>
      </c>
      <c r="E453" s="11" t="str">
        <f>IFERROR(__xludf.DUMMYFUNCTION("LET(
  賽道, ""Tsuchisaka Snow"",
  路線, ""OB"",
  系統, ""Sacc"",
  原始, FILTER('歷史紀錄'!$E$2:$H1244, '歷史紀錄'!$B$2:$B1244=賽道, '歷史紀錄'!$C$2:$C1244=路線, '歷史紀錄'!$I$2:$I1244=系統),
  排序後, SORT(原始, 2, TRUE),
  車輛, INDEX(排序後,,3),
  唯一車輛, UNIQUE(車輛),
  結果,
    MAP(唯一車輛, LAM"&amp;"BDA(p,
      INDEX(FILTER(排序後, INDEX(排序後,,3)=p),1,0)
    )),
  表頭, {""Player玩家"",""Time時間"",""Car車種"",""Platform平台""},
  VSTACK(表頭, 結果)
)
"),"Player玩家")</f>
        <v>Player玩家</v>
      </c>
      <c r="F453" s="11" t="str">
        <f>IFERROR(__xludf.DUMMYFUNCTION("""COMPUTED_VALUE"""),"Time時間")</f>
        <v>Time時間</v>
      </c>
      <c r="G453" s="11" t="str">
        <f>IFERROR(__xludf.DUMMYFUNCTION("""COMPUTED_VALUE"""),"Car車種")</f>
        <v>Car車種</v>
      </c>
      <c r="H453" s="11" t="str">
        <f>IFERROR(__xludf.DUMMYFUNCTION("""COMPUTED_VALUE"""),"Platform平台")</f>
        <v>Platform平台</v>
      </c>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row>
    <row r="454">
      <c r="A454" s="5" t="str">
        <f>IFERROR(__xludf.DUMMYFUNCTION("""COMPUTED_VALUE"""),"LinWu_05")</f>
        <v>LinWu_05</v>
      </c>
      <c r="B454" s="12">
        <f>IFERROR(__xludf.DUMMYFUNCTION("""COMPUTED_VALUE"""),0.0026034953703703706)</f>
        <v>0.00260349537</v>
      </c>
      <c r="C454" s="5" t="str">
        <f>IFERROR(__xludf.DUMMYFUNCTION("""COMPUTED_VALUE"""),"BNR34")</f>
        <v>BNR34</v>
      </c>
      <c r="D454" s="5" t="str">
        <f>IFERROR(__xludf.DUMMYFUNCTION("""COMPUTED_VALUE"""),"PC")</f>
        <v>PC</v>
      </c>
      <c r="E454" s="5" t="str">
        <f>IFERROR(__xludf.DUMMYFUNCTION("""COMPUTED_VALUE"""),"StarRiver Arts")</f>
        <v>StarRiver Arts</v>
      </c>
      <c r="F454" s="5">
        <f>IFERROR(__xludf.DUMMYFUNCTION("""COMPUTED_VALUE"""),0.0024624421296296295)</f>
        <v>0.00246244213</v>
      </c>
      <c r="G454" s="5" t="str">
        <f>IFERROR(__xludf.DUMMYFUNCTION("""COMPUTED_VALUE"""),"NA8C (Mx5 Roadster)")</f>
        <v>NA8C (Mx5 Roadster)</v>
      </c>
      <c r="H454" s="5" t="str">
        <f>IFERROR(__xludf.DUMMYFUNCTION("""COMPUTED_VALUE"""),"PC")</f>
        <v>PC</v>
      </c>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row>
    <row r="455">
      <c r="A455" s="5" t="str">
        <f>IFERROR(__xludf.DUMMYFUNCTION("""COMPUTED_VALUE"""),"Test Driver")</f>
        <v>Test Driver</v>
      </c>
      <c r="B455" s="12">
        <f>IFERROR(__xludf.DUMMYFUNCTION("""COMPUTED_VALUE"""),0.006944444444444444)</f>
        <v>0.006944444444</v>
      </c>
      <c r="C455" s="5" t="str">
        <f>IFERROR(__xludf.DUMMYFUNCTION("""COMPUTED_VALUE"""),"EVOVII/CT9A")</f>
        <v>EVOVII/CT9A</v>
      </c>
      <c r="D455" s="5"/>
      <c r="E455" s="5" t="str">
        <f>IFERROR(__xludf.DUMMYFUNCTION("""COMPUTED_VALUE"""),"LinWu_05")</f>
        <v>LinWu_05</v>
      </c>
      <c r="F455" s="5">
        <f>IFERROR(__xludf.DUMMYFUNCTION("""COMPUTED_VALUE"""),0.0026423611111111114)</f>
        <v>0.002642361111</v>
      </c>
      <c r="G455" s="5" t="str">
        <f>IFERROR(__xludf.DUMMYFUNCTION("""COMPUTED_VALUE"""),"BNR34")</f>
        <v>BNR34</v>
      </c>
      <c r="H455" s="5" t="str">
        <f>IFERROR(__xludf.DUMMYFUNCTION("""COMPUTED_VALUE"""),"PC")</f>
        <v>PC</v>
      </c>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row>
    <row r="456">
      <c r="A456" s="5" t="str">
        <f>IFERROR(__xludf.DUMMYFUNCTION("""COMPUTED_VALUE"""),"Test Driver")</f>
        <v>Test Driver</v>
      </c>
      <c r="B456" s="12">
        <f>IFERROR(__xludf.DUMMYFUNCTION("""COMPUTED_VALUE"""),0.006944444444444444)</f>
        <v>0.006944444444</v>
      </c>
      <c r="C456" s="5" t="str">
        <f>IFERROR(__xludf.DUMMYFUNCTION("""COMPUTED_VALUE"""),"GC8-F (Impreza)")</f>
        <v>GC8-F (Impreza)</v>
      </c>
      <c r="D456" s="5"/>
      <c r="E456" s="5" t="str">
        <f>IFERROR(__xludf.DUMMYFUNCTION("""COMPUTED_VALUE"""),"Test Driver")</f>
        <v>Test Driver</v>
      </c>
      <c r="F456" s="5">
        <f>IFERROR(__xludf.DUMMYFUNCTION("""COMPUTED_VALUE"""),0.006944444444444444)</f>
        <v>0.006944444444</v>
      </c>
      <c r="G456" s="5" t="str">
        <f>IFERROR(__xludf.DUMMYFUNCTION("""COMPUTED_VALUE"""),"EVOVII/CT9A")</f>
        <v>EVOVII/CT9A</v>
      </c>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row>
    <row r="457">
      <c r="A457" s="5" t="str">
        <f>IFERROR(__xludf.DUMMYFUNCTION("""COMPUTED_VALUE"""),"Test Driver")</f>
        <v>Test Driver</v>
      </c>
      <c r="B457" s="12">
        <f>IFERROR(__xludf.DUMMYFUNCTION("""COMPUTED_VALUE"""),0.006944444444444444)</f>
        <v>0.006944444444</v>
      </c>
      <c r="C457" s="5" t="str">
        <f>IFERROR(__xludf.DUMMYFUNCTION("""COMPUTED_VALUE"""),"NA8C (Mx5 Roadster)")</f>
        <v>NA8C (Mx5 Roadster)</v>
      </c>
      <c r="D457" s="5"/>
      <c r="E457" s="5" t="str">
        <f>IFERROR(__xludf.DUMMYFUNCTION("""COMPUTED_VALUE"""),"Test Driver")</f>
        <v>Test Driver</v>
      </c>
      <c r="F457" s="5">
        <f>IFERROR(__xludf.DUMMYFUNCTION("""COMPUTED_VALUE"""),0.006944444444444444)</f>
        <v>0.006944444444</v>
      </c>
      <c r="G457" s="5" t="str">
        <f>IFERROR(__xludf.DUMMYFUNCTION("""COMPUTED_VALUE"""),"GC8-F (Impreza)")</f>
        <v>GC8-F (Impreza)</v>
      </c>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row>
    <row r="458">
      <c r="A458" s="5" t="str">
        <f>IFERROR(__xludf.DUMMYFUNCTION("""COMPUTED_VALUE"""),"Test Driver")</f>
        <v>Test Driver</v>
      </c>
      <c r="B458" s="12">
        <f>IFERROR(__xludf.DUMMYFUNCTION("""COMPUTED_VALUE"""),0.006944444444444444)</f>
        <v>0.006944444444</v>
      </c>
      <c r="C458" s="5" t="str">
        <f>IFERROR(__xludf.DUMMYFUNCTION("""COMPUTED_VALUE"""),"AP2 (S2000)")</f>
        <v>AP2 (S2000)</v>
      </c>
      <c r="D458" s="5"/>
      <c r="E458" s="5" t="str">
        <f>IFERROR(__xludf.DUMMYFUNCTION("""COMPUTED_VALUE"""),"Test Driver")</f>
        <v>Test Driver</v>
      </c>
      <c r="F458" s="5">
        <f>IFERROR(__xludf.DUMMYFUNCTION("""COMPUTED_VALUE"""),0.006944444444444444)</f>
        <v>0.006944444444</v>
      </c>
      <c r="G458" s="5" t="str">
        <f>IFERROR(__xludf.DUMMYFUNCTION("""COMPUTED_VALUE"""),"AP2 (S2000)")</f>
        <v>AP2 (S2000)</v>
      </c>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row>
    <row r="459">
      <c r="A459" s="5" t="str">
        <f>IFERROR(__xludf.DUMMYFUNCTION("""COMPUTED_VALUE"""),"Test Driver")</f>
        <v>Test Driver</v>
      </c>
      <c r="B459" s="5">
        <f>IFERROR(__xludf.DUMMYFUNCTION("""COMPUTED_VALUE"""),0.006944444444444444)</f>
        <v>0.006944444444</v>
      </c>
      <c r="C459" s="5" t="str">
        <f>IFERROR(__xludf.DUMMYFUNCTION("""COMPUTED_VALUE"""),"ER34 (R34 23GT Turbo)")</f>
        <v>ER34 (R34 23GT Turbo)</v>
      </c>
      <c r="D459" s="5"/>
      <c r="E459" s="5" t="str">
        <f>IFERROR(__xludf.DUMMYFUNCTION("""COMPUTED_VALUE"""),"Test Driver")</f>
        <v>Test Driver</v>
      </c>
      <c r="F459" s="5">
        <f>IFERROR(__xludf.DUMMYFUNCTION("""COMPUTED_VALUE"""),0.006944444444444444)</f>
        <v>0.006944444444</v>
      </c>
      <c r="G459" s="5" t="str">
        <f>IFERROR(__xludf.DUMMYFUNCTION("""COMPUTED_VALUE"""),"ER34 (R34 23GT Turbo)")</f>
        <v>ER34 (R34 23GT Turbo)</v>
      </c>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row>
    <row r="460">
      <c r="A460" s="5" t="str">
        <f>IFERROR(__xludf.DUMMYFUNCTION("""COMPUTED_VALUE"""),"Test Driver")</f>
        <v>Test Driver</v>
      </c>
      <c r="B460" s="5">
        <f>IFERROR(__xludf.DUMMYFUNCTION("""COMPUTED_VALUE"""),0.006944444444444444)</f>
        <v>0.006944444444</v>
      </c>
      <c r="C460" s="5" t="str">
        <f>IFERROR(__xludf.DUMMYFUNCTION("""COMPUTED_VALUE"""),"NA6CE (Mx5 Roadster)")</f>
        <v>NA6CE (Mx5 Roadster)</v>
      </c>
      <c r="D460" s="5"/>
      <c r="E460" s="5" t="str">
        <f>IFERROR(__xludf.DUMMYFUNCTION("""COMPUTED_VALUE"""),"Test Driver")</f>
        <v>Test Driver</v>
      </c>
      <c r="F460" s="5">
        <f>IFERROR(__xludf.DUMMYFUNCTION("""COMPUTED_VALUE"""),0.006944444444444444)</f>
        <v>0.006944444444</v>
      </c>
      <c r="G460" s="5" t="str">
        <f>IFERROR(__xludf.DUMMYFUNCTION("""COMPUTED_VALUE"""),"NA6CE (Mx5 Roadster)")</f>
        <v>NA6CE (Mx5 Roadster)</v>
      </c>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row>
    <row r="464">
      <c r="A464" s="55" t="s">
        <v>108</v>
      </c>
      <c r="E464" s="55" t="s">
        <v>109</v>
      </c>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row>
    <row r="465">
      <c r="A465" s="11" t="str">
        <f>IFERROR(__xludf.DUMMYFUNCTION("LET(
  賽道, ""Shin Usui"",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465" s="11" t="str">
        <f>IFERROR(__xludf.DUMMYFUNCTION("""COMPUTED_VALUE"""),"Time時間")</f>
        <v>Time時間</v>
      </c>
      <c r="C465" s="11" t="str">
        <f>IFERROR(__xludf.DUMMYFUNCTION("""COMPUTED_VALUE"""),"Car車種")</f>
        <v>Car車種</v>
      </c>
      <c r="D465" s="11" t="str">
        <f>IFERROR(__xludf.DUMMYFUNCTION("""COMPUTED_VALUE"""),"Platform平台")</f>
        <v>Platform平台</v>
      </c>
      <c r="E465" s="11" t="str">
        <f>IFERROR(__xludf.DUMMYFUNCTION("LET(
  賽道, ""Shin Usui"",
  路線, ""UH"",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465" s="11" t="str">
        <f>IFERROR(__xludf.DUMMYFUNCTION("""COMPUTED_VALUE"""),"Time時間")</f>
        <v>Time時間</v>
      </c>
      <c r="G465" s="11" t="str">
        <f>IFERROR(__xludf.DUMMYFUNCTION("""COMPUTED_VALUE"""),"Car車種")</f>
        <v>Car車種</v>
      </c>
      <c r="H465" s="11" t="str">
        <f>IFERROR(__xludf.DUMMYFUNCTION("""COMPUTED_VALUE"""),"Platform平台")</f>
        <v>Platform平台</v>
      </c>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row>
    <row r="466">
      <c r="A466" s="5" t="str">
        <f>IFERROR(__xludf.DUMMYFUNCTION("""COMPUTED_VALUE"""),"Test Driver")</f>
        <v>Test Driver</v>
      </c>
      <c r="B466" s="5">
        <f>IFERROR(__xludf.DUMMYFUNCTION("""COMPUTED_VALUE"""),0.006944444444444444)</f>
        <v>0.006944444444</v>
      </c>
      <c r="C466" s="5" t="str">
        <f>IFERROR(__xludf.DUMMYFUNCTION("""COMPUTED_VALUE"""),"SilEighty")</f>
        <v>SilEighty</v>
      </c>
      <c r="D466" s="5"/>
      <c r="E466" s="5" t="str">
        <f>IFERROR(__xludf.DUMMYFUNCTION("""COMPUTED_VALUE"""),"Test Driver")</f>
        <v>Test Driver</v>
      </c>
      <c r="F466" s="5">
        <f>IFERROR(__xludf.DUMMYFUNCTION("""COMPUTED_VALUE"""),0.006944444444444444)</f>
        <v>0.006944444444</v>
      </c>
      <c r="G466" s="5" t="str">
        <f>IFERROR(__xludf.DUMMYFUNCTION("""COMPUTED_VALUE"""),"SilEighty")</f>
        <v>SilEighty</v>
      </c>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row>
    <row r="467">
      <c r="A467" s="5" t="str">
        <f>IFERROR(__xludf.DUMMYFUNCTION("""COMPUTED_VALUE"""),"Test Driver")</f>
        <v>Test Driver</v>
      </c>
      <c r="B467" s="5">
        <f>IFERROR(__xludf.DUMMYFUNCTION("""COMPUTED_VALUE"""),0.006944444444444444)</f>
        <v>0.006944444444</v>
      </c>
      <c r="C467" s="5" t="str">
        <f>IFERROR(__xludf.DUMMYFUNCTION("""COMPUTED_VALUE"""),"AE86T")</f>
        <v>AE86T</v>
      </c>
      <c r="D467" s="5"/>
      <c r="E467" s="5" t="str">
        <f>IFERROR(__xludf.DUMMYFUNCTION("""COMPUTED_VALUE"""),"Test Driver")</f>
        <v>Test Driver</v>
      </c>
      <c r="F467" s="5">
        <f>IFERROR(__xludf.DUMMYFUNCTION("""COMPUTED_VALUE"""),0.006944444444444444)</f>
        <v>0.006944444444</v>
      </c>
      <c r="G467" s="5" t="str">
        <f>IFERROR(__xludf.DUMMYFUNCTION("""COMPUTED_VALUE"""),"AE86T")</f>
        <v>AE86T</v>
      </c>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row>
    <row r="468">
      <c r="A468" s="5" t="str">
        <f>IFERROR(__xludf.DUMMYFUNCTION("""COMPUTED_VALUE"""),"Test Driver")</f>
        <v>Test Driver</v>
      </c>
      <c r="B468" s="5">
        <f>IFERROR(__xludf.DUMMYFUNCTION("""COMPUTED_VALUE"""),0.006944444444444444)</f>
        <v>0.006944444444</v>
      </c>
      <c r="C468" s="5" t="str">
        <f>IFERROR(__xludf.DUMMYFUNCTION("""COMPUTED_VALUE"""),"S13")</f>
        <v>S13</v>
      </c>
      <c r="D468" s="5"/>
      <c r="E468" s="5" t="str">
        <f>IFERROR(__xludf.DUMMYFUNCTION("""COMPUTED_VALUE"""),"Test Driver")</f>
        <v>Test Driver</v>
      </c>
      <c r="F468" s="5">
        <f>IFERROR(__xludf.DUMMYFUNCTION("""COMPUTED_VALUE"""),0.006944444444444444)</f>
        <v>0.006944444444</v>
      </c>
      <c r="G468" s="5" t="str">
        <f>IFERROR(__xludf.DUMMYFUNCTION("""COMPUTED_VALUE"""),"S13")</f>
        <v>S13</v>
      </c>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row>
    <row r="469">
      <c r="A469" s="5" t="str">
        <f>IFERROR(__xludf.DUMMYFUNCTION("""COMPUTED_VALUE"""),"Test Driver")</f>
        <v>Test Driver</v>
      </c>
      <c r="B469" s="5">
        <f>IFERROR(__xludf.DUMMYFUNCTION("""COMPUTED_VALUE"""),0.006944444444444444)</f>
        <v>0.006944444444</v>
      </c>
      <c r="C469" s="5" t="str">
        <f>IFERROR(__xludf.DUMMYFUNCTION("""COMPUTED_VALUE"""),"180SX")</f>
        <v>180SX</v>
      </c>
      <c r="D469" s="5"/>
      <c r="E469" s="5" t="str">
        <f>IFERROR(__xludf.DUMMYFUNCTION("""COMPUTED_VALUE"""),"Test Driver")</f>
        <v>Test Driver</v>
      </c>
      <c r="F469" s="5">
        <f>IFERROR(__xludf.DUMMYFUNCTION("""COMPUTED_VALUE"""),0.006944444444444444)</f>
        <v>0.006944444444</v>
      </c>
      <c r="G469" s="5" t="str">
        <f>IFERROR(__xludf.DUMMYFUNCTION("""COMPUTED_VALUE"""),"180SX")</f>
        <v>180SX</v>
      </c>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row>
    <row r="470">
      <c r="A470" s="5" t="str">
        <f>IFERROR(__xludf.DUMMYFUNCTION("""COMPUTED_VALUE"""),"Test Driver")</f>
        <v>Test Driver</v>
      </c>
      <c r="B470" s="5">
        <f>IFERROR(__xludf.DUMMYFUNCTION("""COMPUTED_VALUE"""),0.006944444444444444)</f>
        <v>0.006944444444</v>
      </c>
      <c r="C470" s="5" t="str">
        <f>IFERROR(__xludf.DUMMYFUNCTION("""COMPUTED_VALUE"""),"EVOIV/CN9A")</f>
        <v>EVOIV/CN9A</v>
      </c>
      <c r="D470" s="5"/>
      <c r="E470" s="5" t="str">
        <f>IFERROR(__xludf.DUMMYFUNCTION("""COMPUTED_VALUE"""),"Test Driver")</f>
        <v>Test Driver</v>
      </c>
      <c r="F470" s="5">
        <f>IFERROR(__xludf.DUMMYFUNCTION("""COMPUTED_VALUE"""),0.006944444444444444)</f>
        <v>0.006944444444</v>
      </c>
      <c r="G470" s="5" t="str">
        <f>IFERROR(__xludf.DUMMYFUNCTION("""COMPUTED_VALUE"""),"EVOIV/CN9A")</f>
        <v>EVOIV/CN9A</v>
      </c>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row>
    <row r="471">
      <c r="A471" s="5" t="str">
        <f>IFERROR(__xludf.DUMMYFUNCTION("""COMPUTED_VALUE"""),"Test Driver")</f>
        <v>Test Driver</v>
      </c>
      <c r="B471" s="5">
        <f>IFERROR(__xludf.DUMMYFUNCTION("""COMPUTED_VALUE"""),0.006944444444444444)</f>
        <v>0.006944444444</v>
      </c>
      <c r="C471" s="5" t="str">
        <f>IFERROR(__xludf.DUMMYFUNCTION("""COMPUTED_VALUE"""),"SXE10 (Altezza)")</f>
        <v>SXE10 (Altezza)</v>
      </c>
      <c r="D471" s="5"/>
      <c r="E471" s="5" t="str">
        <f>IFERROR(__xludf.DUMMYFUNCTION("""COMPUTED_VALUE"""),"Test Driver")</f>
        <v>Test Driver</v>
      </c>
      <c r="F471" s="5">
        <f>IFERROR(__xludf.DUMMYFUNCTION("""COMPUTED_VALUE"""),0.006944444444444444)</f>
        <v>0.006944444444</v>
      </c>
      <c r="G471" s="5" t="str">
        <f>IFERROR(__xludf.DUMMYFUNCTION("""COMPUTED_VALUE"""),"SXE10 (Altezza)")</f>
        <v>SXE10 (Altezza)</v>
      </c>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row>
    <row r="477">
      <c r="A477" s="55" t="s">
        <v>110</v>
      </c>
      <c r="E477" s="55" t="s">
        <v>111</v>
      </c>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row>
    <row r="478">
      <c r="A478" s="11" t="str">
        <f>IFERROR(__xludf.DUMMYFUNCTION("LET(
  賽道, ""Shin Myogi"",
  路線, ""DH"",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B478" s="11" t="str">
        <f>IFERROR(__xludf.DUMMYFUNCTION("""COMPUTED_VALUE"""),"Time時間")</f>
        <v>Time時間</v>
      </c>
      <c r="C478" s="11" t="str">
        <f>IFERROR(__xludf.DUMMYFUNCTION("""COMPUTED_VALUE"""),"Car車種")</f>
        <v>Car車種</v>
      </c>
      <c r="D478" s="11" t="str">
        <f>IFERROR(__xludf.DUMMYFUNCTION("""COMPUTED_VALUE"""),"Platform平台")</f>
        <v>Platform平台</v>
      </c>
      <c r="E478" s="11" t="str">
        <f>IFERROR(__xludf.DUMMYFUNCTION("LET(
  賽道, ""Shin Myogi"",
  路線, ""UH"",
  系統, ""Sacc"",
  原始, FILTER('歷史紀錄'!$E$2:$H1244, '歷史紀錄'!$B$2:$B1244=賽道, '歷史紀錄'!$C$2:$C1244=路線, '歷史紀錄'!$I$2:$I1244=系統),
  排序後, SORT(原始, 2, TRUE),
  車輛, INDEX(排序後,,3),
  唯一車輛, UNIQUE(車輛),
  結果,
    MAP(唯一車輛, LAMBDA(p"&amp;",
      INDEX(FILTER(排序後, INDEX(排序後,,3)=p),1,0)
    )),
  表頭, {""Player玩家"",""Time時間"",""Car車種"",""Platform平台""},
  VSTACK(表頭, 結果)
)
"),"Player玩家")</f>
        <v>Player玩家</v>
      </c>
      <c r="F478" s="11" t="str">
        <f>IFERROR(__xludf.DUMMYFUNCTION("""COMPUTED_VALUE"""),"Time時間")</f>
        <v>Time時間</v>
      </c>
      <c r="G478" s="11" t="str">
        <f>IFERROR(__xludf.DUMMYFUNCTION("""COMPUTED_VALUE"""),"Car車種")</f>
        <v>Car車種</v>
      </c>
      <c r="H478" s="11" t="str">
        <f>IFERROR(__xludf.DUMMYFUNCTION("""COMPUTED_VALUE"""),"Platform平台")</f>
        <v>Platform平台</v>
      </c>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row>
    <row r="479">
      <c r="A479" s="5" t="str">
        <f>IFERROR(__xludf.DUMMYFUNCTION("""COMPUTED_VALUE"""),"Test Driver")</f>
        <v>Test Driver</v>
      </c>
      <c r="B479" s="5">
        <f>IFERROR(__xludf.DUMMYFUNCTION("""COMPUTED_VALUE"""),0.006944444444444444)</f>
        <v>0.006944444444</v>
      </c>
      <c r="C479" s="5" t="str">
        <f>IFERROR(__xludf.DUMMYFUNCTION("""COMPUTED_VALUE"""),"AE86T")</f>
        <v>AE86T</v>
      </c>
      <c r="D479" s="5"/>
      <c r="E479" s="5" t="str">
        <f>IFERROR(__xludf.DUMMYFUNCTION("""COMPUTED_VALUE"""),"Test Driver")</f>
        <v>Test Driver</v>
      </c>
      <c r="F479" s="5">
        <f>IFERROR(__xludf.DUMMYFUNCTION("""COMPUTED_VALUE"""),0.006944444444444444)</f>
        <v>0.006944444444</v>
      </c>
      <c r="G479" s="5" t="str">
        <f>IFERROR(__xludf.DUMMYFUNCTION("""COMPUTED_VALUE"""),"AE86T")</f>
        <v>AE86T</v>
      </c>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row>
    <row r="480">
      <c r="A480" s="5" t="str">
        <f>IFERROR(__xludf.DUMMYFUNCTION("""COMPUTED_VALUE"""),"Test Driver")</f>
        <v>Test Driver</v>
      </c>
      <c r="B480" s="5">
        <f>IFERROR(__xludf.DUMMYFUNCTION("""COMPUTED_VALUE"""),0.006944444444444444)</f>
        <v>0.006944444444</v>
      </c>
      <c r="C480" s="5" t="str">
        <f>IFERROR(__xludf.DUMMYFUNCTION("""COMPUTED_VALUE"""),"S14")</f>
        <v>S14</v>
      </c>
      <c r="D480" s="5"/>
      <c r="E480" s="5" t="str">
        <f>IFERROR(__xludf.DUMMYFUNCTION("""COMPUTED_VALUE"""),"Test Driver")</f>
        <v>Test Driver</v>
      </c>
      <c r="F480" s="5">
        <f>IFERROR(__xludf.DUMMYFUNCTION("""COMPUTED_VALUE"""),0.006944444444444444)</f>
        <v>0.006944444444</v>
      </c>
      <c r="G480" s="5" t="str">
        <f>IFERROR(__xludf.DUMMYFUNCTION("""COMPUTED_VALUE"""),"S14")</f>
        <v>S14</v>
      </c>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row>
    <row r="481">
      <c r="A481" s="5" t="str">
        <f>IFERROR(__xludf.DUMMYFUNCTION("""COMPUTED_VALUE"""),"Test Driver")</f>
        <v>Test Driver</v>
      </c>
      <c r="B481" s="5">
        <f>IFERROR(__xludf.DUMMYFUNCTION("""COMPUTED_VALUE"""),0.006944444444444444)</f>
        <v>0.006944444444</v>
      </c>
      <c r="C481" s="5" t="str">
        <f>IFERROR(__xludf.DUMMYFUNCTION("""COMPUTED_VALUE"""),"EG6")</f>
        <v>EG6</v>
      </c>
      <c r="D481" s="5"/>
      <c r="E481" s="5" t="str">
        <f>IFERROR(__xludf.DUMMYFUNCTION("""COMPUTED_VALUE"""),"Test Driver")</f>
        <v>Test Driver</v>
      </c>
      <c r="F481" s="5">
        <f>IFERROR(__xludf.DUMMYFUNCTION("""COMPUTED_VALUE"""),0.006944444444444444)</f>
        <v>0.006944444444</v>
      </c>
      <c r="G481" s="5" t="str">
        <f>IFERROR(__xludf.DUMMYFUNCTION("""COMPUTED_VALUE"""),"EG6")</f>
        <v>EG6</v>
      </c>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row>
    <row r="482">
      <c r="A482" s="5" t="str">
        <f>IFERROR(__xludf.DUMMYFUNCTION("""COMPUTED_VALUE"""),"Test Driver")</f>
        <v>Test Driver</v>
      </c>
      <c r="B482" s="5">
        <f>IFERROR(__xludf.DUMMYFUNCTION("""COMPUTED_VALUE"""),0.006944444444444444)</f>
        <v>0.006944444444</v>
      </c>
      <c r="C482" s="5" t="str">
        <f>IFERROR(__xludf.DUMMYFUNCTION("""COMPUTED_VALUE"""),"DB42 (GR Supra)")</f>
        <v>DB42 (GR Supra)</v>
      </c>
      <c r="D482" s="5"/>
      <c r="E482" s="5" t="str">
        <f>IFERROR(__xludf.DUMMYFUNCTION("""COMPUTED_VALUE"""),"Test Driver")</f>
        <v>Test Driver</v>
      </c>
      <c r="F482" s="5">
        <f>IFERROR(__xludf.DUMMYFUNCTION("""COMPUTED_VALUE"""),0.006944444444444444)</f>
        <v>0.006944444444</v>
      </c>
      <c r="G482" s="5" t="str">
        <f>IFERROR(__xludf.DUMMYFUNCTION("""COMPUTED_VALUE"""),"DB42 (GR Supra)")</f>
        <v>DB42 (GR Supra)</v>
      </c>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row>
    <row r="483">
      <c r="A483" s="5" t="str">
        <f>IFERROR(__xludf.DUMMYFUNCTION("""COMPUTED_VALUE"""),"Test Driver")</f>
        <v>Test Driver</v>
      </c>
      <c r="B483" s="5">
        <f>IFERROR(__xludf.DUMMYFUNCTION("""COMPUTED_VALUE"""),0.006944444444444444)</f>
        <v>0.006944444444</v>
      </c>
      <c r="C483" s="5" t="str">
        <f>IFERROR(__xludf.DUMMYFUNCTION("""COMPUTED_VALUE"""),"BNR32")</f>
        <v>BNR32</v>
      </c>
      <c r="D483" s="5"/>
      <c r="E483" s="5" t="str">
        <f>IFERROR(__xludf.DUMMYFUNCTION("""COMPUTED_VALUE"""),"Test Driver")</f>
        <v>Test Driver</v>
      </c>
      <c r="F483" s="5">
        <f>IFERROR(__xludf.DUMMYFUNCTION("""COMPUTED_VALUE"""),0.006944444444444444)</f>
        <v>0.006944444444</v>
      </c>
      <c r="G483" s="5" t="str">
        <f>IFERROR(__xludf.DUMMYFUNCTION("""COMPUTED_VALUE"""),"BNR32")</f>
        <v>BNR32</v>
      </c>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row>
    <row r="484">
      <c r="A484" s="5" t="str">
        <f>IFERROR(__xludf.DUMMYFUNCTION("""COMPUTED_VALUE"""),"Test Driver")</f>
        <v>Test Driver</v>
      </c>
      <c r="B484" s="5">
        <f>IFERROR(__xludf.DUMMYFUNCTION("""COMPUTED_VALUE"""),0.006944444444444444)</f>
        <v>0.006944444444</v>
      </c>
      <c r="C484" s="5" t="str">
        <f>IFERROR(__xludf.DUMMYFUNCTION("""COMPUTED_VALUE"""),"FD3S (RX7)")</f>
        <v>FD3S (RX7)</v>
      </c>
      <c r="D484" s="5"/>
      <c r="E484" s="5" t="str">
        <f>IFERROR(__xludf.DUMMYFUNCTION("""COMPUTED_VALUE"""),"Test Driver")</f>
        <v>Test Driver</v>
      </c>
      <c r="F484" s="5">
        <f>IFERROR(__xludf.DUMMYFUNCTION("""COMPUTED_VALUE"""),0.006944444444444444)</f>
        <v>0.006944444444</v>
      </c>
      <c r="G484" s="5" t="str">
        <f>IFERROR(__xludf.DUMMYFUNCTION("""COMPUTED_VALUE"""),"FD3S (RX7)")</f>
        <v>FD3S (RX7)</v>
      </c>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row>
    <row r="488">
      <c r="A488" s="56" t="s">
        <v>112</v>
      </c>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row>
    <row r="489">
      <c r="A489" s="11" t="str">
        <f>IFERROR(__xludf.DUMMYFUNCTION("LET(
  賽道, ""Summit"",
  路線, """",
  系統, ""Sacc"",
  原始, FILTER('歷史紀錄'!$E$2:$H1244, '歷史紀錄'!$B$2:$B1244=賽道, '歷史紀錄'!$C$2:$C1244=路線, '歷史紀錄'!$I$2:$I1244=系統),
  排序後, SORT(原始, 2, TRUE),
  車輛, INDEX(排序後,,3),
  唯一車輛, UNIQUE(車輛),
  結果,
    MAP(唯一車輛, LAMBDA(p,
    "&amp;"  INDEX(FILTER(排序後, INDEX(排序後,,3)=p),1,0)
    )),
  表頭, {""Player玩家"",""Time時間"",""Car車種"",""Platform平台""},
  VSTACK(表頭, 結果)
)
"),"Player玩家")</f>
        <v>Player玩家</v>
      </c>
      <c r="B489" s="11" t="str">
        <f>IFERROR(__xludf.DUMMYFUNCTION("""COMPUTED_VALUE"""),"Time時間")</f>
        <v>Time時間</v>
      </c>
      <c r="C489" s="11" t="str">
        <f>IFERROR(__xludf.DUMMYFUNCTION("""COMPUTED_VALUE"""),"Car車種")</f>
        <v>Car車種</v>
      </c>
      <c r="D489" s="11" t="str">
        <f>IFERROR(__xludf.DUMMYFUNCTION("""COMPUTED_VALUE"""),"Platform平台")</f>
        <v>Platform平台</v>
      </c>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row>
    <row r="490">
      <c r="A490" s="5" t="str">
        <f>IFERROR(__xludf.DUMMYFUNCTION("""COMPUTED_VALUE"""),"アビドサスヒカリ")</f>
        <v>アビドサスヒカリ</v>
      </c>
      <c r="B490" s="5">
        <f>IFERROR(__xludf.DUMMYFUNCTION("""COMPUTED_VALUE"""),0.0012092592592592593)</f>
        <v>0.001209259259</v>
      </c>
      <c r="C490" s="5" t="str">
        <f>IFERROR(__xludf.DUMMYFUNCTION("""COMPUTED_VALUE"""),"22B")</f>
        <v>22B</v>
      </c>
      <c r="D490" s="5" t="str">
        <f>IFERROR(__xludf.DUMMYFUNCTION("""COMPUTED_VALUE"""),"PC")</f>
        <v>PC</v>
      </c>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row>
    <row r="491">
      <c r="A491" s="5" t="str">
        <f>IFERROR(__xludf.DUMMYFUNCTION("""COMPUTED_VALUE"""),"LinWu_05")</f>
        <v>LinWu_05</v>
      </c>
      <c r="B491" s="5">
        <f>IFERROR(__xludf.DUMMYFUNCTION("""COMPUTED_VALUE"""),0.0012540509259259258)</f>
        <v>0.001254050926</v>
      </c>
      <c r="C491" s="5" t="str">
        <f>IFERROR(__xludf.DUMMYFUNCTION("""COMPUTED_VALUE"""),"CX-3")</f>
        <v>CX-3</v>
      </c>
      <c r="D491" s="5" t="str">
        <f>IFERROR(__xludf.DUMMYFUNCTION("""COMPUTED_VALUE"""),"PC")</f>
        <v>PC</v>
      </c>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row>
    <row r="492">
      <c r="A492" s="5" t="str">
        <f>IFERROR(__xludf.DUMMYFUNCTION("""COMPUTED_VALUE"""),"StarRiver Arts")</f>
        <v>StarRiver Arts</v>
      </c>
      <c r="B492" s="5">
        <f>IFERROR(__xludf.DUMMYFUNCTION("""COMPUTED_VALUE"""),0.001321574074074074)</f>
        <v>0.001321574074</v>
      </c>
      <c r="C492" s="5" t="str">
        <f>IFERROR(__xludf.DUMMYFUNCTION("""COMPUTED_VALUE"""),"Pulsar")</f>
        <v>Pulsar</v>
      </c>
      <c r="D492" s="5" t="str">
        <f>IFERROR(__xludf.DUMMYFUNCTION("""COMPUTED_VALUE"""),"PC")</f>
        <v>PC</v>
      </c>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row>
    <row r="493">
      <c r="A493" s="5" t="str">
        <f>IFERROR(__xludf.DUMMYFUNCTION("""COMPUTED_VALUE"""),"Chisey")</f>
        <v>Chisey</v>
      </c>
      <c r="B493" s="5">
        <f>IFERROR(__xludf.DUMMYFUNCTION("""COMPUTED_VALUE"""),0.0016749421296296297)</f>
        <v>0.00167494213</v>
      </c>
      <c r="C493" s="5" t="str">
        <f>IFERROR(__xludf.DUMMYFUNCTION("""COMPUTED_VALUE"""),"Pajero")</f>
        <v>Pajero</v>
      </c>
      <c r="D493" s="5" t="str">
        <f>IFERROR(__xludf.DUMMYFUNCTION("""COMPUTED_VALUE"""),"PCVR")</f>
        <v>PCVR</v>
      </c>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row>
    <row r="1184">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row>
    <row r="1185">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row>
    <row r="1186">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row>
    <row r="1187">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row>
    <row r="1188">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row>
    <row r="1189">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row>
    <row r="1190">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row>
    <row r="119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row>
    <row r="119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row>
    <row r="119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row>
    <row r="1194">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row>
    <row r="1195">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row>
    <row r="1196">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row>
    <row r="1197">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row>
    <row r="1198">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row>
    <row r="1199">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row>
    <row r="1200">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row>
    <row r="120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row>
    <row r="12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row>
    <row r="12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row>
    <row r="1204">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row>
    <row r="1205">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row>
    <row r="1206">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row>
    <row r="1207">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row>
    <row r="1208">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row>
    <row r="1209">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row>
    <row r="1210">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row>
    <row r="121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row>
    <row r="121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row>
    <row r="121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row>
    <row r="1214">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c r="AG1229" s="5"/>
      <c r="AH1229" s="5"/>
      <c r="AI1229" s="5"/>
      <c r="AJ1229" s="5"/>
      <c r="AK1229" s="5"/>
      <c r="AL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row>
    <row r="1231">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row>
    <row r="1232">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row>
    <row r="1233">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row>
    <row r="1234">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row>
    <row r="1235">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row>
    <row r="1236">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row>
    <row r="1237">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row>
    <row r="1238">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row>
    <row r="1239">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row>
    <row r="1240">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row>
    <row r="1241">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row>
    <row r="1242">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row>
    <row r="1243">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row>
    <row r="1244">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row>
  </sheetData>
  <mergeCells count="102">
    <mergeCell ref="A148:D148"/>
    <mergeCell ref="E148:H148"/>
    <mergeCell ref="A170:D170"/>
    <mergeCell ref="E170:H170"/>
    <mergeCell ref="A181:D181"/>
    <mergeCell ref="E181:H181"/>
    <mergeCell ref="E192:H192"/>
    <mergeCell ref="A192:D192"/>
    <mergeCell ref="A208:D208"/>
    <mergeCell ref="E208:H208"/>
    <mergeCell ref="A220:D220"/>
    <mergeCell ref="E220:H220"/>
    <mergeCell ref="A230:D230"/>
    <mergeCell ref="E230:H230"/>
    <mergeCell ref="A246:D246"/>
    <mergeCell ref="E246:H246"/>
    <mergeCell ref="A257:D257"/>
    <mergeCell ref="E257:H257"/>
    <mergeCell ref="A269:D269"/>
    <mergeCell ref="E269:H269"/>
    <mergeCell ref="E278:H278"/>
    <mergeCell ref="A278:D278"/>
    <mergeCell ref="A288:D288"/>
    <mergeCell ref="E288:H288"/>
    <mergeCell ref="A297:D297"/>
    <mergeCell ref="E297:H297"/>
    <mergeCell ref="A306:D306"/>
    <mergeCell ref="E306:H306"/>
    <mergeCell ref="A316:D316"/>
    <mergeCell ref="A326:D326"/>
    <mergeCell ref="E326:H326"/>
    <mergeCell ref="A336:D336"/>
    <mergeCell ref="A347:D347"/>
    <mergeCell ref="E347:H347"/>
    <mergeCell ref="E358:H358"/>
    <mergeCell ref="A358:D358"/>
    <mergeCell ref="A373:D373"/>
    <mergeCell ref="E373:H373"/>
    <mergeCell ref="A388:D388"/>
    <mergeCell ref="A403:D403"/>
    <mergeCell ref="E403:H403"/>
    <mergeCell ref="A411:D411"/>
    <mergeCell ref="A452:D452"/>
    <mergeCell ref="A464:D464"/>
    <mergeCell ref="E464:H464"/>
    <mergeCell ref="A477:D477"/>
    <mergeCell ref="E477:H477"/>
    <mergeCell ref="A488:D488"/>
    <mergeCell ref="A419:D419"/>
    <mergeCell ref="E419:H419"/>
    <mergeCell ref="A432:D432"/>
    <mergeCell ref="E432:H432"/>
    <mergeCell ref="A441:D441"/>
    <mergeCell ref="E441:H441"/>
    <mergeCell ref="E452:H452"/>
    <mergeCell ref="A1:H1"/>
    <mergeCell ref="I1:P1"/>
    <mergeCell ref="Q1:X1"/>
    <mergeCell ref="A2:D2"/>
    <mergeCell ref="E2:H2"/>
    <mergeCell ref="I2:L2"/>
    <mergeCell ref="M2:P2"/>
    <mergeCell ref="I25:L25"/>
    <mergeCell ref="A32:D32"/>
    <mergeCell ref="E32:H32"/>
    <mergeCell ref="A43:D43"/>
    <mergeCell ref="E43:H43"/>
    <mergeCell ref="Q2:T2"/>
    <mergeCell ref="U2:X2"/>
    <mergeCell ref="Q9:T9"/>
    <mergeCell ref="U9:X9"/>
    <mergeCell ref="Q14:T14"/>
    <mergeCell ref="U14:X14"/>
    <mergeCell ref="M25:P25"/>
    <mergeCell ref="Q56:X56"/>
    <mergeCell ref="I57:P57"/>
    <mergeCell ref="Q57:X57"/>
    <mergeCell ref="I58:L58"/>
    <mergeCell ref="M58:P58"/>
    <mergeCell ref="Q58:T58"/>
    <mergeCell ref="A61:D61"/>
    <mergeCell ref="I71:L71"/>
    <mergeCell ref="M71:P71"/>
    <mergeCell ref="A74:D74"/>
    <mergeCell ref="E74:H74"/>
    <mergeCell ref="I82:L82"/>
    <mergeCell ref="A85:D85"/>
    <mergeCell ref="E85:H85"/>
    <mergeCell ref="I93:P93"/>
    <mergeCell ref="Q93:X93"/>
    <mergeCell ref="I94:L94"/>
    <mergeCell ref="M94:P94"/>
    <mergeCell ref="Q94:U94"/>
    <mergeCell ref="E102:H102"/>
    <mergeCell ref="I106:L106"/>
    <mergeCell ref="A102:D102"/>
    <mergeCell ref="A114:D114"/>
    <mergeCell ref="E114:H114"/>
    <mergeCell ref="A126:D126"/>
    <mergeCell ref="E126:H126"/>
    <mergeCell ref="A136:D136"/>
    <mergeCell ref="E136:H136"/>
  </mergeCells>
  <conditionalFormatting sqref="A328:D357 E337 A360:D387 A390:D402">
    <cfRule type="containsText" dxfId="1" priority="1" operator="containsText" text="AE86">
      <formula>NOT(ISERROR(SEARCH(("AE86"),(A328))))</formula>
    </cfRule>
  </conditionalFormatting>
  <conditionalFormatting sqref="A328:D357 E337 A360:D387 A390:D402">
    <cfRule type="containsText" dxfId="1" priority="2" operator="containsText" text="EK9">
      <formula>NOT(ISERROR(SEARCH(("EK9"),(A328))))</formula>
    </cfRule>
  </conditionalFormatting>
  <conditionalFormatting sqref="A328:D357 E337 A360:D387 A390:D402">
    <cfRule type="containsText" dxfId="1" priority="3" operator="containsText" text="BNR32">
      <formula>NOT(ISERROR(SEARCH(("BNR32"),(A328))))</formula>
    </cfRule>
  </conditionalFormatting>
  <conditionalFormatting sqref="A328:D357 E337 A360:D387 A390:D402">
    <cfRule type="containsText" dxfId="1" priority="4" operator="containsText" text="BNR34">
      <formula>NOT(ISERROR(SEARCH(("BNR34"),(A328))))</formula>
    </cfRule>
  </conditionalFormatting>
  <conditionalFormatting sqref="A328:D357 E337 A360:D387 A390:D402">
    <cfRule type="containsText" dxfId="1" priority="5" operator="containsText" text="DC2">
      <formula>NOT(ISERROR(SEARCH(("DC2"),(A328))))</formula>
    </cfRule>
  </conditionalFormatting>
  <conditionalFormatting sqref="A328:D357 E337 A360:D387 A390:D402">
    <cfRule type="containsText" dxfId="1" priority="6" operator="containsText" text="GDB">
      <formula>NOT(ISERROR(SEARCH(("GDB"),(A328))))</formula>
    </cfRule>
  </conditionalFormatting>
  <conditionalFormatting sqref="A1:H418 I1:P1244 Q1:X13 Y1:AL1244 Q15:X15 Q18:Q56 R18:X55 Q59 Q61:X1244 A420 E420 A422:H1244">
    <cfRule type="containsText" dxfId="0" priority="7" operator="containsText" text="Test Driver">
      <formula>NOT(ISERROR(SEARCH(("Test Driver"),(A1))))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5.63"/>
    <col customWidth="1" min="3" max="3" width="4.88"/>
    <col customWidth="1" min="4" max="4" width="11.38"/>
    <col customWidth="1" min="5" max="5" width="7.88"/>
    <col customWidth="1" min="6" max="6" width="0.38"/>
    <col customWidth="1" min="7" max="7" width="5.63"/>
    <col customWidth="1" min="8" max="8" width="4.75"/>
    <col customWidth="1" min="9" max="9" width="12.63"/>
    <col customWidth="1" min="10" max="10" width="5.88"/>
    <col customWidth="1" min="11" max="11" width="4.88"/>
    <col customWidth="1" min="12" max="12" width="14.38"/>
    <col customWidth="1" min="13" max="13" width="7.88"/>
    <col customWidth="1" min="14" max="14" width="0.38"/>
    <col customWidth="1" min="15" max="15" width="5.63"/>
    <col customWidth="1" min="16" max="16" width="4.75"/>
    <col customWidth="1" min="17" max="17" width="9.38"/>
    <col customWidth="1" min="18" max="18" width="4.38"/>
    <col customWidth="1" min="19" max="19" width="11.38"/>
    <col customWidth="1" min="20" max="20" width="14.38"/>
    <col customWidth="1" min="21" max="21" width="7.88"/>
    <col customWidth="1" min="22" max="22" width="0.38"/>
    <col customWidth="1" min="23" max="23" width="5.63"/>
    <col customWidth="1" min="24" max="24" width="4.75"/>
    <col customWidth="1" min="25" max="25" width="11.25"/>
    <col customWidth="1" min="26" max="26" width="4.38"/>
    <col customWidth="1" min="27" max="27" width="4.88"/>
    <col customWidth="1" min="28" max="28" width="11.38"/>
    <col customWidth="1" min="29" max="29" width="7.88"/>
    <col customWidth="1" min="30" max="30" width="0.38"/>
    <col customWidth="1" min="31" max="31" width="4.38"/>
    <col customWidth="1" min="32" max="32" width="4.75"/>
    <col customWidth="1" min="33" max="33" width="11.13"/>
    <col customWidth="1" min="34" max="34" width="4.38"/>
    <col customWidth="1" min="35" max="35" width="9.0"/>
    <col customWidth="1" min="36" max="36" width="12.63"/>
    <col customWidth="1" min="37" max="37" width="7.88"/>
    <col customWidth="1" min="38" max="38" width="0.38"/>
    <col customWidth="1" min="39" max="39" width="5.63"/>
    <col customWidth="1" min="40" max="40" width="4.38"/>
    <col customWidth="1" min="41" max="41" width="10.0"/>
    <col customWidth="1" min="42" max="42" width="4.38"/>
    <col customWidth="1" min="43" max="43" width="4.88"/>
    <col customWidth="1" min="44" max="44" width="12.25"/>
    <col customWidth="1" min="45" max="45" width="7.88"/>
    <col customWidth="1" min="46" max="46" width="0.38"/>
    <col customWidth="1" min="47" max="48" width="4.75"/>
    <col customWidth="1" min="49" max="49" width="10.0"/>
    <col customWidth="1" min="50" max="50" width="4.38"/>
    <col customWidth="1" min="51" max="51" width="4.88"/>
    <col customWidth="1" min="52" max="52" width="12.25"/>
    <col customWidth="1" min="53" max="53" width="7.88"/>
    <col customWidth="1" min="54" max="54" width="0.38"/>
    <col customWidth="1" min="55" max="67" width="4.75"/>
  </cols>
  <sheetData>
    <row r="1">
      <c r="A1" s="61" t="s">
        <v>116</v>
      </c>
      <c r="I1" s="62" t="s">
        <v>117</v>
      </c>
      <c r="Q1" s="63" t="s">
        <v>118</v>
      </c>
      <c r="Y1" s="61" t="s">
        <v>119</v>
      </c>
      <c r="AG1" s="64" t="s">
        <v>120</v>
      </c>
      <c r="AO1" s="65" t="s">
        <v>121</v>
      </c>
      <c r="AW1" s="66" t="s">
        <v>122</v>
      </c>
      <c r="BE1" s="66"/>
      <c r="BF1" s="66"/>
      <c r="BG1" s="66"/>
      <c r="BH1" s="66"/>
      <c r="BI1" s="66"/>
      <c r="BJ1" s="66"/>
      <c r="BK1" s="66"/>
      <c r="BL1" s="66"/>
      <c r="BM1" s="66"/>
      <c r="BN1" s="66"/>
      <c r="BO1" s="66"/>
    </row>
    <row r="2">
      <c r="A2" s="67" t="s">
        <v>123</v>
      </c>
      <c r="I2" s="67" t="s">
        <v>124</v>
      </c>
      <c r="Q2" s="67" t="s">
        <v>125</v>
      </c>
      <c r="Y2" s="67" t="s">
        <v>126</v>
      </c>
      <c r="AG2" s="68" t="s">
        <v>127</v>
      </c>
      <c r="AO2" s="67" t="s">
        <v>128</v>
      </c>
      <c r="AW2" s="67" t="s">
        <v>129</v>
      </c>
      <c r="BE2" s="67"/>
      <c r="BF2" s="67"/>
      <c r="BG2" s="67"/>
      <c r="BH2" s="67"/>
      <c r="BI2" s="67"/>
      <c r="BJ2" s="67"/>
      <c r="BK2" s="67"/>
      <c r="BL2" s="67"/>
      <c r="BM2" s="67"/>
      <c r="BN2" s="67"/>
      <c r="BO2" s="67"/>
    </row>
    <row r="3">
      <c r="A3" s="5" t="str">
        <f>IFERROR(__xludf.DUMMYFUNCTION("LET(
  車輛, A2,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B3" s="5" t="str">
        <f>IFERROR(__xludf.DUMMYFUNCTION("""COMPUTED_VALUE"""),"路線")</f>
        <v>路線</v>
      </c>
      <c r="C3" s="5" t="str">
        <f>IFERROR(__xludf.DUMMYFUNCTION("""COMPUTED_VALUE"""),"作者")</f>
        <v>作者</v>
      </c>
      <c r="D3" s="5" t="str">
        <f>IFERROR(__xludf.DUMMYFUNCTION("""COMPUTED_VALUE"""),"玩家")</f>
        <v>玩家</v>
      </c>
      <c r="E3" s="5" t="str">
        <f>IFERROR(__xludf.DUMMYFUNCTION("""COMPUTED_VALUE"""),"時間")</f>
        <v>時間</v>
      </c>
      <c r="F3" s="5" t="str">
        <f>IFERROR(__xludf.DUMMYFUNCTION("""COMPUTED_VALUE"""),"車輛")</f>
        <v>車輛</v>
      </c>
      <c r="G3" s="5" t="str">
        <f>IFERROR(__xludf.DUMMYFUNCTION("""COMPUTED_VALUE"""),"平台")</f>
        <v>平台</v>
      </c>
      <c r="H3" s="5" t="str">
        <f>IFERROR(__xludf.DUMMYFUNCTION("""COMPUTED_VALUE"""),"系統")</f>
        <v>系統</v>
      </c>
      <c r="I3" s="5" t="str">
        <f>IFERROR(__xludf.DUMMYFUNCTION("LET(
  車輛, I2,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J3" s="5" t="str">
        <f>IFERROR(__xludf.DUMMYFUNCTION("""COMPUTED_VALUE"""),"路線")</f>
        <v>路線</v>
      </c>
      <c r="K3" s="5" t="str">
        <f>IFERROR(__xludf.DUMMYFUNCTION("""COMPUTED_VALUE"""),"作者")</f>
        <v>作者</v>
      </c>
      <c r="L3" s="5" t="str">
        <f>IFERROR(__xludf.DUMMYFUNCTION("""COMPUTED_VALUE"""),"玩家")</f>
        <v>玩家</v>
      </c>
      <c r="M3" s="5" t="str">
        <f>IFERROR(__xludf.DUMMYFUNCTION("""COMPUTED_VALUE"""),"時間")</f>
        <v>時間</v>
      </c>
      <c r="N3" s="5" t="str">
        <f>IFERROR(__xludf.DUMMYFUNCTION("""COMPUTED_VALUE"""),"車輛")</f>
        <v>車輛</v>
      </c>
      <c r="O3" s="5" t="str">
        <f>IFERROR(__xludf.DUMMYFUNCTION("""COMPUTED_VALUE"""),"平台")</f>
        <v>平台</v>
      </c>
      <c r="P3" s="5" t="str">
        <f>IFERROR(__xludf.DUMMYFUNCTION("""COMPUTED_VALUE"""),"系統")</f>
        <v>系統</v>
      </c>
      <c r="Q3" s="5" t="str">
        <f>IFERROR(__xludf.DUMMYFUNCTION("LET(
  車輛, Q2,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3" s="5" t="str">
        <f>IFERROR(__xludf.DUMMYFUNCTION("""COMPUTED_VALUE"""),"路線")</f>
        <v>路線</v>
      </c>
      <c r="S3" s="5" t="str">
        <f>IFERROR(__xludf.DUMMYFUNCTION("""COMPUTED_VALUE"""),"作者")</f>
        <v>作者</v>
      </c>
      <c r="T3" s="5" t="str">
        <f>IFERROR(__xludf.DUMMYFUNCTION("""COMPUTED_VALUE"""),"玩家")</f>
        <v>玩家</v>
      </c>
      <c r="U3" s="5" t="str">
        <f>IFERROR(__xludf.DUMMYFUNCTION("""COMPUTED_VALUE"""),"時間")</f>
        <v>時間</v>
      </c>
      <c r="V3" s="5" t="str">
        <f>IFERROR(__xludf.DUMMYFUNCTION("""COMPUTED_VALUE"""),"車輛")</f>
        <v>車輛</v>
      </c>
      <c r="W3" s="5" t="str">
        <f>IFERROR(__xludf.DUMMYFUNCTION("""COMPUTED_VALUE"""),"平台")</f>
        <v>平台</v>
      </c>
      <c r="X3" s="5" t="str">
        <f>IFERROR(__xludf.DUMMYFUNCTION("""COMPUTED_VALUE"""),"系統")</f>
        <v>系統</v>
      </c>
      <c r="Y3" s="5" t="str">
        <f>IFERROR(__xludf.DUMMYFUNCTION("LET(
  車輛, Y2,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3" s="5" t="str">
        <f>IFERROR(__xludf.DUMMYFUNCTION("""COMPUTED_VALUE"""),"路線")</f>
        <v>路線</v>
      </c>
      <c r="AA3" s="5" t="str">
        <f>IFERROR(__xludf.DUMMYFUNCTION("""COMPUTED_VALUE"""),"作者")</f>
        <v>作者</v>
      </c>
      <c r="AB3" s="5" t="str">
        <f>IFERROR(__xludf.DUMMYFUNCTION("""COMPUTED_VALUE"""),"玩家")</f>
        <v>玩家</v>
      </c>
      <c r="AC3" s="5" t="str">
        <f>IFERROR(__xludf.DUMMYFUNCTION("""COMPUTED_VALUE"""),"時間")</f>
        <v>時間</v>
      </c>
      <c r="AD3" s="5" t="str">
        <f>IFERROR(__xludf.DUMMYFUNCTION("""COMPUTED_VALUE"""),"車輛")</f>
        <v>車輛</v>
      </c>
      <c r="AE3" s="5" t="str">
        <f>IFERROR(__xludf.DUMMYFUNCTION("""COMPUTED_VALUE"""),"平台")</f>
        <v>平台</v>
      </c>
      <c r="AF3" s="5" t="str">
        <f>IFERROR(__xludf.DUMMYFUNCTION("""COMPUTED_VALUE"""),"系統")</f>
        <v>系統</v>
      </c>
      <c r="AG3" s="14" t="str">
        <f>IFERROR(__xludf.DUMMYFUNCTION("LET(
  車輛, AG2,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AH3" s="14" t="str">
        <f>IFERROR(__xludf.DUMMYFUNCTION("""COMPUTED_VALUE"""),"路線")</f>
        <v>路線</v>
      </c>
      <c r="AI3" s="14" t="str">
        <f>IFERROR(__xludf.DUMMYFUNCTION("""COMPUTED_VALUE"""),"作者")</f>
        <v>作者</v>
      </c>
      <c r="AJ3" s="14" t="str">
        <f>IFERROR(__xludf.DUMMYFUNCTION("""COMPUTED_VALUE"""),"玩家")</f>
        <v>玩家</v>
      </c>
      <c r="AK3" s="14" t="str">
        <f>IFERROR(__xludf.DUMMYFUNCTION("""COMPUTED_VALUE"""),"時間")</f>
        <v>時間</v>
      </c>
      <c r="AL3" s="14" t="str">
        <f>IFERROR(__xludf.DUMMYFUNCTION("""COMPUTED_VALUE"""),"車輛")</f>
        <v>車輛</v>
      </c>
      <c r="AM3" s="14" t="str">
        <f>IFERROR(__xludf.DUMMYFUNCTION("""COMPUTED_VALUE"""),"平台")</f>
        <v>平台</v>
      </c>
      <c r="AN3" s="14" t="str">
        <f>IFERROR(__xludf.DUMMYFUNCTION("""COMPUTED_VALUE"""),"系統")</f>
        <v>系統</v>
      </c>
      <c r="AO3" s="5" t="str">
        <f>IFERROR(__xludf.DUMMYFUNCTION("LET(
  車輛, AO2,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AP3" s="5" t="str">
        <f>IFERROR(__xludf.DUMMYFUNCTION("""COMPUTED_VALUE"""),"路線")</f>
        <v>路線</v>
      </c>
      <c r="AQ3" s="5" t="str">
        <f>IFERROR(__xludf.DUMMYFUNCTION("""COMPUTED_VALUE"""),"作者")</f>
        <v>作者</v>
      </c>
      <c r="AR3" s="5" t="str">
        <f>IFERROR(__xludf.DUMMYFUNCTION("""COMPUTED_VALUE"""),"玩家")</f>
        <v>玩家</v>
      </c>
      <c r="AS3" s="5" t="str">
        <f>IFERROR(__xludf.DUMMYFUNCTION("""COMPUTED_VALUE"""),"時間")</f>
        <v>時間</v>
      </c>
      <c r="AT3" s="5" t="str">
        <f>IFERROR(__xludf.DUMMYFUNCTION("""COMPUTED_VALUE"""),"車輛")</f>
        <v>車輛</v>
      </c>
      <c r="AU3" s="5" t="str">
        <f>IFERROR(__xludf.DUMMYFUNCTION("""COMPUTED_VALUE"""),"平台")</f>
        <v>平台</v>
      </c>
      <c r="AV3" s="5" t="str">
        <f>IFERROR(__xludf.DUMMYFUNCTION("""COMPUTED_VALUE"""),"系統")</f>
        <v>系統</v>
      </c>
      <c r="AW3" s="5" t="str">
        <f>IFERROR(__xludf.DUMMYFUNCTION("LET(
  車輛, AW2,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AX3" s="5" t="str">
        <f>IFERROR(__xludf.DUMMYFUNCTION("""COMPUTED_VALUE"""),"路線")</f>
        <v>路線</v>
      </c>
      <c r="AY3" s="5" t="str">
        <f>IFERROR(__xludf.DUMMYFUNCTION("""COMPUTED_VALUE"""),"作者")</f>
        <v>作者</v>
      </c>
      <c r="AZ3" s="5" t="str">
        <f>IFERROR(__xludf.DUMMYFUNCTION("""COMPUTED_VALUE"""),"玩家")</f>
        <v>玩家</v>
      </c>
      <c r="BA3" s="5" t="str">
        <f>IFERROR(__xludf.DUMMYFUNCTION("""COMPUTED_VALUE"""),"時間")</f>
        <v>時間</v>
      </c>
      <c r="BB3" s="5" t="str">
        <f>IFERROR(__xludf.DUMMYFUNCTION("""COMPUTED_VALUE"""),"車輛")</f>
        <v>車輛</v>
      </c>
      <c r="BC3" s="5" t="str">
        <f>IFERROR(__xludf.DUMMYFUNCTION("""COMPUTED_VALUE"""),"平台")</f>
        <v>平台</v>
      </c>
      <c r="BD3" s="5" t="str">
        <f>IFERROR(__xludf.DUMMYFUNCTION("""COMPUTED_VALUE"""),"系統")</f>
        <v>系統</v>
      </c>
      <c r="BE3" s="5"/>
      <c r="BF3" s="5"/>
      <c r="BG3" s="5"/>
      <c r="BH3" s="5"/>
      <c r="BI3" s="5"/>
      <c r="BJ3" s="5"/>
      <c r="BK3" s="5"/>
      <c r="BL3" s="5"/>
      <c r="BM3" s="5"/>
      <c r="BN3" s="5"/>
      <c r="BO3" s="5"/>
    </row>
    <row r="4">
      <c r="A4" s="5" t="str">
        <f>IFERROR(__xludf.DUMMYFUNCTION("""COMPUTED_VALUE"""),"Akina")</f>
        <v>Akina</v>
      </c>
      <c r="B4" s="5" t="str">
        <f>IFERROR(__xludf.DUMMYFUNCTION("""COMPUTED_VALUE"""),"DH")</f>
        <v>DH</v>
      </c>
      <c r="C4" s="5" t="str">
        <f>IFERROR(__xludf.DUMMYFUNCTION("""COMPUTED_VALUE"""),"Jintei")</f>
        <v>Jintei</v>
      </c>
      <c r="D4" s="5" t="str">
        <f>IFERROR(__xludf.DUMMYFUNCTION("""COMPUTED_VALUE"""),"StarRiver Arts")</f>
        <v>StarRiver Arts</v>
      </c>
      <c r="E4" s="5">
        <f>IFERROR(__xludf.DUMMYFUNCTION("""COMPUTED_VALUE"""),0.0032253124999999994)</f>
        <v>0.0032253125</v>
      </c>
      <c r="F4" s="5" t="str">
        <f>IFERROR(__xludf.DUMMYFUNCTION("""COMPUTED_VALUE"""),"AE86T")</f>
        <v>AE86T</v>
      </c>
      <c r="G4" s="5" t="str">
        <f>IFERROR(__xludf.DUMMYFUNCTION("""COMPUTED_VALUE"""),"PC")</f>
        <v>PC</v>
      </c>
      <c r="H4" s="5" t="str">
        <f>IFERROR(__xludf.DUMMYFUNCTION("""COMPUTED_VALUE"""),"Sacc")</f>
        <v>Sacc</v>
      </c>
      <c r="I4" s="5" t="str">
        <f>IFERROR(__xludf.DUMMYFUNCTION("""COMPUTED_VALUE"""),"Myogi (ASV)")</f>
        <v>Myogi (ASV)</v>
      </c>
      <c r="J4" s="5" t="str">
        <f>IFERROR(__xludf.DUMMYFUNCTION("""COMPUTED_VALUE"""),"DH")</f>
        <v>DH</v>
      </c>
      <c r="K4" s="5" t="str">
        <f>IFERROR(__xludf.DUMMYFUNCTION("""COMPUTED_VALUE"""),"Jintei")</f>
        <v>Jintei</v>
      </c>
      <c r="L4" s="5" t="str">
        <f>IFERROR(__xludf.DUMMYFUNCTION("""COMPUTED_VALUE"""),"Yune")</f>
        <v>Yune</v>
      </c>
      <c r="M4" s="5">
        <f>IFERROR(__xludf.DUMMYFUNCTION("""COMPUTED_VALUE"""),0.002291863425925926)</f>
        <v>0.002291863426</v>
      </c>
      <c r="N4" s="5" t="str">
        <f>IFERROR(__xludf.DUMMYFUNCTION("""COMPUTED_VALUE"""),"FD3S (RX7)")</f>
        <v>FD3S (RX7)</v>
      </c>
      <c r="O4" s="5" t="str">
        <f>IFERROR(__xludf.DUMMYFUNCTION("""COMPUTED_VALUE"""),"PC")</f>
        <v>PC</v>
      </c>
      <c r="P4" s="5" t="str">
        <f>IFERROR(__xludf.DUMMYFUNCTION("""COMPUTED_VALUE"""),"Sacc")</f>
        <v>Sacc</v>
      </c>
      <c r="Q4" s="5" t="str">
        <f>IFERROR(__xludf.DUMMYFUNCTION("""COMPUTED_VALUE"""),"Akagi")</f>
        <v>Akagi</v>
      </c>
      <c r="R4" s="5" t="str">
        <f>IFERROR(__xludf.DUMMYFUNCTION("""COMPUTED_VALUE"""),"DH")</f>
        <v>DH</v>
      </c>
      <c r="S4" s="5" t="str">
        <f>IFERROR(__xludf.DUMMYFUNCTION("""COMPUTED_VALUE"""),"Jintei")</f>
        <v>Jintei</v>
      </c>
      <c r="T4" s="5" t="str">
        <f>IFERROR(__xludf.DUMMYFUNCTION("""COMPUTED_VALUE"""),"アビドサスヒカリ")</f>
        <v>アビドサスヒカリ</v>
      </c>
      <c r="U4" s="5">
        <f>IFERROR(__xludf.DUMMYFUNCTION("""COMPUTED_VALUE"""),0.002350821759259259)</f>
        <v>0.002350821759</v>
      </c>
      <c r="V4" s="5" t="str">
        <f>IFERROR(__xludf.DUMMYFUNCTION("""COMPUTED_VALUE"""),"EVOIII/CE9A")</f>
        <v>EVOIII/CE9A</v>
      </c>
      <c r="W4" s="5" t="str">
        <f>IFERROR(__xludf.DUMMYFUNCTION("""COMPUTED_VALUE"""),"PCVR")</f>
        <v>PCVR</v>
      </c>
      <c r="X4" s="5" t="str">
        <f>IFERROR(__xludf.DUMMYFUNCTION("""COMPUTED_VALUE"""),"Sacc")</f>
        <v>Sacc</v>
      </c>
      <c r="Y4" s="5" t="str">
        <f>IFERROR(__xludf.DUMMYFUNCTION("""COMPUTED_VALUE"""),"Akina")</f>
        <v>Akina</v>
      </c>
      <c r="Z4" s="5" t="str">
        <f>IFERROR(__xludf.DUMMYFUNCTION("""COMPUTED_VALUE"""),"DH")</f>
        <v>DH</v>
      </c>
      <c r="AA4" s="5" t="str">
        <f>IFERROR(__xludf.DUMMYFUNCTION("""COMPUTED_VALUE"""),"Jintei")</f>
        <v>Jintei</v>
      </c>
      <c r="AB4" s="5" t="str">
        <f>IFERROR(__xludf.DUMMYFUNCTION("""COMPUTED_VALUE"""),"Rushia Angel")</f>
        <v>Rushia Angel</v>
      </c>
      <c r="AC4" s="5">
        <f>IFERROR(__xludf.DUMMYFUNCTION("""COMPUTED_VALUE"""),0.0025628472222222224)</f>
        <v>0.002562847222</v>
      </c>
      <c r="AD4" s="5" t="str">
        <f>IFERROR(__xludf.DUMMYFUNCTION("""COMPUTED_VALUE"""),"BNR32")</f>
        <v>BNR32</v>
      </c>
      <c r="AE4" s="5" t="str">
        <f>IFERROR(__xludf.DUMMYFUNCTION("""COMPUTED_VALUE"""),"PC")</f>
        <v>PC</v>
      </c>
      <c r="AF4" s="5" t="str">
        <f>IFERROR(__xludf.DUMMYFUNCTION("""COMPUTED_VALUE"""),"Sacc")</f>
        <v>Sacc</v>
      </c>
      <c r="AG4" s="14" t="str">
        <f>IFERROR(__xludf.DUMMYFUNCTION("""COMPUTED_VALUE"""),"Silverstone")</f>
        <v>Silverstone</v>
      </c>
      <c r="AH4" s="14"/>
      <c r="AI4" s="14" t="str">
        <f>IFERROR(__xludf.DUMMYFUNCTION("""COMPUTED_VALUE"""),"Aiden1408")</f>
        <v>Aiden1408</v>
      </c>
      <c r="AJ4" s="14" t="str">
        <f>IFERROR(__xludf.DUMMYFUNCTION("""COMPUTED_VALUE"""),"BannRaven")</f>
        <v>BannRaven</v>
      </c>
      <c r="AK4" s="48">
        <f>IFERROR(__xludf.DUMMYFUNCTION("""COMPUTED_VALUE"""),8.630787037037036E-4)</f>
        <v>0.0008630787037</v>
      </c>
      <c r="AL4" s="14" t="str">
        <f>IFERROR(__xludf.DUMMYFUNCTION("""COMPUTED_VALUE"""),"rb21(RedBull)")</f>
        <v>rb21(RedBull)</v>
      </c>
      <c r="AM4" s="14" t="str">
        <f>IFERROR(__xludf.DUMMYFUNCTION("""COMPUTED_VALUE"""),"PCVR")</f>
        <v>PCVR</v>
      </c>
      <c r="AN4" s="14" t="str">
        <f>IFERROR(__xludf.DUMMYFUNCTION("""COMPUTED_VALUE"""),"CVS")</f>
        <v>CVS</v>
      </c>
      <c r="AO4" s="5" t="str">
        <f>IFERROR(__xludf.DUMMYFUNCTION("""COMPUTED_VALUE"""),"Mt.Talkan")</f>
        <v>Mt.Talkan</v>
      </c>
      <c r="AP4" s="5" t="str">
        <f>IFERROR(__xludf.DUMMYFUNCTION("""COMPUTED_VALUE"""),"UH")</f>
        <v>UH</v>
      </c>
      <c r="AQ4" s="5" t="str">
        <f>IFERROR(__xludf.DUMMYFUNCTION("""COMPUTED_VALUE"""),"Jintei")</f>
        <v>Jintei</v>
      </c>
      <c r="AR4" s="5" t="str">
        <f>IFERROR(__xludf.DUMMYFUNCTION("""COMPUTED_VALUE"""),"LinWu_05")</f>
        <v>LinWu_05</v>
      </c>
      <c r="AS4" s="5">
        <f>IFERROR(__xludf.DUMMYFUNCTION("""COMPUTED_VALUE"""),0.002331412037037037)</f>
        <v>0.002331412037</v>
      </c>
      <c r="AT4" s="5" t="str">
        <f>IFERROR(__xludf.DUMMYFUNCTION("""COMPUTED_VALUE"""),"BMW M1")</f>
        <v>BMW M1</v>
      </c>
      <c r="AU4" s="5" t="str">
        <f>IFERROR(__xludf.DUMMYFUNCTION("""COMPUTED_VALUE"""),"PC")</f>
        <v>PC</v>
      </c>
      <c r="AV4" s="5" t="str">
        <f>IFERROR(__xludf.DUMMYFUNCTION("""COMPUTED_VALUE"""),"Sacc")</f>
        <v>Sacc</v>
      </c>
      <c r="AW4" s="5" t="str">
        <f>IFERROR(__xludf.DUMMYFUNCTION("""COMPUTED_VALUE"""),"Momiji")</f>
        <v>Momiji</v>
      </c>
      <c r="AX4" s="5" t="str">
        <f>IFERROR(__xludf.DUMMYFUNCTION("""COMPUTED_VALUE"""),"DH")</f>
        <v>DH</v>
      </c>
      <c r="AY4" s="5" t="str">
        <f>IFERROR(__xludf.DUMMYFUNCTION("""COMPUTED_VALUE"""),"FoxBG")</f>
        <v>FoxBG</v>
      </c>
      <c r="AZ4" s="5" t="str">
        <f>IFERROR(__xludf.DUMMYFUNCTION("""COMPUTED_VALUE"""),"Test Driver")</f>
        <v>Test Driver</v>
      </c>
      <c r="BA4" s="5">
        <f>IFERROR(__xludf.DUMMYFUNCTION("""COMPUTED_VALUE"""),0.006944444444444444)</f>
        <v>0.006944444444</v>
      </c>
      <c r="BB4" s="5" t="str">
        <f>IFERROR(__xludf.DUMMYFUNCTION("""COMPUTED_VALUE"""),"Highline XL")</f>
        <v>Highline XL</v>
      </c>
      <c r="BC4" s="5"/>
      <c r="BD4" s="5" t="str">
        <f>IFERROR(__xludf.DUMMYFUNCTION("""COMPUTED_VALUE"""),"CVS")</f>
        <v>CVS</v>
      </c>
      <c r="BE4" s="5"/>
      <c r="BF4" s="5"/>
      <c r="BG4" s="5"/>
      <c r="BH4" s="5"/>
      <c r="BI4" s="5"/>
      <c r="BJ4" s="5"/>
      <c r="BK4" s="5"/>
      <c r="BL4" s="5"/>
      <c r="BM4" s="5"/>
      <c r="BN4" s="5"/>
      <c r="BO4" s="5"/>
    </row>
    <row r="5">
      <c r="A5" s="5" t="str">
        <f>IFERROR(__xludf.DUMMYFUNCTION("""COMPUTED_VALUE"""),"Akina Snow")</f>
        <v>Akina Snow</v>
      </c>
      <c r="B5" s="5" t="str">
        <f>IFERROR(__xludf.DUMMYFUNCTION("""COMPUTED_VALUE"""),"DH")</f>
        <v>DH</v>
      </c>
      <c r="C5" s="5" t="str">
        <f>IFERROR(__xludf.DUMMYFUNCTION("""COMPUTED_VALUE"""),"Jintei")</f>
        <v>Jintei</v>
      </c>
      <c r="D5" s="5" t="str">
        <f>IFERROR(__xludf.DUMMYFUNCTION("""COMPUTED_VALUE"""),"Lolidia")</f>
        <v>Lolidia</v>
      </c>
      <c r="E5" s="5">
        <f>IFERROR(__xludf.DUMMYFUNCTION("""COMPUTED_VALUE"""),0.0026738657407407405)</f>
        <v>0.002673865741</v>
      </c>
      <c r="F5" s="5" t="str">
        <f>IFERROR(__xludf.DUMMYFUNCTION("""COMPUTED_VALUE"""),"AE86T")</f>
        <v>AE86T</v>
      </c>
      <c r="G5" s="5" t="str">
        <f>IFERROR(__xludf.DUMMYFUNCTION("""COMPUTED_VALUE"""),"PCVR")</f>
        <v>PCVR</v>
      </c>
      <c r="H5" s="5" t="str">
        <f>IFERROR(__xludf.DUMMYFUNCTION("""COMPUTED_VALUE"""),"Sacc")</f>
        <v>Sacc</v>
      </c>
      <c r="I5" s="5" t="str">
        <f>IFERROR(__xludf.DUMMYFUNCTION("""COMPUTED_VALUE"""),"Nanamagari")</f>
        <v>Nanamagari</v>
      </c>
      <c r="J5" s="5" t="str">
        <f>IFERROR(__xludf.DUMMYFUNCTION("""COMPUTED_VALUE"""),"DH")</f>
        <v>DH</v>
      </c>
      <c r="K5" s="5" t="str">
        <f>IFERROR(__xludf.DUMMYFUNCTION("""COMPUTED_VALUE"""),"Jintei")</f>
        <v>Jintei</v>
      </c>
      <c r="L5" s="5" t="str">
        <f>IFERROR(__xludf.DUMMYFUNCTION("""COMPUTED_VALUE"""),"StarRiver Arts")</f>
        <v>StarRiver Arts</v>
      </c>
      <c r="M5" s="5">
        <f>IFERROR(__xludf.DUMMYFUNCTION("""COMPUTED_VALUE"""),0.002544178240740741)</f>
        <v>0.002544178241</v>
      </c>
      <c r="N5" s="5" t="str">
        <f>IFERROR(__xludf.DUMMYFUNCTION("""COMPUTED_VALUE"""),"FD3S (RX7)")</f>
        <v>FD3S (RX7)</v>
      </c>
      <c r="O5" s="5" t="str">
        <f>IFERROR(__xludf.DUMMYFUNCTION("""COMPUTED_VALUE"""),"PC")</f>
        <v>PC</v>
      </c>
      <c r="P5" s="5" t="str">
        <f>IFERROR(__xludf.DUMMYFUNCTION("""COMPUTED_VALUE"""),"Sacc")</f>
        <v>Sacc</v>
      </c>
      <c r="Q5" s="5" t="str">
        <f>IFERROR(__xludf.DUMMYFUNCTION("""COMPUTED_VALUE"""),"Irohazaka")</f>
        <v>Irohazaka</v>
      </c>
      <c r="R5" s="5" t="str">
        <f>IFERROR(__xludf.DUMMYFUNCTION("""COMPUTED_VALUE"""),"DH")</f>
        <v>DH</v>
      </c>
      <c r="S5" s="5" t="str">
        <f>IFERROR(__xludf.DUMMYFUNCTION("""COMPUTED_VALUE"""),"Jintei ")</f>
        <v>Jintei </v>
      </c>
      <c r="T5" s="5" t="str">
        <f>IFERROR(__xludf.DUMMYFUNCTION("""COMPUTED_VALUE"""),"アビドサスヒカリ")</f>
        <v>アビドサスヒカリ</v>
      </c>
      <c r="U5" s="5">
        <f>IFERROR(__xludf.DUMMYFUNCTION("""COMPUTED_VALUE"""),0.002640046296296296)</f>
        <v>0.002640046296</v>
      </c>
      <c r="V5" s="5" t="str">
        <f>IFERROR(__xludf.DUMMYFUNCTION("""COMPUTED_VALUE"""),"EVOIII/CE9A")</f>
        <v>EVOIII/CE9A</v>
      </c>
      <c r="W5" s="5" t="str">
        <f>IFERROR(__xludf.DUMMYFUNCTION("""COMPUTED_VALUE"""),"PC")</f>
        <v>PC</v>
      </c>
      <c r="X5" s="5" t="str">
        <f>IFERROR(__xludf.DUMMYFUNCTION("""COMPUTED_VALUE"""),"Sacc")</f>
        <v>Sacc</v>
      </c>
      <c r="Y5" s="5" t="str">
        <f>IFERROR(__xludf.DUMMYFUNCTION("""COMPUTED_VALUE"""),"H-Nanamagari")</f>
        <v>H-Nanamagari</v>
      </c>
      <c r="Z5" s="5" t="str">
        <f>IFERROR(__xludf.DUMMYFUNCTION("""COMPUTED_VALUE"""),"DH")</f>
        <v>DH</v>
      </c>
      <c r="AA5" s="5" t="str">
        <f>IFERROR(__xludf.DUMMYFUNCTION("""COMPUTED_VALUE"""),"Jintei")</f>
        <v>Jintei</v>
      </c>
      <c r="AB5" s="5" t="str">
        <f>IFERROR(__xludf.DUMMYFUNCTION("""COMPUTED_VALUE"""),"LinWu_05")</f>
        <v>LinWu_05</v>
      </c>
      <c r="AC5" s="5">
        <f>IFERROR(__xludf.DUMMYFUNCTION("""COMPUTED_VALUE"""),8.511342592592593E-4)</f>
        <v>0.0008511342593</v>
      </c>
      <c r="AD5" s="5" t="str">
        <f>IFERROR(__xludf.DUMMYFUNCTION("""COMPUTED_VALUE"""),"BNR32")</f>
        <v>BNR32</v>
      </c>
      <c r="AE5" s="5" t="str">
        <f>IFERROR(__xludf.DUMMYFUNCTION("""COMPUTED_VALUE"""),"PC")</f>
        <v>PC</v>
      </c>
      <c r="AF5" s="5" t="str">
        <f>IFERROR(__xludf.DUMMYFUNCTION("""COMPUTED_VALUE"""),"Sacc")</f>
        <v>Sacc</v>
      </c>
      <c r="AG5" s="14" t="str">
        <f>IFERROR(__xludf.DUMMYFUNCTION("""COMPUTED_VALUE"""),"Monaco")</f>
        <v>Monaco</v>
      </c>
      <c r="AH5" s="14"/>
      <c r="AI5" s="14" t="str">
        <f>IFERROR(__xludf.DUMMYFUNCTION("""COMPUTED_VALUE"""),"Aiden1408")</f>
        <v>Aiden1408</v>
      </c>
      <c r="AJ5" s="14" t="str">
        <f>IFERROR(__xludf.DUMMYFUNCTION("""COMPUTED_VALUE"""),"ねぎたま")</f>
        <v>ねぎたま</v>
      </c>
      <c r="AK5" s="48">
        <f>IFERROR(__xludf.DUMMYFUNCTION("""COMPUTED_VALUE"""),7.215740740740741E-4)</f>
        <v>0.0007215740741</v>
      </c>
      <c r="AL5" s="14" t="str">
        <f>IFERROR(__xludf.DUMMYFUNCTION("""COMPUTED_VALUE"""),"rb21(RedBull)")</f>
        <v>rb21(RedBull)</v>
      </c>
      <c r="AM5" s="14" t="str">
        <f>IFERROR(__xludf.DUMMYFUNCTION("""COMPUTED_VALUE"""),"PCVR")</f>
        <v>PCVR</v>
      </c>
      <c r="AN5" s="14" t="str">
        <f>IFERROR(__xludf.DUMMYFUNCTION("""COMPUTED_VALUE"""),"CVS")</f>
        <v>CVS</v>
      </c>
      <c r="AO5" s="5" t="str">
        <f>IFERROR(__xludf.DUMMYFUNCTION("""COMPUTED_VALUE"""),"Mt.Talkan")</f>
        <v>Mt.Talkan</v>
      </c>
      <c r="AP5" s="5" t="str">
        <f>IFERROR(__xludf.DUMMYFUNCTION("""COMPUTED_VALUE"""),"DH")</f>
        <v>DH</v>
      </c>
      <c r="AQ5" s="5" t="str">
        <f>IFERROR(__xludf.DUMMYFUNCTION("""COMPUTED_VALUE"""),"Jintei")</f>
        <v>Jintei</v>
      </c>
      <c r="AR5" s="5" t="str">
        <f>IFERROR(__xludf.DUMMYFUNCTION("""COMPUTED_VALUE"""),"LinWu_05")</f>
        <v>LinWu_05</v>
      </c>
      <c r="AS5" s="5">
        <f>IFERROR(__xludf.DUMMYFUNCTION("""COMPUTED_VALUE"""),0.0025902777777777777)</f>
        <v>0.002590277778</v>
      </c>
      <c r="AT5" s="5" t="str">
        <f>IFERROR(__xludf.DUMMYFUNCTION("""COMPUTED_VALUE"""),"BMW M1")</f>
        <v>BMW M1</v>
      </c>
      <c r="AU5" s="5" t="str">
        <f>IFERROR(__xludf.DUMMYFUNCTION("""COMPUTED_VALUE"""),"PC")</f>
        <v>PC</v>
      </c>
      <c r="AV5" s="5" t="str">
        <f>IFERROR(__xludf.DUMMYFUNCTION("""COMPUTED_VALUE"""),"Sacc")</f>
        <v>Sacc</v>
      </c>
      <c r="AW5" s="5"/>
      <c r="AX5" s="5"/>
      <c r="AY5" s="5"/>
      <c r="AZ5" s="5"/>
      <c r="BA5" s="5"/>
      <c r="BB5" s="5"/>
      <c r="BC5" s="5"/>
      <c r="BD5" s="5"/>
      <c r="BE5" s="5"/>
      <c r="BF5" s="5"/>
      <c r="BG5" s="5"/>
      <c r="BH5" s="5"/>
      <c r="BI5" s="5"/>
      <c r="BJ5" s="5"/>
      <c r="BK5" s="5"/>
      <c r="BL5" s="5"/>
      <c r="BM5" s="5"/>
      <c r="BN5" s="5"/>
      <c r="BO5" s="5"/>
    </row>
    <row r="6">
      <c r="A6" s="5" t="str">
        <f>IFERROR(__xludf.DUMMYFUNCTION("""COMPUTED_VALUE"""),"AkinaUN")</f>
        <v>AkinaUN</v>
      </c>
      <c r="B6" s="5" t="str">
        <f>IFERROR(__xludf.DUMMYFUNCTION("""COMPUTED_VALUE"""),"DH")</f>
        <v>DH</v>
      </c>
      <c r="C6" s="5" t="str">
        <f>IFERROR(__xludf.DUMMYFUNCTION("""COMPUTED_VALUE"""),"Jintei")</f>
        <v>Jintei</v>
      </c>
      <c r="D6" s="5" t="str">
        <f>IFERROR(__xludf.DUMMYFUNCTION("""COMPUTED_VALUE"""),"Lolidia")</f>
        <v>Lolidia</v>
      </c>
      <c r="E6" s="5">
        <f>IFERROR(__xludf.DUMMYFUNCTION("""COMPUTED_VALUE"""),0.0025432175925925926)</f>
        <v>0.002543217593</v>
      </c>
      <c r="F6" s="5" t="str">
        <f>IFERROR(__xludf.DUMMYFUNCTION("""COMPUTED_VALUE"""),"AE86T")</f>
        <v>AE86T</v>
      </c>
      <c r="G6" s="5" t="str">
        <f>IFERROR(__xludf.DUMMYFUNCTION("""COMPUTED_VALUE"""),"PCVR")</f>
        <v>PCVR</v>
      </c>
      <c r="H6" s="5" t="str">
        <f>IFERROR(__xludf.DUMMYFUNCTION("""COMPUTED_VALUE"""),"Sacc")</f>
        <v>Sacc</v>
      </c>
      <c r="I6" s="5" t="str">
        <f>IFERROR(__xludf.DUMMYFUNCTION("""COMPUTED_VALUE"""),"Usui V1")</f>
        <v>Usui V1</v>
      </c>
      <c r="J6" s="5" t="str">
        <f>IFERROR(__xludf.DUMMYFUNCTION("""COMPUTED_VALUE"""),"CW")</f>
        <v>CW</v>
      </c>
      <c r="K6" s="5" t="str">
        <f>IFERROR(__xludf.DUMMYFUNCTION("""COMPUTED_VALUE"""),"Jintei")</f>
        <v>Jintei</v>
      </c>
      <c r="L6" s="5" t="str">
        <f>IFERROR(__xludf.DUMMYFUNCTION("""COMPUTED_VALUE"""),"アビドサスヒカリ")</f>
        <v>アビドサスヒカリ</v>
      </c>
      <c r="M6" s="5">
        <f>IFERROR(__xludf.DUMMYFUNCTION("""COMPUTED_VALUE"""),0.0025139467592592596)</f>
        <v>0.002513946759</v>
      </c>
      <c r="N6" s="5" t="str">
        <f>IFERROR(__xludf.DUMMYFUNCTION("""COMPUTED_VALUE"""),"FD3S (RX7)")</f>
        <v>FD3S (RX7)</v>
      </c>
      <c r="O6" s="5" t="str">
        <f>IFERROR(__xludf.DUMMYFUNCTION("""COMPUTED_VALUE"""),"PC")</f>
        <v>PC</v>
      </c>
      <c r="P6" s="5" t="str">
        <f>IFERROR(__xludf.DUMMYFUNCTION("""COMPUTED_VALUE"""),"Sacc")</f>
        <v>Sacc</v>
      </c>
      <c r="Q6" s="5" t="str">
        <f>IFERROR(__xludf.DUMMYFUNCTION("""COMPUTED_VALUE"""),"PT:9T")</f>
        <v>PT:9T</v>
      </c>
      <c r="R6" s="5" t="str">
        <f>IFERROR(__xludf.DUMMYFUNCTION("""COMPUTED_VALUE"""),"DH")</f>
        <v>DH</v>
      </c>
      <c r="S6" s="5" t="str">
        <f>IFERROR(__xludf.DUMMYFUNCTION("""COMPUTED_VALUE"""),"StarRiver Arts")</f>
        <v>StarRiver Arts</v>
      </c>
      <c r="T6" s="5" t="str">
        <f>IFERROR(__xludf.DUMMYFUNCTION("""COMPUTED_VALUE"""),"MotherEVO")</f>
        <v>MotherEVO</v>
      </c>
      <c r="U6" s="5">
        <f>IFERROR(__xludf.DUMMYFUNCTION("""COMPUTED_VALUE"""),0.0038710300925925926)</f>
        <v>0.003871030093</v>
      </c>
      <c r="V6" s="5" t="str">
        <f>IFERROR(__xludf.DUMMYFUNCTION("""COMPUTED_VALUE"""),"EVOIII/CE9A")</f>
        <v>EVOIII/CE9A</v>
      </c>
      <c r="W6" s="5" t="str">
        <f>IFERROR(__xludf.DUMMYFUNCTION("""COMPUTED_VALUE"""),"PCVR")</f>
        <v>PCVR</v>
      </c>
      <c r="X6" s="5" t="str">
        <f>IFERROR(__xludf.DUMMYFUNCTION("""COMPUTED_VALUE"""),"CVS")</f>
        <v>CVS</v>
      </c>
      <c r="Y6" s="5" t="str">
        <f>IFERROR(__xludf.DUMMYFUNCTION("""COMPUTED_VALUE"""),"H-Nanamagari")</f>
        <v>H-Nanamagari</v>
      </c>
      <c r="Z6" s="5" t="str">
        <f>IFERROR(__xludf.DUMMYFUNCTION("""COMPUTED_VALUE"""),"UH")</f>
        <v>UH</v>
      </c>
      <c r="AA6" s="5" t="str">
        <f>IFERROR(__xludf.DUMMYFUNCTION("""COMPUTED_VALUE"""),"Jintei")</f>
        <v>Jintei</v>
      </c>
      <c r="AB6" s="5" t="str">
        <f>IFERROR(__xludf.DUMMYFUNCTION("""COMPUTED_VALUE"""),"LinWu_05")</f>
        <v>LinWu_05</v>
      </c>
      <c r="AC6" s="5">
        <f>IFERROR(__xludf.DUMMYFUNCTION("""COMPUTED_VALUE"""),8.899305555555556E-4)</f>
        <v>0.0008899305556</v>
      </c>
      <c r="AD6" s="5" t="str">
        <f>IFERROR(__xludf.DUMMYFUNCTION("""COMPUTED_VALUE"""),"BNR32")</f>
        <v>BNR32</v>
      </c>
      <c r="AE6" s="5" t="str">
        <f>IFERROR(__xludf.DUMMYFUNCTION("""COMPUTED_VALUE"""),"PC")</f>
        <v>PC</v>
      </c>
      <c r="AF6" s="5" t="str">
        <f>IFERROR(__xludf.DUMMYFUNCTION("""COMPUTED_VALUE"""),"Sacc")</f>
        <v>Sacc</v>
      </c>
      <c r="AG6" s="14" t="str">
        <f>IFERROR(__xludf.DUMMYFUNCTION("""COMPUTED_VALUE"""),"Suzuka")</f>
        <v>Suzuka</v>
      </c>
      <c r="AH6" s="14"/>
      <c r="AI6" s="14"/>
      <c r="AJ6" s="14" t="str">
        <f>IFERROR(__xludf.DUMMYFUNCTION("""COMPUTED_VALUE"""),"BannRaven")</f>
        <v>BannRaven</v>
      </c>
      <c r="AK6" s="14">
        <f>IFERROR(__xludf.DUMMYFUNCTION("""COMPUTED_VALUE"""),0.0010842708333333334)</f>
        <v>0.001084270833</v>
      </c>
      <c r="AL6" s="14" t="str">
        <f>IFERROR(__xludf.DUMMYFUNCTION("""COMPUTED_VALUE"""),"rb21(RedBull)")</f>
        <v>rb21(RedBull)</v>
      </c>
      <c r="AM6" s="14" t="str">
        <f>IFERROR(__xludf.DUMMYFUNCTION("""COMPUTED_VALUE"""),"PCVR")</f>
        <v>PCVR</v>
      </c>
      <c r="AN6" s="14" t="str">
        <f>IFERROR(__xludf.DUMMYFUNCTION("""COMPUTED_VALUE"""),"CVS")</f>
        <v>CVS</v>
      </c>
      <c r="AO6" s="5"/>
      <c r="AP6" s="5"/>
      <c r="AQ6" s="5"/>
      <c r="AR6" s="5"/>
      <c r="AS6" s="5"/>
      <c r="AT6" s="5"/>
      <c r="AU6" s="5"/>
      <c r="AV6" s="5"/>
      <c r="AW6" s="5"/>
      <c r="AX6" s="5"/>
      <c r="AY6" s="5"/>
      <c r="AZ6" s="5"/>
      <c r="BA6" s="5"/>
      <c r="BB6" s="5"/>
      <c r="BC6" s="5"/>
      <c r="BD6" s="5"/>
      <c r="BE6" s="5"/>
      <c r="BF6" s="5"/>
      <c r="BG6" s="5"/>
      <c r="BH6" s="5"/>
      <c r="BI6" s="5"/>
      <c r="BJ6" s="5"/>
      <c r="BK6" s="5"/>
      <c r="BL6" s="5"/>
      <c r="BM6" s="5"/>
      <c r="BN6" s="5"/>
      <c r="BO6" s="5"/>
    </row>
    <row r="7">
      <c r="A7" s="5" t="str">
        <f>IFERROR(__xludf.DUMMYFUNCTION("""COMPUTED_VALUE"""),"Irohazaka")</f>
        <v>Irohazaka</v>
      </c>
      <c r="B7" s="5" t="str">
        <f>IFERROR(__xludf.DUMMYFUNCTION("""COMPUTED_VALUE"""),"DH")</f>
        <v>DH</v>
      </c>
      <c r="C7" s="5" t="str">
        <f>IFERROR(__xludf.DUMMYFUNCTION("""COMPUTED_VALUE"""),"Jintei ")</f>
        <v>Jintei </v>
      </c>
      <c r="D7" s="5" t="str">
        <f>IFERROR(__xludf.DUMMYFUNCTION("""COMPUTED_VALUE"""),"Lolidia")</f>
        <v>Lolidia</v>
      </c>
      <c r="E7" s="5">
        <f>IFERROR(__xludf.DUMMYFUNCTION("""COMPUTED_VALUE"""),0.002450613425925926)</f>
        <v>0.002450613426</v>
      </c>
      <c r="F7" s="5" t="str">
        <f>IFERROR(__xludf.DUMMYFUNCTION("""COMPUTED_VALUE"""),"AE86T")</f>
        <v>AE86T</v>
      </c>
      <c r="G7" s="5" t="str">
        <f>IFERROR(__xludf.DUMMYFUNCTION("""COMPUTED_VALUE"""),"PCVR")</f>
        <v>PCVR</v>
      </c>
      <c r="H7" s="5" t="str">
        <f>IFERROR(__xludf.DUMMYFUNCTION("""COMPUTED_VALUE"""),"Sacc")</f>
        <v>Sacc</v>
      </c>
      <c r="I7" s="5" t="str">
        <f>IFERROR(__xludf.DUMMYFUNCTION("""COMPUTED_VALUE"""),"Tsukuba")</f>
        <v>Tsukuba</v>
      </c>
      <c r="J7" s="5" t="str">
        <f>IFERROR(__xludf.DUMMYFUNCTION("""COMPUTED_VALUE"""),"Double")</f>
        <v>Double</v>
      </c>
      <c r="K7" s="5" t="str">
        <f>IFERROR(__xludf.DUMMYFUNCTION("""COMPUTED_VALUE"""),"Jintei")</f>
        <v>Jintei</v>
      </c>
      <c r="L7" s="5" t="str">
        <f>IFERROR(__xludf.DUMMYFUNCTION("""COMPUTED_VALUE"""),"Yune")</f>
        <v>Yune</v>
      </c>
      <c r="M7" s="5">
        <f>IFERROR(__xludf.DUMMYFUNCTION("""COMPUTED_VALUE"""),0.002637349537037037)</f>
        <v>0.002637349537</v>
      </c>
      <c r="N7" s="5" t="str">
        <f>IFERROR(__xludf.DUMMYFUNCTION("""COMPUTED_VALUE"""),"FD3S (RX7)")</f>
        <v>FD3S (RX7)</v>
      </c>
      <c r="O7" s="5" t="str">
        <f>IFERROR(__xludf.DUMMYFUNCTION("""COMPUTED_VALUE"""),"PCVR")</f>
        <v>PCVR</v>
      </c>
      <c r="P7" s="5" t="str">
        <f>IFERROR(__xludf.DUMMYFUNCTION("""COMPUTED_VALUE"""),"Sacc")</f>
        <v>Sacc</v>
      </c>
      <c r="Q7" s="5" t="str">
        <f>IFERROR(__xludf.DUMMYFUNCTION("""COMPUTED_VALUE"""),"Akagi")</f>
        <v>Akagi</v>
      </c>
      <c r="R7" s="5" t="str">
        <f>IFERROR(__xludf.DUMMYFUNCTION("""COMPUTED_VALUE"""),"UH")</f>
        <v>UH</v>
      </c>
      <c r="S7" s="5" t="str">
        <f>IFERROR(__xludf.DUMMYFUNCTION("""COMPUTED_VALUE"""),"Jintei")</f>
        <v>Jintei</v>
      </c>
      <c r="T7" s="5" t="str">
        <f>IFERROR(__xludf.DUMMYFUNCTION("""COMPUTED_VALUE"""),"Test Driver")</f>
        <v>Test Driver</v>
      </c>
      <c r="U7" s="5">
        <f>IFERROR(__xludf.DUMMYFUNCTION("""COMPUTED_VALUE"""),0.006944444444444444)</f>
        <v>0.006944444444</v>
      </c>
      <c r="V7" s="5" t="str">
        <f>IFERROR(__xludf.DUMMYFUNCTION("""COMPUTED_VALUE"""),"EVOIII/CE9A")</f>
        <v>EVOIII/CE9A</v>
      </c>
      <c r="W7" s="5"/>
      <c r="X7" s="5" t="str">
        <f>IFERROR(__xludf.DUMMYFUNCTION("""COMPUTED_VALUE"""),"Sacc")</f>
        <v>Sacc</v>
      </c>
      <c r="Y7" s="5" t="str">
        <f>IFERROR(__xludf.DUMMYFUNCTION("""COMPUTED_VALUE"""),"Myogi (ASV)")</f>
        <v>Myogi (ASV)</v>
      </c>
      <c r="Z7" s="5" t="str">
        <f>IFERROR(__xludf.DUMMYFUNCTION("""COMPUTED_VALUE"""),"DH")</f>
        <v>DH</v>
      </c>
      <c r="AA7" s="5" t="str">
        <f>IFERROR(__xludf.DUMMYFUNCTION("""COMPUTED_VALUE"""),"Jintei")</f>
        <v>Jintei</v>
      </c>
      <c r="AB7" s="5" t="str">
        <f>IFERROR(__xludf.DUMMYFUNCTION("""COMPUTED_VALUE"""),"Lolidia")</f>
        <v>Lolidia</v>
      </c>
      <c r="AC7" s="5">
        <f>IFERROR(__xludf.DUMMYFUNCTION("""COMPUTED_VALUE"""),0.002172326388888889)</f>
        <v>0.002172326389</v>
      </c>
      <c r="AD7" s="5" t="str">
        <f>IFERROR(__xludf.DUMMYFUNCTION("""COMPUTED_VALUE"""),"BNR32")</f>
        <v>BNR32</v>
      </c>
      <c r="AE7" s="5" t="str">
        <f>IFERROR(__xludf.DUMMYFUNCTION("""COMPUTED_VALUE"""),"PCVR")</f>
        <v>PCVR</v>
      </c>
      <c r="AF7" s="5" t="str">
        <f>IFERROR(__xludf.DUMMYFUNCTION("""COMPUTED_VALUE"""),"Sacc")</f>
        <v>Sacc</v>
      </c>
      <c r="AG7" s="14"/>
      <c r="AH7" s="14"/>
      <c r="AI7" s="14"/>
      <c r="AJ7" s="14"/>
      <c r="AK7" s="14"/>
      <c r="AL7" s="14"/>
      <c r="AM7" s="14"/>
      <c r="AN7" s="14"/>
      <c r="AO7" s="5"/>
      <c r="AP7" s="5"/>
      <c r="AQ7" s="5"/>
      <c r="AR7" s="5"/>
      <c r="AS7" s="5"/>
      <c r="AT7" s="5"/>
      <c r="AU7" s="5"/>
      <c r="AV7" s="5"/>
      <c r="AW7" s="5"/>
      <c r="AX7" s="5"/>
      <c r="AY7" s="5"/>
      <c r="AZ7" s="5"/>
      <c r="BA7" s="5"/>
      <c r="BB7" s="5"/>
      <c r="BC7" s="5"/>
      <c r="BD7" s="5"/>
      <c r="BE7" s="5"/>
      <c r="BF7" s="5"/>
      <c r="BG7" s="5"/>
      <c r="BH7" s="5"/>
      <c r="BI7" s="5"/>
      <c r="BJ7" s="5"/>
      <c r="BK7" s="5"/>
      <c r="BL7" s="5"/>
      <c r="BM7" s="5"/>
      <c r="BN7" s="5"/>
      <c r="BO7" s="5"/>
    </row>
    <row r="8">
      <c r="A8" s="5" t="str">
        <f>IFERROR(__xludf.DUMMYFUNCTION("""COMPUTED_VALUE"""),"Nanamagari")</f>
        <v>Nanamagari</v>
      </c>
      <c r="B8" s="5" t="str">
        <f>IFERROR(__xludf.DUMMYFUNCTION("""COMPUTED_VALUE"""),"DH")</f>
        <v>DH</v>
      </c>
      <c r="C8" s="5" t="str">
        <f>IFERROR(__xludf.DUMMYFUNCTION("""COMPUTED_VALUE"""),"Jintei")</f>
        <v>Jintei</v>
      </c>
      <c r="D8" s="5" t="str">
        <f>IFERROR(__xludf.DUMMYFUNCTION("""COMPUTED_VALUE"""),"アビドサスヒカリ")</f>
        <v>アビドサスヒカリ</v>
      </c>
      <c r="E8" s="5">
        <f>IFERROR(__xludf.DUMMYFUNCTION("""COMPUTED_VALUE"""),0.002434027777777778)</f>
        <v>0.002434027778</v>
      </c>
      <c r="F8" s="5" t="str">
        <f>IFERROR(__xludf.DUMMYFUNCTION("""COMPUTED_VALUE"""),"AE86T")</f>
        <v>AE86T</v>
      </c>
      <c r="G8" s="5" t="str">
        <f>IFERROR(__xludf.DUMMYFUNCTION("""COMPUTED_VALUE"""),"PC")</f>
        <v>PC</v>
      </c>
      <c r="H8" s="5" t="str">
        <f>IFERROR(__xludf.DUMMYFUNCTION("""COMPUTED_VALUE"""),"Sacc")</f>
        <v>Sacc</v>
      </c>
      <c r="I8" s="5" t="str">
        <f>IFERROR(__xludf.DUMMYFUNCTION("""COMPUTED_VALUE"""),"Lake Akina")</f>
        <v>Lake Akina</v>
      </c>
      <c r="J8" s="5" t="str">
        <f>IFERROR(__xludf.DUMMYFUNCTION("""COMPUTED_VALUE"""),"CW")</f>
        <v>CW</v>
      </c>
      <c r="K8" s="5" t="str">
        <f>IFERROR(__xludf.DUMMYFUNCTION("""COMPUTED_VALUE"""),"Jintei")</f>
        <v>Jintei</v>
      </c>
      <c r="L8" s="5" t="str">
        <f>IFERROR(__xludf.DUMMYFUNCTION("""COMPUTED_VALUE"""),"StarRiver Arts")</f>
        <v>StarRiver Arts</v>
      </c>
      <c r="M8" s="5">
        <f>IFERROR(__xludf.DUMMYFUNCTION("""COMPUTED_VALUE"""),0.0028474189814814816)</f>
        <v>0.002847418981</v>
      </c>
      <c r="N8" s="5" t="str">
        <f>IFERROR(__xludf.DUMMYFUNCTION("""COMPUTED_VALUE"""),"FD3S (RX7)")</f>
        <v>FD3S (RX7)</v>
      </c>
      <c r="O8" s="5" t="str">
        <f>IFERROR(__xludf.DUMMYFUNCTION("""COMPUTED_VALUE"""),"PC")</f>
        <v>PC</v>
      </c>
      <c r="P8" s="5" t="str">
        <f>IFERROR(__xludf.DUMMYFUNCTION("""COMPUTED_VALUE"""),"Sacc")</f>
        <v>Sacc</v>
      </c>
      <c r="Q8" s="5"/>
      <c r="R8" s="5"/>
      <c r="S8" s="5"/>
      <c r="T8" s="5"/>
      <c r="U8" s="5"/>
      <c r="V8" s="5"/>
      <c r="W8" s="5"/>
      <c r="X8" s="5"/>
      <c r="Y8" s="5" t="str">
        <f>IFERROR(__xludf.DUMMYFUNCTION("""COMPUTED_VALUE"""),"Myogi(CC)")</f>
        <v>Myogi(CC)</v>
      </c>
      <c r="Z8" s="5" t="str">
        <f>IFERROR(__xludf.DUMMYFUNCTION("""COMPUTED_VALUE"""),"CC")</f>
        <v>CC</v>
      </c>
      <c r="AA8" s="5" t="str">
        <f>IFERROR(__xludf.DUMMYFUNCTION("""COMPUTED_VALUE"""),"Jintei")</f>
        <v>Jintei</v>
      </c>
      <c r="AB8" s="5" t="str">
        <f>IFERROR(__xludf.DUMMYFUNCTION("""COMPUTED_VALUE"""),"StarRiver Arts")</f>
        <v>StarRiver Arts</v>
      </c>
      <c r="AC8" s="5">
        <f>IFERROR(__xludf.DUMMYFUNCTION("""COMPUTED_VALUE"""),0.0023960300925925924)</f>
        <v>0.002396030093</v>
      </c>
      <c r="AD8" s="5" t="str">
        <f>IFERROR(__xludf.DUMMYFUNCTION("""COMPUTED_VALUE"""),"BNR32")</f>
        <v>BNR32</v>
      </c>
      <c r="AE8" s="5" t="str">
        <f>IFERROR(__xludf.DUMMYFUNCTION("""COMPUTED_VALUE"""),"PC")</f>
        <v>PC</v>
      </c>
      <c r="AF8" s="5" t="str">
        <f>IFERROR(__xludf.DUMMYFUNCTION("""COMPUTED_VALUE"""),"Sacc")</f>
        <v>Sacc</v>
      </c>
      <c r="AG8" s="14"/>
      <c r="AH8" s="14"/>
      <c r="AI8" s="14"/>
      <c r="AJ8" s="14"/>
      <c r="AK8" s="14"/>
      <c r="AL8" s="14"/>
      <c r="AM8" s="14"/>
      <c r="AN8" s="14"/>
      <c r="AO8" s="5"/>
      <c r="AP8" s="5"/>
      <c r="AQ8" s="5"/>
      <c r="AR8" s="5"/>
      <c r="AS8" s="5"/>
      <c r="AT8" s="5"/>
      <c r="AU8" s="5"/>
      <c r="AV8" s="5"/>
      <c r="AW8" s="5"/>
      <c r="AX8" s="5"/>
      <c r="AY8" s="5"/>
      <c r="AZ8" s="5"/>
      <c r="BA8" s="5"/>
      <c r="BB8" s="5"/>
      <c r="BC8" s="5"/>
      <c r="BD8" s="5"/>
      <c r="BE8" s="5"/>
      <c r="BF8" s="5"/>
      <c r="BG8" s="5"/>
      <c r="BH8" s="5"/>
      <c r="BI8" s="5"/>
      <c r="BJ8" s="5"/>
      <c r="BK8" s="5"/>
      <c r="BL8" s="5"/>
      <c r="BM8" s="5"/>
      <c r="BN8" s="5"/>
      <c r="BO8" s="5"/>
    </row>
    <row r="9">
      <c r="A9" s="5" t="str">
        <f>IFERROR(__xludf.DUMMYFUNCTION("""COMPUTED_VALUE"""),"Sadamine")</f>
        <v>Sadamine</v>
      </c>
      <c r="B9" s="5" t="str">
        <f>IFERROR(__xludf.DUMMYFUNCTION("""COMPUTED_VALUE"""),"OCDH")</f>
        <v>OCDH</v>
      </c>
      <c r="C9" s="5" t="str">
        <f>IFERROR(__xludf.DUMMYFUNCTION("""COMPUTED_VALUE"""),"Jintei")</f>
        <v>Jintei</v>
      </c>
      <c r="D9" s="5" t="str">
        <f>IFERROR(__xludf.DUMMYFUNCTION("""COMPUTED_VALUE"""),"StarRiver Arts")</f>
        <v>StarRiver Arts</v>
      </c>
      <c r="E9" s="5">
        <f>IFERROR(__xludf.DUMMYFUNCTION("""COMPUTED_VALUE"""),0.0017935995370370371)</f>
        <v>0.001793599537</v>
      </c>
      <c r="F9" s="5" t="str">
        <f>IFERROR(__xludf.DUMMYFUNCTION("""COMPUTED_VALUE"""),"AE86T")</f>
        <v>AE86T</v>
      </c>
      <c r="G9" s="5" t="str">
        <f>IFERROR(__xludf.DUMMYFUNCTION("""COMPUTED_VALUE"""),"PC")</f>
        <v>PC</v>
      </c>
      <c r="H9" s="5" t="str">
        <f>IFERROR(__xludf.DUMMYFUNCTION("""COMPUTED_VALUE"""),"Sacc")</f>
        <v>Sacc</v>
      </c>
      <c r="I9" s="5" t="str">
        <f>IFERROR(__xludf.DUMMYFUNCTION("""COMPUTED_VALUE"""),"Irohazaka")</f>
        <v>Irohazaka</v>
      </c>
      <c r="J9" s="5" t="str">
        <f>IFERROR(__xludf.DUMMYFUNCTION("""COMPUTED_VALUE"""),"DH")</f>
        <v>DH</v>
      </c>
      <c r="K9" s="5" t="str">
        <f>IFERROR(__xludf.DUMMYFUNCTION("""COMPUTED_VALUE"""),"Jintei")</f>
        <v>Jintei</v>
      </c>
      <c r="L9" s="5" t="str">
        <f>IFERROR(__xludf.DUMMYFUNCTION("""COMPUTED_VALUE"""),"StarRiver Arts")</f>
        <v>StarRiver Arts</v>
      </c>
      <c r="M9" s="5">
        <f>IFERROR(__xludf.DUMMYFUNCTION("""COMPUTED_VALUE"""),0.0033628472222222224)</f>
        <v>0.003362847222</v>
      </c>
      <c r="N9" s="5" t="str">
        <f>IFERROR(__xludf.DUMMYFUNCTION("""COMPUTED_VALUE"""),"FD3S (RX7)")</f>
        <v>FD3S (RX7)</v>
      </c>
      <c r="O9" s="5" t="str">
        <f>IFERROR(__xludf.DUMMYFUNCTION("""COMPUTED_VALUE"""),"PC")</f>
        <v>PC</v>
      </c>
      <c r="P9" s="5" t="str">
        <f>IFERROR(__xludf.DUMMYFUNCTION("""COMPUTED_VALUE"""),"Sacc")</f>
        <v>Sacc</v>
      </c>
      <c r="Q9" s="5"/>
      <c r="R9" s="5"/>
      <c r="S9" s="5"/>
      <c r="T9" s="5"/>
      <c r="U9" s="5"/>
      <c r="V9" s="5"/>
      <c r="W9" s="5"/>
      <c r="X9" s="5"/>
      <c r="Y9" s="5" t="str">
        <f>IFERROR(__xludf.DUMMYFUNCTION("""COMPUTED_VALUE"""),"Myogi(CC)")</f>
        <v>Myogi(CC)</v>
      </c>
      <c r="Z9" s="5" t="str">
        <f>IFERROR(__xludf.DUMMYFUNCTION("""COMPUTED_VALUE"""),"CW")</f>
        <v>CW</v>
      </c>
      <c r="AA9" s="5" t="str">
        <f>IFERROR(__xludf.DUMMYFUNCTION("""COMPUTED_VALUE"""),"Jintei")</f>
        <v>Jintei</v>
      </c>
      <c r="AB9" s="5" t="str">
        <f>IFERROR(__xludf.DUMMYFUNCTION("""COMPUTED_VALUE"""),"LinWu_05")</f>
        <v>LinWu_05</v>
      </c>
      <c r="AC9" s="5">
        <f>IFERROR(__xludf.DUMMYFUNCTION("""COMPUTED_VALUE"""),0.002429976851851852)</f>
        <v>0.002429976852</v>
      </c>
      <c r="AD9" s="5" t="str">
        <f>IFERROR(__xludf.DUMMYFUNCTION("""COMPUTED_VALUE"""),"BNR32")</f>
        <v>BNR32</v>
      </c>
      <c r="AE9" s="5" t="str">
        <f>IFERROR(__xludf.DUMMYFUNCTION("""COMPUTED_VALUE"""),"PC")</f>
        <v>PC</v>
      </c>
      <c r="AF9" s="5" t="str">
        <f>IFERROR(__xludf.DUMMYFUNCTION("""COMPUTED_VALUE"""),"Sacc")</f>
        <v>Sacc</v>
      </c>
      <c r="AG9" s="14"/>
      <c r="AH9" s="14"/>
      <c r="AI9" s="14"/>
      <c r="AJ9" s="14"/>
      <c r="AK9" s="14"/>
      <c r="AL9" s="14"/>
      <c r="AM9" s="14"/>
      <c r="AN9" s="14"/>
      <c r="AO9" s="5"/>
      <c r="AP9" s="5"/>
      <c r="AQ9" s="5"/>
      <c r="AR9" s="5"/>
      <c r="AS9" s="5"/>
      <c r="AT9" s="5"/>
      <c r="AU9" s="5"/>
      <c r="AV9" s="5"/>
      <c r="AW9" s="5"/>
      <c r="AX9" s="5"/>
      <c r="AY9" s="5"/>
      <c r="AZ9" s="5"/>
      <c r="BA9" s="5"/>
      <c r="BB9" s="5"/>
      <c r="BC9" s="5"/>
      <c r="BD9" s="5"/>
      <c r="BE9" s="5"/>
      <c r="BF9" s="5"/>
      <c r="BG9" s="5"/>
      <c r="BH9" s="5"/>
      <c r="BI9" s="5"/>
      <c r="BJ9" s="5"/>
      <c r="BK9" s="5"/>
      <c r="BL9" s="5"/>
      <c r="BM9" s="5"/>
      <c r="BN9" s="5"/>
      <c r="BO9" s="5"/>
    </row>
    <row r="10">
      <c r="A10" s="5" t="str">
        <f>IFERROR(__xludf.DUMMYFUNCTION("""COMPUTED_VALUE"""),"Sadamine")</f>
        <v>Sadamine</v>
      </c>
      <c r="B10" s="5" t="str">
        <f>IFERROR(__xludf.DUMMYFUNCTION("""COMPUTED_VALUE"""),"FCDH")</f>
        <v>FCDH</v>
      </c>
      <c r="C10" s="5" t="str">
        <f>IFERROR(__xludf.DUMMYFUNCTION("""COMPUTED_VALUE"""),"Jintei")</f>
        <v>Jintei</v>
      </c>
      <c r="D10" s="5" t="str">
        <f>IFERROR(__xludf.DUMMYFUNCTION("""COMPUTED_VALUE"""),"Doyakyon")</f>
        <v>Doyakyon</v>
      </c>
      <c r="E10" s="5">
        <f>IFERROR(__xludf.DUMMYFUNCTION("""COMPUTED_VALUE"""),0.002383101851851852)</f>
        <v>0.002383101852</v>
      </c>
      <c r="F10" s="5" t="str">
        <f>IFERROR(__xludf.DUMMYFUNCTION("""COMPUTED_VALUE"""),"AE86T")</f>
        <v>AE86T</v>
      </c>
      <c r="G10" s="5" t="str">
        <f>IFERROR(__xludf.DUMMYFUNCTION("""COMPUTED_VALUE"""),"PCVR")</f>
        <v>PCVR</v>
      </c>
      <c r="H10" s="5" t="str">
        <f>IFERROR(__xludf.DUMMYFUNCTION("""COMPUTED_VALUE"""),"Sacc")</f>
        <v>Sacc</v>
      </c>
      <c r="I10" s="5" t="str">
        <f>IFERROR(__xludf.DUMMYFUNCTION("""COMPUTED_VALUE"""),"Mt.Hakone")</f>
        <v>Mt.Hakone</v>
      </c>
      <c r="J10" s="5" t="str">
        <f>IFERROR(__xludf.DUMMYFUNCTION("""COMPUTED_VALUE"""),"IB")</f>
        <v>IB</v>
      </c>
      <c r="K10" s="5" t="str">
        <f>IFERROR(__xludf.DUMMYFUNCTION("""COMPUTED_VALUE"""),"Jintei")</f>
        <v>Jintei</v>
      </c>
      <c r="L10" s="5" t="str">
        <f>IFERROR(__xludf.DUMMYFUNCTION("""COMPUTED_VALUE"""),"StarRiver Arts")</f>
        <v>StarRiver Arts</v>
      </c>
      <c r="M10" s="5">
        <f>IFERROR(__xludf.DUMMYFUNCTION("""COMPUTED_VALUE"""),0.003980324074074074)</f>
        <v>0.003980324074</v>
      </c>
      <c r="N10" s="5" t="str">
        <f>IFERROR(__xludf.DUMMYFUNCTION("""COMPUTED_VALUE"""),"FD3S (RX7)")</f>
        <v>FD3S (RX7)</v>
      </c>
      <c r="O10" s="5" t="str">
        <f>IFERROR(__xludf.DUMMYFUNCTION("""COMPUTED_VALUE"""),"PC")</f>
        <v>PC</v>
      </c>
      <c r="P10" s="5" t="str">
        <f>IFERROR(__xludf.DUMMYFUNCTION("""COMPUTED_VALUE"""),"Sacc")</f>
        <v>Sacc</v>
      </c>
      <c r="Q10" s="5"/>
      <c r="R10" s="5"/>
      <c r="S10" s="5"/>
      <c r="T10" s="5"/>
      <c r="U10" s="5"/>
      <c r="V10" s="5"/>
      <c r="W10" s="5"/>
      <c r="X10" s="5"/>
      <c r="Y10" s="5" t="str">
        <f>IFERROR(__xludf.DUMMYFUNCTION("""COMPUTED_VALUE"""),"Tsukuba")</f>
        <v>Tsukuba</v>
      </c>
      <c r="Z10" s="5" t="str">
        <f>IFERROR(__xludf.DUMMYFUNCTION("""COMPUTED_VALUE"""),"OB")</f>
        <v>OB</v>
      </c>
      <c r="AA10" s="5" t="str">
        <f>IFERROR(__xludf.DUMMYFUNCTION("""COMPUTED_VALUE"""),"Jintei ")</f>
        <v>Jintei </v>
      </c>
      <c r="AB10" s="5" t="str">
        <f>IFERROR(__xludf.DUMMYFUNCTION("""COMPUTED_VALUE"""),"StarRiver Arts")</f>
        <v>StarRiver Arts</v>
      </c>
      <c r="AC10" s="5">
        <f>IFERROR(__xludf.DUMMYFUNCTION("""COMPUTED_VALUE"""),0.0026622337962962962)</f>
        <v>0.002662233796</v>
      </c>
      <c r="AD10" s="5" t="str">
        <f>IFERROR(__xludf.DUMMYFUNCTION("""COMPUTED_VALUE"""),"BNR32")</f>
        <v>BNR32</v>
      </c>
      <c r="AE10" s="5" t="str">
        <f>IFERROR(__xludf.DUMMYFUNCTION("""COMPUTED_VALUE"""),"PC")</f>
        <v>PC</v>
      </c>
      <c r="AF10" s="5" t="str">
        <f>IFERROR(__xludf.DUMMYFUNCTION("""COMPUTED_VALUE"""),"Sacc")</f>
        <v>Sacc</v>
      </c>
      <c r="AG10" s="14"/>
      <c r="AH10" s="14"/>
      <c r="AI10" s="14"/>
      <c r="AJ10" s="14"/>
      <c r="AK10" s="14"/>
      <c r="AL10" s="14"/>
      <c r="AM10" s="14"/>
      <c r="AN10" s="14"/>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c r="A11" s="5" t="str">
        <f>IFERROR(__xludf.DUMMYFUNCTION("""COMPUTED_VALUE"""),"Tsukuba")</f>
        <v>Tsukuba</v>
      </c>
      <c r="B11" s="5" t="str">
        <f>IFERROR(__xludf.DUMMYFUNCTION("""COMPUTED_VALUE"""),"Double")</f>
        <v>Double</v>
      </c>
      <c r="C11" s="5" t="str">
        <f>IFERROR(__xludf.DUMMYFUNCTION("""COMPUTED_VALUE"""),"Jintei")</f>
        <v>Jintei</v>
      </c>
      <c r="D11" s="5" t="str">
        <f>IFERROR(__xludf.DUMMYFUNCTION("""COMPUTED_VALUE"""),"Lolidia")</f>
        <v>Lolidia</v>
      </c>
      <c r="E11" s="5">
        <f>IFERROR(__xludf.DUMMYFUNCTION("""COMPUTED_VALUE"""),0.0023803935185185182)</f>
        <v>0.002380393519</v>
      </c>
      <c r="F11" s="5" t="str">
        <f>IFERROR(__xludf.DUMMYFUNCTION("""COMPUTED_VALUE"""),"AE86T")</f>
        <v>AE86T</v>
      </c>
      <c r="G11" s="5" t="str">
        <f>IFERROR(__xludf.DUMMYFUNCTION("""COMPUTED_VALUE"""),"PCVR")</f>
        <v>PCVR</v>
      </c>
      <c r="H11" s="5" t="str">
        <f>IFERROR(__xludf.DUMMYFUNCTION("""COMPUTED_VALUE"""),"Sacc")</f>
        <v>Sacc</v>
      </c>
      <c r="I11" s="5" t="str">
        <f>IFERROR(__xludf.DUMMYFUNCTION("""COMPUTED_VALUE"""),"Tsubaki")</f>
        <v>Tsubaki</v>
      </c>
      <c r="J11" s="5" t="str">
        <f>IFERROR(__xludf.DUMMYFUNCTION("""COMPUTED_VALUE"""),"DH")</f>
        <v>DH</v>
      </c>
      <c r="K11" s="5" t="str">
        <f>IFERROR(__xludf.DUMMYFUNCTION("""COMPUTED_VALUE"""),"Jintei ")</f>
        <v>Jintei </v>
      </c>
      <c r="L11" s="5" t="str">
        <f>IFERROR(__xludf.DUMMYFUNCTION("""COMPUTED_VALUE"""),"菲娜 希琉絲")</f>
        <v>菲娜 希琉絲</v>
      </c>
      <c r="M11" s="5">
        <f>IFERROR(__xludf.DUMMYFUNCTION("""COMPUTED_VALUE"""),0.002554976851851852)</f>
        <v>0.002554976852</v>
      </c>
      <c r="N11" s="5" t="str">
        <f>IFERROR(__xludf.DUMMYFUNCTION("""COMPUTED_VALUE"""),"FD3S (RX7)")</f>
        <v>FD3S (RX7)</v>
      </c>
      <c r="O11" s="5" t="str">
        <f>IFERROR(__xludf.DUMMYFUNCTION("""COMPUTED_VALUE"""),"PC")</f>
        <v>PC</v>
      </c>
      <c r="P11" s="5" t="str">
        <f>IFERROR(__xludf.DUMMYFUNCTION("""COMPUTED_VALUE"""),"Sacc")</f>
        <v>Sacc</v>
      </c>
      <c r="Q11" s="5"/>
      <c r="R11" s="5"/>
      <c r="S11" s="5"/>
      <c r="T11" s="5"/>
      <c r="U11" s="5"/>
      <c r="V11" s="5"/>
      <c r="W11" s="5"/>
      <c r="X11" s="5"/>
      <c r="Y11" s="5" t="str">
        <f>IFERROR(__xludf.DUMMYFUNCTION("""COMPUTED_VALUE"""),"Hakone")</f>
        <v>Hakone</v>
      </c>
      <c r="Z11" s="5" t="str">
        <f>IFERROR(__xludf.DUMMYFUNCTION("""COMPUTED_VALUE"""),"DH")</f>
        <v>DH</v>
      </c>
      <c r="AA11" s="5" t="str">
        <f>IFERROR(__xludf.DUMMYFUNCTION("""COMPUTED_VALUE"""),"Jintei ")</f>
        <v>Jintei </v>
      </c>
      <c r="AB11" s="5" t="str">
        <f>IFERROR(__xludf.DUMMYFUNCTION("""COMPUTED_VALUE"""),"LinWu_05")</f>
        <v>LinWu_05</v>
      </c>
      <c r="AC11" s="5">
        <f>IFERROR(__xludf.DUMMYFUNCTION("""COMPUTED_VALUE"""),0.002515428240740741)</f>
        <v>0.002515428241</v>
      </c>
      <c r="AD11" s="5" t="str">
        <f>IFERROR(__xludf.DUMMYFUNCTION("""COMPUTED_VALUE"""),"BNR32")</f>
        <v>BNR32</v>
      </c>
      <c r="AE11" s="5" t="str">
        <f>IFERROR(__xludf.DUMMYFUNCTION("""COMPUTED_VALUE"""),"PC")</f>
        <v>PC</v>
      </c>
      <c r="AF11" s="5" t="str">
        <f>IFERROR(__xludf.DUMMYFUNCTION("""COMPUTED_VALUE"""),"Sacc")</f>
        <v>Sacc</v>
      </c>
      <c r="AG11" s="68" t="s">
        <v>130</v>
      </c>
      <c r="AO11" s="67" t="s">
        <v>131</v>
      </c>
      <c r="AW11" s="67" t="s">
        <v>132</v>
      </c>
      <c r="BE11" s="67"/>
      <c r="BF11" s="67"/>
      <c r="BG11" s="67"/>
      <c r="BH11" s="67"/>
      <c r="BI11" s="67"/>
      <c r="BJ11" s="67"/>
      <c r="BK11" s="67"/>
      <c r="BL11" s="67"/>
      <c r="BM11" s="67"/>
      <c r="BN11" s="67"/>
      <c r="BO11" s="67"/>
    </row>
    <row r="12">
      <c r="A12" s="5" t="str">
        <f>IFERROR(__xludf.DUMMYFUNCTION("""COMPUTED_VALUE"""),"Tsukuba")</f>
        <v>Tsukuba</v>
      </c>
      <c r="B12" s="5" t="str">
        <f>IFERROR(__xludf.DUMMYFUNCTION("""COMPUTED_VALUE"""),"DH")</f>
        <v>DH</v>
      </c>
      <c r="C12" s="5" t="str">
        <f>IFERROR(__xludf.DUMMYFUNCTION("""COMPUTED_VALUE"""),"Jintei")</f>
        <v>Jintei</v>
      </c>
      <c r="D12" s="5" t="str">
        <f>IFERROR(__xludf.DUMMYFUNCTION("""COMPUTED_VALUE"""),"Lolidia")</f>
        <v>Lolidia</v>
      </c>
      <c r="E12" s="5">
        <f>IFERROR(__xludf.DUMMYFUNCTION("""COMPUTED_VALUE"""),0.0011308796296296297)</f>
        <v>0.00113087963</v>
      </c>
      <c r="F12" s="5" t="str">
        <f>IFERROR(__xludf.DUMMYFUNCTION("""COMPUTED_VALUE"""),"AE86T")</f>
        <v>AE86T</v>
      </c>
      <c r="G12" s="5" t="str">
        <f>IFERROR(__xludf.DUMMYFUNCTION("""COMPUTED_VALUE"""),"PCVR")</f>
        <v>PCVR</v>
      </c>
      <c r="H12" s="5" t="str">
        <f>IFERROR(__xludf.DUMMYFUNCTION("""COMPUTED_VALUE"""),"Sacc")</f>
        <v>Sacc</v>
      </c>
      <c r="I12" s="5" t="str">
        <f>IFERROR(__xludf.DUMMYFUNCTION("""COMPUTED_VALUE"""),"Lake Akina")</f>
        <v>Lake Akina</v>
      </c>
      <c r="J12" s="5" t="str">
        <f>IFERROR(__xludf.DUMMYFUNCTION("""COMPUTED_VALUE"""),"CC")</f>
        <v>CC</v>
      </c>
      <c r="K12" s="5" t="str">
        <f>IFERROR(__xludf.DUMMYFUNCTION("""COMPUTED_VALUE"""),"Jintei")</f>
        <v>Jintei</v>
      </c>
      <c r="L12" s="5" t="str">
        <f>IFERROR(__xludf.DUMMYFUNCTION("""COMPUTED_VALUE"""),"Test Driver")</f>
        <v>Test Driver</v>
      </c>
      <c r="M12" s="5">
        <f>IFERROR(__xludf.DUMMYFUNCTION("""COMPUTED_VALUE"""),0.006944444444444444)</f>
        <v>0.006944444444</v>
      </c>
      <c r="N12" s="5" t="str">
        <f>IFERROR(__xludf.DUMMYFUNCTION("""COMPUTED_VALUE"""),"FD3S (RX7)")</f>
        <v>FD3S (RX7)</v>
      </c>
      <c r="O12" s="5"/>
      <c r="P12" s="5" t="str">
        <f>IFERROR(__xludf.DUMMYFUNCTION("""COMPUTED_VALUE"""),"Sacc")</f>
        <v>Sacc</v>
      </c>
      <c r="Q12" s="5"/>
      <c r="R12" s="5"/>
      <c r="S12" s="5"/>
      <c r="T12" s="5"/>
      <c r="U12" s="5"/>
      <c r="V12" s="5"/>
      <c r="W12" s="5"/>
      <c r="X12" s="5"/>
      <c r="Y12" s="5" t="str">
        <f>IFERROR(__xludf.DUMMYFUNCTION("""COMPUTED_VALUE"""),"Akina")</f>
        <v>Akina</v>
      </c>
      <c r="Z12" s="5" t="str">
        <f>IFERROR(__xludf.DUMMYFUNCTION("""COMPUTED_VALUE"""),"UH")</f>
        <v>UH</v>
      </c>
      <c r="AA12" s="5" t="str">
        <f>IFERROR(__xludf.DUMMYFUNCTION("""COMPUTED_VALUE"""),"Jintei")</f>
        <v>Jintei</v>
      </c>
      <c r="AB12" s="5" t="str">
        <f>IFERROR(__xludf.DUMMYFUNCTION("""COMPUTED_VALUE"""),"Test Driver")</f>
        <v>Test Driver</v>
      </c>
      <c r="AC12" s="5">
        <f>IFERROR(__xludf.DUMMYFUNCTION("""COMPUTED_VALUE"""),0.006944444444444444)</f>
        <v>0.006944444444</v>
      </c>
      <c r="AD12" s="5" t="str">
        <f>IFERROR(__xludf.DUMMYFUNCTION("""COMPUTED_VALUE"""),"BNR32")</f>
        <v>BNR32</v>
      </c>
      <c r="AE12" s="5"/>
      <c r="AF12" s="5" t="str">
        <f>IFERROR(__xludf.DUMMYFUNCTION("""COMPUTED_VALUE"""),"Sacc")</f>
        <v>Sacc</v>
      </c>
      <c r="AG12" s="14" t="str">
        <f>IFERROR(__xludf.DUMMYFUNCTION("LET(
  車輛, AG11,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H12" s="14" t="str">
        <f>IFERROR(__xludf.DUMMYFUNCTION("""COMPUTED_VALUE"""),"路線")</f>
        <v>路線</v>
      </c>
      <c r="AI12" s="14" t="str">
        <f>IFERROR(__xludf.DUMMYFUNCTION("""COMPUTED_VALUE"""),"作者")</f>
        <v>作者</v>
      </c>
      <c r="AJ12" s="14" t="str">
        <f>IFERROR(__xludf.DUMMYFUNCTION("""COMPUTED_VALUE"""),"玩家")</f>
        <v>玩家</v>
      </c>
      <c r="AK12" s="14" t="str">
        <f>IFERROR(__xludf.DUMMYFUNCTION("""COMPUTED_VALUE"""),"時間")</f>
        <v>時間</v>
      </c>
      <c r="AL12" s="14" t="str">
        <f>IFERROR(__xludf.DUMMYFUNCTION("""COMPUTED_VALUE"""),"車輛")</f>
        <v>車輛</v>
      </c>
      <c r="AM12" s="14" t="str">
        <f>IFERROR(__xludf.DUMMYFUNCTION("""COMPUTED_VALUE"""),"平台")</f>
        <v>平台</v>
      </c>
      <c r="AN12" s="14" t="str">
        <f>IFERROR(__xludf.DUMMYFUNCTION("""COMPUTED_VALUE"""),"系統")</f>
        <v>系統</v>
      </c>
      <c r="AO12" s="5" t="str">
        <f>IFERROR(__xludf.DUMMYFUNCTION("LET(
  車輛, AO11,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P12" s="5" t="str">
        <f>IFERROR(__xludf.DUMMYFUNCTION("""COMPUTED_VALUE"""),"路線")</f>
        <v>路線</v>
      </c>
      <c r="AQ12" s="5" t="str">
        <f>IFERROR(__xludf.DUMMYFUNCTION("""COMPUTED_VALUE"""),"作者")</f>
        <v>作者</v>
      </c>
      <c r="AR12" s="5" t="str">
        <f>IFERROR(__xludf.DUMMYFUNCTION("""COMPUTED_VALUE"""),"玩家")</f>
        <v>玩家</v>
      </c>
      <c r="AS12" s="5" t="str">
        <f>IFERROR(__xludf.DUMMYFUNCTION("""COMPUTED_VALUE"""),"時間")</f>
        <v>時間</v>
      </c>
      <c r="AT12" s="5" t="str">
        <f>IFERROR(__xludf.DUMMYFUNCTION("""COMPUTED_VALUE"""),"車輛")</f>
        <v>車輛</v>
      </c>
      <c r="AU12" s="5" t="str">
        <f>IFERROR(__xludf.DUMMYFUNCTION("""COMPUTED_VALUE"""),"平台")</f>
        <v>平台</v>
      </c>
      <c r="AV12" s="5" t="str">
        <f>IFERROR(__xludf.DUMMYFUNCTION("""COMPUTED_VALUE"""),"系統")</f>
        <v>系統</v>
      </c>
      <c r="AW12" s="5" t="str">
        <f>IFERROR(__xludf.DUMMYFUNCTION("LET(
  車輛, AW11,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12" s="5" t="str">
        <f>IFERROR(__xludf.DUMMYFUNCTION("""COMPUTED_VALUE"""),"路線")</f>
        <v>路線</v>
      </c>
      <c r="AY12" s="5" t="str">
        <f>IFERROR(__xludf.DUMMYFUNCTION("""COMPUTED_VALUE"""),"作者")</f>
        <v>作者</v>
      </c>
      <c r="AZ12" s="5" t="str">
        <f>IFERROR(__xludf.DUMMYFUNCTION("""COMPUTED_VALUE"""),"玩家")</f>
        <v>玩家</v>
      </c>
      <c r="BA12" s="5" t="str">
        <f>IFERROR(__xludf.DUMMYFUNCTION("""COMPUTED_VALUE"""),"時間")</f>
        <v>時間</v>
      </c>
      <c r="BB12" s="5" t="str">
        <f>IFERROR(__xludf.DUMMYFUNCTION("""COMPUTED_VALUE"""),"車輛")</f>
        <v>車輛</v>
      </c>
      <c r="BC12" s="5" t="str">
        <f>IFERROR(__xludf.DUMMYFUNCTION("""COMPUTED_VALUE"""),"平台")</f>
        <v>平台</v>
      </c>
      <c r="BD12" s="5" t="str">
        <f>IFERROR(__xludf.DUMMYFUNCTION("""COMPUTED_VALUE"""),"系統")</f>
        <v>系統</v>
      </c>
      <c r="BE12" s="5"/>
      <c r="BF12" s="5"/>
      <c r="BG12" s="5"/>
      <c r="BH12" s="5"/>
      <c r="BI12" s="5"/>
      <c r="BJ12" s="5"/>
      <c r="BK12" s="5"/>
      <c r="BL12" s="5"/>
      <c r="BM12" s="5"/>
      <c r="BN12" s="5"/>
      <c r="BO12" s="5"/>
    </row>
    <row r="13">
      <c r="A13" s="5" t="str">
        <f>IFERROR(__xludf.DUMMYFUNCTION("""COMPUTED_VALUE"""),"Tsukuba")</f>
        <v>Tsukuba</v>
      </c>
      <c r="B13" s="5" t="str">
        <f>IFERROR(__xludf.DUMMYFUNCTION("""COMPUTED_VALUE"""),"UH")</f>
        <v>UH</v>
      </c>
      <c r="C13" s="5" t="str">
        <f>IFERROR(__xludf.DUMMYFUNCTION("""COMPUTED_VALUE"""),"Jintei")</f>
        <v>Jintei</v>
      </c>
      <c r="D13" s="5" t="str">
        <f>IFERROR(__xludf.DUMMYFUNCTION("""COMPUTED_VALUE"""),"StarRiver Arts")</f>
        <v>StarRiver Arts</v>
      </c>
      <c r="E13" s="5">
        <f>IFERROR(__xludf.DUMMYFUNCTION("""COMPUTED_VALUE"""),0.0014099189814814814)</f>
        <v>0.001409918981</v>
      </c>
      <c r="F13" s="5" t="str">
        <f>IFERROR(__xludf.DUMMYFUNCTION("""COMPUTED_VALUE"""),"AE86T")</f>
        <v>AE86T</v>
      </c>
      <c r="G13" s="5" t="str">
        <f>IFERROR(__xludf.DUMMYFUNCTION("""COMPUTED_VALUE"""),"PC")</f>
        <v>PC</v>
      </c>
      <c r="H13" s="5" t="str">
        <f>IFERROR(__xludf.DUMMYFUNCTION("""COMPUTED_VALUE"""),"Sacc")</f>
        <v>Sacc</v>
      </c>
      <c r="I13" s="5" t="str">
        <f>IFERROR(__xludf.DUMMYFUNCTION("""COMPUTED_VALUE"""),"Akagi")</f>
        <v>Akagi</v>
      </c>
      <c r="J13" s="5" t="str">
        <f>IFERROR(__xludf.DUMMYFUNCTION("""COMPUTED_VALUE"""),"DH")</f>
        <v>DH</v>
      </c>
      <c r="K13" s="5" t="str">
        <f>IFERROR(__xludf.DUMMYFUNCTION("""COMPUTED_VALUE"""),"Jintei")</f>
        <v>Jintei</v>
      </c>
      <c r="L13" s="5" t="str">
        <f>IFERROR(__xludf.DUMMYFUNCTION("""COMPUTED_VALUE"""),"Test Driver")</f>
        <v>Test Driver</v>
      </c>
      <c r="M13" s="5">
        <f>IFERROR(__xludf.DUMMYFUNCTION("""COMPUTED_VALUE"""),0.006944444444444444)</f>
        <v>0.006944444444</v>
      </c>
      <c r="N13" s="5" t="str">
        <f>IFERROR(__xludf.DUMMYFUNCTION("""COMPUTED_VALUE"""),"FD3S (RX7)")</f>
        <v>FD3S (RX7)</v>
      </c>
      <c r="O13" s="5"/>
      <c r="P13" s="5" t="str">
        <f>IFERROR(__xludf.DUMMYFUNCTION("""COMPUTED_VALUE"""),"Sacc")</f>
        <v>Sacc</v>
      </c>
      <c r="Q13" s="5"/>
      <c r="R13" s="5"/>
      <c r="S13" s="5"/>
      <c r="T13" s="5"/>
      <c r="U13" s="5"/>
      <c r="V13" s="5"/>
      <c r="W13" s="5"/>
      <c r="X13" s="5"/>
      <c r="Y13" s="5" t="str">
        <f>IFERROR(__xludf.DUMMYFUNCTION("""COMPUTED_VALUE"""),"Myogi (ASV)")</f>
        <v>Myogi (ASV)</v>
      </c>
      <c r="Z13" s="5" t="str">
        <f>IFERROR(__xludf.DUMMYFUNCTION("""COMPUTED_VALUE"""),"UH")</f>
        <v>UH</v>
      </c>
      <c r="AA13" s="5" t="str">
        <f>IFERROR(__xludf.DUMMYFUNCTION("""COMPUTED_VALUE"""),"Jintei")</f>
        <v>Jintei</v>
      </c>
      <c r="AB13" s="5" t="str">
        <f>IFERROR(__xludf.DUMMYFUNCTION("""COMPUTED_VALUE"""),"Test Driver")</f>
        <v>Test Driver</v>
      </c>
      <c r="AC13" s="5">
        <f>IFERROR(__xludf.DUMMYFUNCTION("""COMPUTED_VALUE"""),0.006944444444444444)</f>
        <v>0.006944444444</v>
      </c>
      <c r="AD13" s="5" t="str">
        <f>IFERROR(__xludf.DUMMYFUNCTION("""COMPUTED_VALUE"""),"BNR32")</f>
        <v>BNR32</v>
      </c>
      <c r="AE13" s="5"/>
      <c r="AF13" s="5" t="str">
        <f>IFERROR(__xludf.DUMMYFUNCTION("""COMPUTED_VALUE"""),"Sacc")</f>
        <v>Sacc</v>
      </c>
      <c r="AG13" s="14" t="str">
        <f>IFERROR(__xludf.DUMMYFUNCTION("""COMPUTED_VALUE"""),"Silverstone")</f>
        <v>Silverstone</v>
      </c>
      <c r="AH13" s="14"/>
      <c r="AI13" s="14" t="str">
        <f>IFERROR(__xludf.DUMMYFUNCTION("""COMPUTED_VALUE"""),"Aiden1408")</f>
        <v>Aiden1408</v>
      </c>
      <c r="AJ13" s="14" t="str">
        <f>IFERROR(__xludf.DUMMYFUNCTION("""COMPUTED_VALUE"""),"Hayasaka_Ishimi")</f>
        <v>Hayasaka_Ishimi</v>
      </c>
      <c r="AK13" s="48">
        <f>IFERROR(__xludf.DUMMYFUNCTION("""COMPUTED_VALUE"""),9.220717592592593E-4)</f>
        <v>0.0009220717593</v>
      </c>
      <c r="AL13" s="14" t="str">
        <f>IFERROR(__xludf.DUMMYFUNCTION("""COMPUTED_VALUE"""),"w16(Mercedes)")</f>
        <v>w16(Mercedes)</v>
      </c>
      <c r="AM13" s="14" t="str">
        <f>IFERROR(__xludf.DUMMYFUNCTION("""COMPUTED_VALUE"""),"PCVR")</f>
        <v>PCVR</v>
      </c>
      <c r="AN13" s="14" t="str">
        <f>IFERROR(__xludf.DUMMYFUNCTION("""COMPUTED_VALUE"""),"CVS")</f>
        <v>CVS</v>
      </c>
      <c r="AO13" s="5" t="str">
        <f>IFERROR(__xludf.DUMMYFUNCTION("""COMPUTED_VALUE"""),"AkinaUN")</f>
        <v>AkinaUN</v>
      </c>
      <c r="AP13" s="5" t="str">
        <f>IFERROR(__xludf.DUMMYFUNCTION("""COMPUTED_VALUE"""),"DH")</f>
        <v>DH</v>
      </c>
      <c r="AQ13" s="5" t="str">
        <f>IFERROR(__xludf.DUMMYFUNCTION("""COMPUTED_VALUE"""),"Jintei")</f>
        <v>Jintei</v>
      </c>
      <c r="AR13" s="5" t="str">
        <f>IFERROR(__xludf.DUMMYFUNCTION("""COMPUTED_VALUE"""),"StarRiver Arts")</f>
        <v>StarRiver Arts</v>
      </c>
      <c r="AS13" s="5">
        <f>IFERROR(__xludf.DUMMYFUNCTION("""COMPUTED_VALUE"""),0.0031464120370370374)</f>
        <v>0.003146412037</v>
      </c>
      <c r="AT13" s="5" t="str">
        <f>IFERROR(__xludf.DUMMYFUNCTION("""COMPUTED_VALUE"""),"Benz S203")</f>
        <v>Benz S203</v>
      </c>
      <c r="AU13" s="5" t="str">
        <f>IFERROR(__xludf.DUMMYFUNCTION("""COMPUTED_VALUE"""),"PC")</f>
        <v>PC</v>
      </c>
      <c r="AV13" s="5" t="str">
        <f>IFERROR(__xludf.DUMMYFUNCTION("""COMPUTED_VALUE"""),"Sacc")</f>
        <v>Sacc</v>
      </c>
      <c r="AW13" s="5" t="str">
        <f>IFERROR(__xludf.DUMMYFUNCTION("""COMPUTED_VALUE"""),"Momiji")</f>
        <v>Momiji</v>
      </c>
      <c r="AX13" s="5" t="str">
        <f>IFERROR(__xludf.DUMMYFUNCTION("""COMPUTED_VALUE"""),"DH")</f>
        <v>DH</v>
      </c>
      <c r="AY13" s="5" t="str">
        <f>IFERROR(__xludf.DUMMYFUNCTION("""COMPUTED_VALUE"""),"FoxBG")</f>
        <v>FoxBG</v>
      </c>
      <c r="AZ13" s="5" t="str">
        <f>IFERROR(__xludf.DUMMYFUNCTION("""COMPUTED_VALUE"""),"StarRiver Arts")</f>
        <v>StarRiver Arts</v>
      </c>
      <c r="BA13" s="5">
        <f>IFERROR(__xludf.DUMMYFUNCTION("""COMPUTED_VALUE"""),0.0031942476851851854)</f>
        <v>0.003194247685</v>
      </c>
      <c r="BB13" s="5" t="str">
        <f>IFERROR(__xludf.DUMMYFUNCTION("""COMPUTED_VALUE"""),"Highline TT")</f>
        <v>Highline TT</v>
      </c>
      <c r="BC13" s="5" t="str">
        <f>IFERROR(__xludf.DUMMYFUNCTION("""COMPUTED_VALUE"""),"PC")</f>
        <v>PC</v>
      </c>
      <c r="BD13" s="5" t="str">
        <f>IFERROR(__xludf.DUMMYFUNCTION("""COMPUTED_VALUE"""),"CVS")</f>
        <v>CVS</v>
      </c>
      <c r="BE13" s="5"/>
      <c r="BF13" s="5"/>
      <c r="BG13" s="5"/>
      <c r="BH13" s="5"/>
      <c r="BI13" s="5"/>
      <c r="BJ13" s="5"/>
      <c r="BK13" s="5"/>
      <c r="BL13" s="5"/>
      <c r="BM13" s="5"/>
      <c r="BN13" s="5"/>
      <c r="BO13" s="5"/>
    </row>
    <row r="14">
      <c r="A14" s="5" t="str">
        <f>IFERROR(__xludf.DUMMYFUNCTION("""COMPUTED_VALUE"""),"Tsukuba")</f>
        <v>Tsukuba</v>
      </c>
      <c r="B14" s="5" t="str">
        <f>IFERROR(__xludf.DUMMYFUNCTION("""COMPUTED_VALUE"""),"OB")</f>
        <v>OB</v>
      </c>
      <c r="C14" s="5" t="str">
        <f>IFERROR(__xludf.DUMMYFUNCTION("""COMPUTED_VALUE"""),"Jintei")</f>
        <v>Jintei</v>
      </c>
      <c r="D14" s="5" t="str">
        <f>IFERROR(__xludf.DUMMYFUNCTION("""COMPUTED_VALUE"""),"StarRiver Arts")</f>
        <v>StarRiver Arts</v>
      </c>
      <c r="E14" s="5">
        <f>IFERROR(__xludf.DUMMYFUNCTION("""COMPUTED_VALUE"""),0.0026923263888888886)</f>
        <v>0.002692326389</v>
      </c>
      <c r="F14" s="5" t="str">
        <f>IFERROR(__xludf.DUMMYFUNCTION("""COMPUTED_VALUE"""),"AE86T")</f>
        <v>AE86T</v>
      </c>
      <c r="G14" s="5" t="str">
        <f>IFERROR(__xludf.DUMMYFUNCTION("""COMPUTED_VALUE"""),"PC")</f>
        <v>PC</v>
      </c>
      <c r="H14" s="5" t="str">
        <f>IFERROR(__xludf.DUMMYFUNCTION("""COMPUTED_VALUE"""),"Sacc")</f>
        <v>Sacc</v>
      </c>
      <c r="I14" s="5" t="str">
        <f>IFERROR(__xludf.DUMMYFUNCTION("""COMPUTED_VALUE"""),"Akagi")</f>
        <v>Akagi</v>
      </c>
      <c r="J14" s="5" t="str">
        <f>IFERROR(__xludf.DUMMYFUNCTION("""COMPUTED_VALUE"""),"UH")</f>
        <v>UH</v>
      </c>
      <c r="K14" s="5" t="str">
        <f>IFERROR(__xludf.DUMMYFUNCTION("""COMPUTED_VALUE"""),"Jintei")</f>
        <v>Jintei</v>
      </c>
      <c r="L14" s="5" t="str">
        <f>IFERROR(__xludf.DUMMYFUNCTION("""COMPUTED_VALUE"""),"Test Driver")</f>
        <v>Test Driver</v>
      </c>
      <c r="M14" s="5">
        <f>IFERROR(__xludf.DUMMYFUNCTION("""COMPUTED_VALUE"""),0.006944444444444444)</f>
        <v>0.006944444444</v>
      </c>
      <c r="N14" s="5" t="str">
        <f>IFERROR(__xludf.DUMMYFUNCTION("""COMPUTED_VALUE"""),"FD3S (RX7)")</f>
        <v>FD3S (RX7)</v>
      </c>
      <c r="O14" s="5"/>
      <c r="P14" s="5" t="str">
        <f>IFERROR(__xludf.DUMMYFUNCTION("""COMPUTED_VALUE"""),"Sacc")</f>
        <v>Sacc</v>
      </c>
      <c r="Q14" s="5"/>
      <c r="R14" s="5"/>
      <c r="S14" s="5"/>
      <c r="T14" s="5"/>
      <c r="U14" s="5"/>
      <c r="V14" s="5"/>
      <c r="W14" s="5"/>
      <c r="X14" s="5"/>
      <c r="Y14" s="5" t="str">
        <f>IFERROR(__xludf.DUMMYFUNCTION("""COMPUTED_VALUE"""),"Shin Myogi")</f>
        <v>Shin Myogi</v>
      </c>
      <c r="Z14" s="5" t="str">
        <f>IFERROR(__xludf.DUMMYFUNCTION("""COMPUTED_VALUE"""),"DH")</f>
        <v>DH</v>
      </c>
      <c r="AA14" s="5" t="str">
        <f>IFERROR(__xludf.DUMMYFUNCTION("""COMPUTED_VALUE"""),"Jintei")</f>
        <v>Jintei</v>
      </c>
      <c r="AB14" s="5" t="str">
        <f>IFERROR(__xludf.DUMMYFUNCTION("""COMPUTED_VALUE"""),"Test Driver")</f>
        <v>Test Driver</v>
      </c>
      <c r="AC14" s="5">
        <f>IFERROR(__xludf.DUMMYFUNCTION("""COMPUTED_VALUE"""),0.006944444444444444)</f>
        <v>0.006944444444</v>
      </c>
      <c r="AD14" s="5" t="str">
        <f>IFERROR(__xludf.DUMMYFUNCTION("""COMPUTED_VALUE"""),"BNR32")</f>
        <v>BNR32</v>
      </c>
      <c r="AE14" s="5"/>
      <c r="AF14" s="5" t="str">
        <f>IFERROR(__xludf.DUMMYFUNCTION("""COMPUTED_VALUE"""),"Sacc")</f>
        <v>Sacc</v>
      </c>
      <c r="AG14" s="14" t="str">
        <f>IFERROR(__xludf.DUMMYFUNCTION("""COMPUTED_VALUE"""),"LasVegas")</f>
        <v>LasVegas</v>
      </c>
      <c r="AH14" s="14"/>
      <c r="AI14" s="14" t="str">
        <f>IFERROR(__xludf.DUMMYFUNCTION("""COMPUTED_VALUE"""),"Aiden1408")</f>
        <v>Aiden1408</v>
      </c>
      <c r="AJ14" s="14" t="str">
        <f>IFERROR(__xludf.DUMMYFUNCTION("""COMPUTED_VALUE"""),"Azucia")</f>
        <v>Azucia</v>
      </c>
      <c r="AK14" s="14">
        <f>IFERROR(__xludf.DUMMYFUNCTION("""COMPUTED_VALUE"""),0.0016032754629629628)</f>
        <v>0.001603275463</v>
      </c>
      <c r="AL14" s="14" t="str">
        <f>IFERROR(__xludf.DUMMYFUNCTION("""COMPUTED_VALUE"""),"w16(Mercedes)")</f>
        <v>w16(Mercedes)</v>
      </c>
      <c r="AM14" s="14" t="str">
        <f>IFERROR(__xludf.DUMMYFUNCTION("""COMPUTED_VALUE"""),"PCVR")</f>
        <v>PCVR</v>
      </c>
      <c r="AN14" s="14" t="str">
        <f>IFERROR(__xludf.DUMMYFUNCTION("""COMPUTED_VALUE"""),"CVS")</f>
        <v>CVS</v>
      </c>
      <c r="AO14" s="5" t="str">
        <f>IFERROR(__xludf.DUMMYFUNCTION("""COMPUTED_VALUE"""),"AkinaUN")</f>
        <v>AkinaUN</v>
      </c>
      <c r="AP14" s="5" t="str">
        <f>IFERROR(__xludf.DUMMYFUNCTION("""COMPUTED_VALUE"""),"UH")</f>
        <v>UH</v>
      </c>
      <c r="AQ14" s="5" t="str">
        <f>IFERROR(__xludf.DUMMYFUNCTION("""COMPUTED_VALUE"""),"Jintei")</f>
        <v>Jintei</v>
      </c>
      <c r="AR14" s="5" t="str">
        <f>IFERROR(__xludf.DUMMYFUNCTION("""COMPUTED_VALUE"""),"Test Driver")</f>
        <v>Test Driver</v>
      </c>
      <c r="AS14" s="5">
        <f>IFERROR(__xludf.DUMMYFUNCTION("""COMPUTED_VALUE"""),0.006944444444444444)</f>
        <v>0.006944444444</v>
      </c>
      <c r="AT14" s="5" t="str">
        <f>IFERROR(__xludf.DUMMYFUNCTION("""COMPUTED_VALUE"""),"Benz S203")</f>
        <v>Benz S203</v>
      </c>
      <c r="AU14" s="5"/>
      <c r="AV14" s="5" t="str">
        <f>IFERROR(__xludf.DUMMYFUNCTION("""COMPUTED_VALUE"""),"Sacc")</f>
        <v>Sacc</v>
      </c>
      <c r="AW14" s="5" t="str">
        <f>IFERROR(__xludf.DUMMYFUNCTION("""COMPUTED_VALUE"""),"Nagao")</f>
        <v>Nagao</v>
      </c>
      <c r="AX14" s="5" t="str">
        <f>IFERROR(__xludf.DUMMYFUNCTION("""COMPUTED_VALUE"""),"DH")</f>
        <v>DH</v>
      </c>
      <c r="AY14" s="5" t="str">
        <f>IFERROR(__xludf.DUMMYFUNCTION("""COMPUTED_VALUE"""),"FoxBG")</f>
        <v>FoxBG</v>
      </c>
      <c r="AZ14" s="5" t="str">
        <f>IFERROR(__xludf.DUMMYFUNCTION("""COMPUTED_VALUE"""),"Test Driver")</f>
        <v>Test Driver</v>
      </c>
      <c r="BA14" s="5">
        <f>IFERROR(__xludf.DUMMYFUNCTION("""COMPUTED_VALUE"""),0.006944444444444444)</f>
        <v>0.006944444444</v>
      </c>
      <c r="BB14" s="5" t="str">
        <f>IFERROR(__xludf.DUMMYFUNCTION("""COMPUTED_VALUE"""),"Highline TT")</f>
        <v>Highline TT</v>
      </c>
      <c r="BC14" s="5"/>
      <c r="BD14" s="5" t="str">
        <f>IFERROR(__xludf.DUMMYFUNCTION("""COMPUTED_VALUE"""),"CVS")</f>
        <v>CVS</v>
      </c>
      <c r="BE14" s="5"/>
      <c r="BF14" s="5"/>
      <c r="BG14" s="5"/>
      <c r="BH14" s="5"/>
      <c r="BI14" s="5"/>
      <c r="BJ14" s="5"/>
      <c r="BK14" s="5"/>
      <c r="BL14" s="5"/>
      <c r="BM14" s="5"/>
      <c r="BN14" s="5"/>
      <c r="BO14" s="5"/>
    </row>
    <row r="15">
      <c r="A15" s="5" t="str">
        <f>IFERROR(__xludf.DUMMYFUNCTION("""COMPUTED_VALUE"""),"Tsukuba")</f>
        <v>Tsukuba</v>
      </c>
      <c r="B15" s="5" t="str">
        <f>IFERROR(__xludf.DUMMYFUNCTION("""COMPUTED_VALUE"""),"IB")</f>
        <v>IB</v>
      </c>
      <c r="C15" s="5" t="str">
        <f>IFERROR(__xludf.DUMMYFUNCTION("""COMPUTED_VALUE"""),"Jintei")</f>
        <v>Jintei</v>
      </c>
      <c r="D15" s="5" t="str">
        <f>IFERROR(__xludf.DUMMYFUNCTION("""COMPUTED_VALUE"""),"Lolidia")</f>
        <v>Lolidia</v>
      </c>
      <c r="E15" s="5">
        <f>IFERROR(__xludf.DUMMYFUNCTION("""COMPUTED_VALUE"""),0.002311759259259259)</f>
        <v>0.002311759259</v>
      </c>
      <c r="F15" s="5" t="str">
        <f>IFERROR(__xludf.DUMMYFUNCTION("""COMPUTED_VALUE"""),"AE86T")</f>
        <v>AE86T</v>
      </c>
      <c r="G15" s="5" t="str">
        <f>IFERROR(__xludf.DUMMYFUNCTION("""COMPUTED_VALUE"""),"PCVR")</f>
        <v>PCVR</v>
      </c>
      <c r="H15" s="5" t="str">
        <f>IFERROR(__xludf.DUMMYFUNCTION("""COMPUTED_VALUE"""),"Sacc")</f>
        <v>Sacc</v>
      </c>
      <c r="I15" s="5" t="str">
        <f>IFERROR(__xludf.DUMMYFUNCTION("""COMPUTED_VALUE"""),"Myogi (ASV)")</f>
        <v>Myogi (ASV)</v>
      </c>
      <c r="J15" s="5" t="str">
        <f>IFERROR(__xludf.DUMMYFUNCTION("""COMPUTED_VALUE"""),"UH")</f>
        <v>UH</v>
      </c>
      <c r="K15" s="5" t="str">
        <f>IFERROR(__xludf.DUMMYFUNCTION("""COMPUTED_VALUE"""),"Jintei")</f>
        <v>Jintei</v>
      </c>
      <c r="L15" s="5" t="str">
        <f>IFERROR(__xludf.DUMMYFUNCTION("""COMPUTED_VALUE"""),"Test Driver")</f>
        <v>Test Driver</v>
      </c>
      <c r="M15" s="5">
        <f>IFERROR(__xludf.DUMMYFUNCTION("""COMPUTED_VALUE"""),0.006944444444444444)</f>
        <v>0.006944444444</v>
      </c>
      <c r="N15" s="5" t="str">
        <f>IFERROR(__xludf.DUMMYFUNCTION("""COMPUTED_VALUE"""),"FD3S (RX7)")</f>
        <v>FD3S (RX7)</v>
      </c>
      <c r="O15" s="5"/>
      <c r="P15" s="5" t="str">
        <f>IFERROR(__xludf.DUMMYFUNCTION("""COMPUTED_VALUE"""),"Sacc")</f>
        <v>Sacc</v>
      </c>
      <c r="Q15" s="5"/>
      <c r="R15" s="5"/>
      <c r="S15" s="5"/>
      <c r="T15" s="5"/>
      <c r="U15" s="5"/>
      <c r="V15" s="5"/>
      <c r="W15" s="5"/>
      <c r="X15" s="5"/>
      <c r="Y15" s="5" t="str">
        <f>IFERROR(__xludf.DUMMYFUNCTION("""COMPUTED_VALUE"""),"Shin Myogi")</f>
        <v>Shin Myogi</v>
      </c>
      <c r="Z15" s="5" t="str">
        <f>IFERROR(__xludf.DUMMYFUNCTION("""COMPUTED_VALUE"""),"UH")</f>
        <v>UH</v>
      </c>
      <c r="AA15" s="5" t="str">
        <f>IFERROR(__xludf.DUMMYFUNCTION("""COMPUTED_VALUE"""),"Jintei")</f>
        <v>Jintei</v>
      </c>
      <c r="AB15" s="5" t="str">
        <f>IFERROR(__xludf.DUMMYFUNCTION("""COMPUTED_VALUE"""),"Test Driver")</f>
        <v>Test Driver</v>
      </c>
      <c r="AC15" s="5">
        <f>IFERROR(__xludf.DUMMYFUNCTION("""COMPUTED_VALUE"""),0.006944444444444444)</f>
        <v>0.006944444444</v>
      </c>
      <c r="AD15" s="5" t="str">
        <f>IFERROR(__xludf.DUMMYFUNCTION("""COMPUTED_VALUE"""),"BNR32")</f>
        <v>BNR32</v>
      </c>
      <c r="AE15" s="5"/>
      <c r="AF15" s="5" t="str">
        <f>IFERROR(__xludf.DUMMYFUNCTION("""COMPUTED_VALUE"""),"Sacc")</f>
        <v>Sacc</v>
      </c>
      <c r="AG15" s="14" t="str">
        <f>IFERROR(__xludf.DUMMYFUNCTION("""COMPUTED_VALUE"""),"Monaco")</f>
        <v>Monaco</v>
      </c>
      <c r="AH15" s="14"/>
      <c r="AI15" s="14" t="str">
        <f>IFERROR(__xludf.DUMMYFUNCTION("""COMPUTED_VALUE"""),"Aiden1408")</f>
        <v>Aiden1408</v>
      </c>
      <c r="AJ15" s="14" t="str">
        <f>IFERROR(__xludf.DUMMYFUNCTION("""COMPUTED_VALUE"""),"ねぎたま")</f>
        <v>ねぎたま</v>
      </c>
      <c r="AK15" s="14">
        <f>IFERROR(__xludf.DUMMYFUNCTION("""COMPUTED_VALUE"""),7.299305555555556E-4)</f>
        <v>0.0007299305556</v>
      </c>
      <c r="AL15" s="14" t="str">
        <f>IFERROR(__xludf.DUMMYFUNCTION("""COMPUTED_VALUE"""),"w16(Mercedes)")</f>
        <v>w16(Mercedes)</v>
      </c>
      <c r="AM15" s="14" t="str">
        <f>IFERROR(__xludf.DUMMYFUNCTION("""COMPUTED_VALUE"""),"PCVR")</f>
        <v>PCVR</v>
      </c>
      <c r="AN15" s="14" t="str">
        <f>IFERROR(__xludf.DUMMYFUNCTION("""COMPUTED_VALUE"""),"CVS")</f>
        <v>CVS</v>
      </c>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c r="A16" s="5" t="str">
        <f>IFERROR(__xludf.DUMMYFUNCTION("""COMPUTED_VALUE"""),"Tsubaki")</f>
        <v>Tsubaki</v>
      </c>
      <c r="B16" s="5" t="str">
        <f>IFERROR(__xludf.DUMMYFUNCTION("""COMPUTED_VALUE"""),"DH")</f>
        <v>DH</v>
      </c>
      <c r="C16" s="5" t="str">
        <f>IFERROR(__xludf.DUMMYFUNCTION("""COMPUTED_VALUE"""),"Jintei ")</f>
        <v>Jintei </v>
      </c>
      <c r="D16" s="5" t="str">
        <f>IFERROR(__xludf.DUMMYFUNCTION("""COMPUTED_VALUE"""),"wasdwa")</f>
        <v>wasdwa</v>
      </c>
      <c r="E16" s="5">
        <f>IFERROR(__xludf.DUMMYFUNCTION("""COMPUTED_VALUE"""),0.0028647800925925924)</f>
        <v>0.002864780093</v>
      </c>
      <c r="F16" s="5" t="str">
        <f>IFERROR(__xludf.DUMMYFUNCTION("""COMPUTED_VALUE"""),"AE86T")</f>
        <v>AE86T</v>
      </c>
      <c r="G16" s="5" t="str">
        <f>IFERROR(__xludf.DUMMYFUNCTION("""COMPUTED_VALUE"""),"PC")</f>
        <v>PC</v>
      </c>
      <c r="H16" s="5" t="str">
        <f>IFERROR(__xludf.DUMMYFUNCTION("""COMPUTED_VALUE"""),"Sacc")</f>
        <v>Sacc</v>
      </c>
      <c r="I16" s="5" t="str">
        <f>IFERROR(__xludf.DUMMYFUNCTION("""COMPUTED_VALUE"""),"Usui V1")</f>
        <v>Usui V1</v>
      </c>
      <c r="J16" s="5" t="str">
        <f>IFERROR(__xludf.DUMMYFUNCTION("""COMPUTED_VALUE"""),"CC")</f>
        <v>CC</v>
      </c>
      <c r="K16" s="5" t="str">
        <f>IFERROR(__xludf.DUMMYFUNCTION("""COMPUTED_VALUE"""),"Jintei")</f>
        <v>Jintei</v>
      </c>
      <c r="L16" s="5" t="str">
        <f>IFERROR(__xludf.DUMMYFUNCTION("""COMPUTED_VALUE"""),"Test Driver")</f>
        <v>Test Driver</v>
      </c>
      <c r="M16" s="5">
        <f>IFERROR(__xludf.DUMMYFUNCTION("""COMPUTED_VALUE"""),0.006944444444444444)</f>
        <v>0.006944444444</v>
      </c>
      <c r="N16" s="5" t="str">
        <f>IFERROR(__xludf.DUMMYFUNCTION("""COMPUTED_VALUE"""),"FD3S (RX7)")</f>
        <v>FD3S (RX7)</v>
      </c>
      <c r="O16" s="5"/>
      <c r="P16" s="5" t="str">
        <f>IFERROR(__xludf.DUMMYFUNCTION("""COMPUTED_VALUE"""),"Sacc")</f>
        <v>Sacc</v>
      </c>
      <c r="Q16" s="67" t="s">
        <v>133</v>
      </c>
      <c r="Y16" s="5" t="str">
        <f>IFERROR(__xludf.DUMMYFUNCTION("""COMPUTED_VALUE"""),"Hakone")</f>
        <v>Hakone</v>
      </c>
      <c r="Z16" s="5" t="str">
        <f>IFERROR(__xludf.DUMMYFUNCTION("""COMPUTED_VALUE"""),"UH")</f>
        <v>UH</v>
      </c>
      <c r="AA16" s="5" t="str">
        <f>IFERROR(__xludf.DUMMYFUNCTION("""COMPUTED_VALUE"""),"Jintei")</f>
        <v>Jintei</v>
      </c>
      <c r="AB16" s="5" t="str">
        <f>IFERROR(__xludf.DUMMYFUNCTION("""COMPUTED_VALUE"""),"Test Driver")</f>
        <v>Test Driver</v>
      </c>
      <c r="AC16" s="5">
        <f>IFERROR(__xludf.DUMMYFUNCTION("""COMPUTED_VALUE"""),0.006944444444444444)</f>
        <v>0.006944444444</v>
      </c>
      <c r="AD16" s="5" t="str">
        <f>IFERROR(__xludf.DUMMYFUNCTION("""COMPUTED_VALUE"""),"BNR32")</f>
        <v>BNR32</v>
      </c>
      <c r="AE16" s="5"/>
      <c r="AF16" s="5" t="str">
        <f>IFERROR(__xludf.DUMMYFUNCTION("""COMPUTED_VALUE"""),"Sacc")</f>
        <v>Sacc</v>
      </c>
      <c r="AG16" s="14"/>
      <c r="AH16" s="14"/>
      <c r="AI16" s="14"/>
      <c r="AJ16" s="14"/>
      <c r="AK16" s="14"/>
      <c r="AL16" s="14"/>
      <c r="AM16" s="14"/>
      <c r="AN16" s="14"/>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row>
    <row r="17">
      <c r="A17" s="5" t="str">
        <f>IFERROR(__xludf.DUMMYFUNCTION("""COMPUTED_VALUE"""),"Akina")</f>
        <v>Akina</v>
      </c>
      <c r="B17" s="5" t="str">
        <f>IFERROR(__xludf.DUMMYFUNCTION("""COMPUTED_VALUE"""),"UH")</f>
        <v>UH</v>
      </c>
      <c r="C17" s="5" t="str">
        <f>IFERROR(__xludf.DUMMYFUNCTION("""COMPUTED_VALUE"""),"Jintei")</f>
        <v>Jintei</v>
      </c>
      <c r="D17" s="5" t="str">
        <f>IFERROR(__xludf.DUMMYFUNCTION("""COMPUTED_VALUE"""),"Test Driver")</f>
        <v>Test Driver</v>
      </c>
      <c r="E17" s="5">
        <f>IFERROR(__xludf.DUMMYFUNCTION("""COMPUTED_VALUE"""),0.006944444444444444)</f>
        <v>0.006944444444</v>
      </c>
      <c r="F17" s="5" t="str">
        <f>IFERROR(__xludf.DUMMYFUNCTION("""COMPUTED_VALUE"""),"AE86T")</f>
        <v>AE86T</v>
      </c>
      <c r="G17" s="5"/>
      <c r="H17" s="5" t="str">
        <f>IFERROR(__xludf.DUMMYFUNCTION("""COMPUTED_VALUE"""),"Sacc")</f>
        <v>Sacc</v>
      </c>
      <c r="I17" s="5" t="str">
        <f>IFERROR(__xludf.DUMMYFUNCTION("""COMPUTED_VALUE"""),"Nanamagari")</f>
        <v>Nanamagari</v>
      </c>
      <c r="J17" s="5" t="str">
        <f>IFERROR(__xludf.DUMMYFUNCTION("""COMPUTED_VALUE"""),"UH")</f>
        <v>UH</v>
      </c>
      <c r="K17" s="5" t="str">
        <f>IFERROR(__xludf.DUMMYFUNCTION("""COMPUTED_VALUE"""),"Jintei")</f>
        <v>Jintei</v>
      </c>
      <c r="L17" s="5" t="str">
        <f>IFERROR(__xludf.DUMMYFUNCTION("""COMPUTED_VALUE"""),"Test Driver")</f>
        <v>Test Driver</v>
      </c>
      <c r="M17" s="5">
        <f>IFERROR(__xludf.DUMMYFUNCTION("""COMPUTED_VALUE"""),0.006944444444444444)</f>
        <v>0.006944444444</v>
      </c>
      <c r="N17" s="5" t="str">
        <f>IFERROR(__xludf.DUMMYFUNCTION("""COMPUTED_VALUE"""),"FD3S (RX7)")</f>
        <v>FD3S (RX7)</v>
      </c>
      <c r="O17" s="5"/>
      <c r="P17" s="5" t="str">
        <f>IFERROR(__xludf.DUMMYFUNCTION("""COMPUTED_VALUE"""),"Sacc")</f>
        <v>Sacc</v>
      </c>
      <c r="Q17" s="5" t="str">
        <f>IFERROR(__xludf.DUMMYFUNCTION("LET(
  車輛, Q16,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17" s="5" t="str">
        <f>IFERROR(__xludf.DUMMYFUNCTION("""COMPUTED_VALUE"""),"路線")</f>
        <v>路線</v>
      </c>
      <c r="S17" s="5" t="str">
        <f>IFERROR(__xludf.DUMMYFUNCTION("""COMPUTED_VALUE"""),"作者")</f>
        <v>作者</v>
      </c>
      <c r="T17" s="5" t="str">
        <f>IFERROR(__xludf.DUMMYFUNCTION("""COMPUTED_VALUE"""),"玩家")</f>
        <v>玩家</v>
      </c>
      <c r="U17" s="5" t="str">
        <f>IFERROR(__xludf.DUMMYFUNCTION("""COMPUTED_VALUE"""),"時間")</f>
        <v>時間</v>
      </c>
      <c r="V17" s="5" t="str">
        <f>IFERROR(__xludf.DUMMYFUNCTION("""COMPUTED_VALUE"""),"車輛")</f>
        <v>車輛</v>
      </c>
      <c r="W17" s="5" t="str">
        <f>IFERROR(__xludf.DUMMYFUNCTION("""COMPUTED_VALUE"""),"平台")</f>
        <v>平台</v>
      </c>
      <c r="X17" s="5" t="str">
        <f>IFERROR(__xludf.DUMMYFUNCTION("""COMPUTED_VALUE"""),"系統")</f>
        <v>系統</v>
      </c>
      <c r="Y17" s="5"/>
      <c r="Z17" s="5"/>
      <c r="AA17" s="5"/>
      <c r="AB17" s="5"/>
      <c r="AC17" s="5"/>
      <c r="AD17" s="5"/>
      <c r="AE17" s="5"/>
      <c r="AF17" s="5"/>
      <c r="AG17" s="68" t="s">
        <v>134</v>
      </c>
      <c r="AO17" s="67" t="s">
        <v>135</v>
      </c>
      <c r="AW17" s="67" t="s">
        <v>136</v>
      </c>
      <c r="BE17" s="67"/>
      <c r="BF17" s="67"/>
      <c r="BG17" s="67"/>
      <c r="BH17" s="67"/>
      <c r="BI17" s="67"/>
      <c r="BJ17" s="67"/>
      <c r="BK17" s="67"/>
      <c r="BL17" s="67"/>
      <c r="BM17" s="67"/>
      <c r="BN17" s="67"/>
      <c r="BO17" s="67"/>
    </row>
    <row r="18">
      <c r="A18" s="5" t="str">
        <f>IFERROR(__xludf.DUMMYFUNCTION("""COMPUTED_VALUE"""),"Sadamine")</f>
        <v>Sadamine</v>
      </c>
      <c r="B18" s="5" t="str">
        <f>IFERROR(__xludf.DUMMYFUNCTION("""COMPUTED_VALUE"""),"FCUH")</f>
        <v>FCUH</v>
      </c>
      <c r="C18" s="5" t="str">
        <f>IFERROR(__xludf.DUMMYFUNCTION("""COMPUTED_VALUE"""),"Jintei")</f>
        <v>Jintei</v>
      </c>
      <c r="D18" s="5" t="str">
        <f>IFERROR(__xludf.DUMMYFUNCTION("""COMPUTED_VALUE"""),"Test Driver")</f>
        <v>Test Driver</v>
      </c>
      <c r="E18" s="5">
        <f>IFERROR(__xludf.DUMMYFUNCTION("""COMPUTED_VALUE"""),0.006944444444444444)</f>
        <v>0.006944444444</v>
      </c>
      <c r="F18" s="5" t="str">
        <f>IFERROR(__xludf.DUMMYFUNCTION("""COMPUTED_VALUE"""),"AE86T")</f>
        <v>AE86T</v>
      </c>
      <c r="G18" s="5"/>
      <c r="H18" s="5" t="str">
        <f>IFERROR(__xludf.DUMMYFUNCTION("""COMPUTED_VALUE"""),"Sacc")</f>
        <v>Sacc</v>
      </c>
      <c r="I18" s="5" t="str">
        <f>IFERROR(__xludf.DUMMYFUNCTION("""COMPUTED_VALUE"""),"Tsukuba")</f>
        <v>Tsukuba</v>
      </c>
      <c r="J18" s="5" t="str">
        <f>IFERROR(__xludf.DUMMYFUNCTION("""COMPUTED_VALUE"""),"DH")</f>
        <v>DH</v>
      </c>
      <c r="K18" s="5" t="str">
        <f>IFERROR(__xludf.DUMMYFUNCTION("""COMPUTED_VALUE"""),"Jintei")</f>
        <v>Jintei</v>
      </c>
      <c r="L18" s="5" t="str">
        <f>IFERROR(__xludf.DUMMYFUNCTION("""COMPUTED_VALUE"""),"Test Driver")</f>
        <v>Test Driver</v>
      </c>
      <c r="M18" s="5">
        <f>IFERROR(__xludf.DUMMYFUNCTION("""COMPUTED_VALUE"""),0.006944444444444444)</f>
        <v>0.006944444444</v>
      </c>
      <c r="N18" s="5" t="str">
        <f>IFERROR(__xludf.DUMMYFUNCTION("""COMPUTED_VALUE"""),"FD3S (RX7)")</f>
        <v>FD3S (RX7)</v>
      </c>
      <c r="O18" s="5"/>
      <c r="P18" s="5" t="str">
        <f>IFERROR(__xludf.DUMMYFUNCTION("""COMPUTED_VALUE"""),"Sacc")</f>
        <v>Sacc</v>
      </c>
      <c r="Q18" s="5" t="str">
        <f>IFERROR(__xludf.DUMMYFUNCTION("""COMPUTED_VALUE"""),"Akina")</f>
        <v>Akina</v>
      </c>
      <c r="R18" s="5" t="str">
        <f>IFERROR(__xludf.DUMMYFUNCTION("""COMPUTED_VALUE"""),"UH")</f>
        <v>UH</v>
      </c>
      <c r="S18" s="5" t="str">
        <f>IFERROR(__xludf.DUMMYFUNCTION("""COMPUTED_VALUE"""),"Jintei")</f>
        <v>Jintei</v>
      </c>
      <c r="T18" s="5" t="str">
        <f>IFERROR(__xludf.DUMMYFUNCTION("""COMPUTED_VALUE"""),"StarRiver Arts")</f>
        <v>StarRiver Arts</v>
      </c>
      <c r="U18" s="5">
        <f>IFERROR(__xludf.DUMMYFUNCTION("""COMPUTED_VALUE"""),0.0029733796296296296)</f>
        <v>0.00297337963</v>
      </c>
      <c r="V18" s="5" t="str">
        <f>IFERROR(__xludf.DUMMYFUNCTION("""COMPUTED_VALUE"""),"EVOIV/CN9A")</f>
        <v>EVOIV/CN9A</v>
      </c>
      <c r="W18" s="5" t="str">
        <f>IFERROR(__xludf.DUMMYFUNCTION("""COMPUTED_VALUE"""),"PC")</f>
        <v>PC</v>
      </c>
      <c r="X18" s="5" t="str">
        <f>IFERROR(__xludf.DUMMYFUNCTION("""COMPUTED_VALUE"""),"Sacc")</f>
        <v>Sacc</v>
      </c>
      <c r="Y18" s="5"/>
      <c r="Z18" s="5"/>
      <c r="AA18" s="5"/>
      <c r="AB18" s="5"/>
      <c r="AC18" s="5"/>
      <c r="AD18" s="5"/>
      <c r="AE18" s="5"/>
      <c r="AF18" s="5"/>
      <c r="AG18" s="14" t="str">
        <f>IFERROR(__xludf.DUMMYFUNCTION("LET(
  車輛, AG17,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H18" s="14" t="str">
        <f>IFERROR(__xludf.DUMMYFUNCTION("""COMPUTED_VALUE"""),"路線")</f>
        <v>路線</v>
      </c>
      <c r="AI18" s="14" t="str">
        <f>IFERROR(__xludf.DUMMYFUNCTION("""COMPUTED_VALUE"""),"作者")</f>
        <v>作者</v>
      </c>
      <c r="AJ18" s="14" t="str">
        <f>IFERROR(__xludf.DUMMYFUNCTION("""COMPUTED_VALUE"""),"玩家")</f>
        <v>玩家</v>
      </c>
      <c r="AK18" s="14" t="str">
        <f>IFERROR(__xludf.DUMMYFUNCTION("""COMPUTED_VALUE"""),"時間")</f>
        <v>時間</v>
      </c>
      <c r="AL18" s="14" t="str">
        <f>IFERROR(__xludf.DUMMYFUNCTION("""COMPUTED_VALUE"""),"車輛")</f>
        <v>車輛</v>
      </c>
      <c r="AM18" s="14" t="str">
        <f>IFERROR(__xludf.DUMMYFUNCTION("""COMPUTED_VALUE"""),"平台")</f>
        <v>平台</v>
      </c>
      <c r="AN18" s="14" t="str">
        <f>IFERROR(__xludf.DUMMYFUNCTION("""COMPUTED_VALUE"""),"系統")</f>
        <v>系統</v>
      </c>
      <c r="AO18" s="5" t="str">
        <f>IFERROR(__xludf.DUMMYFUNCTION("LET(
  車輛, AO17,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P18" s="5" t="str">
        <f>IFERROR(__xludf.DUMMYFUNCTION("""COMPUTED_VALUE"""),"路線")</f>
        <v>路線</v>
      </c>
      <c r="AQ18" s="5" t="str">
        <f>IFERROR(__xludf.DUMMYFUNCTION("""COMPUTED_VALUE"""),"作者")</f>
        <v>作者</v>
      </c>
      <c r="AR18" s="5" t="str">
        <f>IFERROR(__xludf.DUMMYFUNCTION("""COMPUTED_VALUE"""),"玩家")</f>
        <v>玩家</v>
      </c>
      <c r="AS18" s="5" t="str">
        <f>IFERROR(__xludf.DUMMYFUNCTION("""COMPUTED_VALUE"""),"時間")</f>
        <v>時間</v>
      </c>
      <c r="AT18" s="5" t="str">
        <f>IFERROR(__xludf.DUMMYFUNCTION("""COMPUTED_VALUE"""),"車輛")</f>
        <v>車輛</v>
      </c>
      <c r="AU18" s="5" t="str">
        <f>IFERROR(__xludf.DUMMYFUNCTION("""COMPUTED_VALUE"""),"平台")</f>
        <v>平台</v>
      </c>
      <c r="AV18" s="5" t="str">
        <f>IFERROR(__xludf.DUMMYFUNCTION("""COMPUTED_VALUE"""),"系統")</f>
        <v>系統</v>
      </c>
      <c r="AW18" s="5" t="str">
        <f>IFERROR(__xludf.DUMMYFUNCTION("LET(
  車輛, AW17,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18" s="5" t="str">
        <f>IFERROR(__xludf.DUMMYFUNCTION("""COMPUTED_VALUE"""),"路線")</f>
        <v>路線</v>
      </c>
      <c r="AY18" s="5" t="str">
        <f>IFERROR(__xludf.DUMMYFUNCTION("""COMPUTED_VALUE"""),"作者")</f>
        <v>作者</v>
      </c>
      <c r="AZ18" s="5" t="str">
        <f>IFERROR(__xludf.DUMMYFUNCTION("""COMPUTED_VALUE"""),"玩家")</f>
        <v>玩家</v>
      </c>
      <c r="BA18" s="5" t="str">
        <f>IFERROR(__xludf.DUMMYFUNCTION("""COMPUTED_VALUE"""),"時間")</f>
        <v>時間</v>
      </c>
      <c r="BB18" s="5" t="str">
        <f>IFERROR(__xludf.DUMMYFUNCTION("""COMPUTED_VALUE"""),"車輛")</f>
        <v>車輛</v>
      </c>
      <c r="BC18" s="5" t="str">
        <f>IFERROR(__xludf.DUMMYFUNCTION("""COMPUTED_VALUE"""),"平台")</f>
        <v>平台</v>
      </c>
      <c r="BD18" s="5" t="str">
        <f>IFERROR(__xludf.DUMMYFUNCTION("""COMPUTED_VALUE"""),"系統")</f>
        <v>系統</v>
      </c>
      <c r="BE18" s="5"/>
      <c r="BF18" s="5"/>
      <c r="BG18" s="5"/>
      <c r="BH18" s="5"/>
      <c r="BI18" s="5"/>
      <c r="BJ18" s="5"/>
      <c r="BK18" s="5"/>
      <c r="BL18" s="5"/>
      <c r="BM18" s="5"/>
      <c r="BN18" s="5"/>
      <c r="BO18" s="5"/>
    </row>
    <row r="19">
      <c r="A19" s="5" t="str">
        <f>IFERROR(__xludf.DUMMYFUNCTION("""COMPUTED_VALUE"""),"Sadamine")</f>
        <v>Sadamine</v>
      </c>
      <c r="B19" s="5" t="str">
        <f>IFERROR(__xludf.DUMMYFUNCTION("""COMPUTED_VALUE"""),"OCUH")</f>
        <v>OCUH</v>
      </c>
      <c r="C19" s="5" t="str">
        <f>IFERROR(__xludf.DUMMYFUNCTION("""COMPUTED_VALUE"""),"Jintei")</f>
        <v>Jintei</v>
      </c>
      <c r="D19" s="5" t="str">
        <f>IFERROR(__xludf.DUMMYFUNCTION("""COMPUTED_VALUE"""),"Test Driver")</f>
        <v>Test Driver</v>
      </c>
      <c r="E19" s="5">
        <f>IFERROR(__xludf.DUMMYFUNCTION("""COMPUTED_VALUE"""),0.006944444444444444)</f>
        <v>0.006944444444</v>
      </c>
      <c r="F19" s="5" t="str">
        <f>IFERROR(__xludf.DUMMYFUNCTION("""COMPUTED_VALUE"""),"AE86T")</f>
        <v>AE86T</v>
      </c>
      <c r="G19" s="5"/>
      <c r="H19" s="5" t="str">
        <f>IFERROR(__xludf.DUMMYFUNCTION("""COMPUTED_VALUE"""),"Sacc")</f>
        <v>Sacc</v>
      </c>
      <c r="I19" s="5" t="str">
        <f>IFERROR(__xludf.DUMMYFUNCTION("""COMPUTED_VALUE"""),"Tsukuba")</f>
        <v>Tsukuba</v>
      </c>
      <c r="J19" s="5" t="str">
        <f>IFERROR(__xludf.DUMMYFUNCTION("""COMPUTED_VALUE"""),"UH")</f>
        <v>UH</v>
      </c>
      <c r="K19" s="5" t="str">
        <f>IFERROR(__xludf.DUMMYFUNCTION("""COMPUTED_VALUE"""),"Jintei")</f>
        <v>Jintei</v>
      </c>
      <c r="L19" s="5" t="str">
        <f>IFERROR(__xludf.DUMMYFUNCTION("""COMPUTED_VALUE"""),"Test Driver")</f>
        <v>Test Driver</v>
      </c>
      <c r="M19" s="5">
        <f>IFERROR(__xludf.DUMMYFUNCTION("""COMPUTED_VALUE"""),0.006944444444444444)</f>
        <v>0.006944444444</v>
      </c>
      <c r="N19" s="5" t="str">
        <f>IFERROR(__xludf.DUMMYFUNCTION("""COMPUTED_VALUE"""),"FD3S (RX7)")</f>
        <v>FD3S (RX7)</v>
      </c>
      <c r="O19" s="5"/>
      <c r="P19" s="5" t="str">
        <f>IFERROR(__xludf.DUMMYFUNCTION("""COMPUTED_VALUE"""),"Sacc")</f>
        <v>Sacc</v>
      </c>
      <c r="Q19" s="5" t="str">
        <f>IFERROR(__xludf.DUMMYFUNCTION("""COMPUTED_VALUE"""),"Akina")</f>
        <v>Akina</v>
      </c>
      <c r="R19" s="5" t="str">
        <f>IFERROR(__xludf.DUMMYFUNCTION("""COMPUTED_VALUE"""),"DH")</f>
        <v>DH</v>
      </c>
      <c r="S19" s="5" t="str">
        <f>IFERROR(__xludf.DUMMYFUNCTION("""COMPUTED_VALUE"""),"Jintei")</f>
        <v>Jintei</v>
      </c>
      <c r="T19" s="5" t="str">
        <f>IFERROR(__xludf.DUMMYFUNCTION("""COMPUTED_VALUE"""),"StarRiver Arts")</f>
        <v>StarRiver Arts</v>
      </c>
      <c r="U19" s="5">
        <f>IFERROR(__xludf.DUMMYFUNCTION("""COMPUTED_VALUE"""),0.0025968402777777778)</f>
        <v>0.002596840278</v>
      </c>
      <c r="V19" s="5" t="str">
        <f>IFERROR(__xludf.DUMMYFUNCTION("""COMPUTED_VALUE"""),"EVOIV/CN9A")</f>
        <v>EVOIV/CN9A</v>
      </c>
      <c r="W19" s="5" t="str">
        <f>IFERROR(__xludf.DUMMYFUNCTION("""COMPUTED_VALUE"""),"PC")</f>
        <v>PC</v>
      </c>
      <c r="X19" s="5" t="str">
        <f>IFERROR(__xludf.DUMMYFUNCTION("""COMPUTED_VALUE"""),"Sacc")</f>
        <v>Sacc</v>
      </c>
      <c r="Y19" s="5"/>
      <c r="Z19" s="5"/>
      <c r="AA19" s="5"/>
      <c r="AB19" s="5"/>
      <c r="AC19" s="5"/>
      <c r="AD19" s="5"/>
      <c r="AE19" s="5"/>
      <c r="AF19" s="5"/>
      <c r="AG19" s="14" t="str">
        <f>IFERROR(__xludf.DUMMYFUNCTION("""COMPUTED_VALUE"""),"Silverstone")</f>
        <v>Silverstone</v>
      </c>
      <c r="AH19" s="14"/>
      <c r="AI19" s="14" t="str">
        <f>IFERROR(__xludf.DUMMYFUNCTION("""COMPUTED_VALUE"""),"Aiden1408")</f>
        <v>Aiden1408</v>
      </c>
      <c r="AJ19" s="14" t="str">
        <f>IFERROR(__xludf.DUMMYFUNCTION("""COMPUTED_VALUE"""),"Hayasaka_Ishimi")</f>
        <v>Hayasaka_Ishimi</v>
      </c>
      <c r="AK19" s="48">
        <f>IFERROR(__xludf.DUMMYFUNCTION("""COMPUTED_VALUE"""),8.842592592592592E-4)</f>
        <v>0.0008842592593</v>
      </c>
      <c r="AL19" s="14" t="str">
        <f>IFERROR(__xludf.DUMMYFUNCTION("""COMPUTED_VALUE"""),"sf25(Ferrari)")</f>
        <v>sf25(Ferrari)</v>
      </c>
      <c r="AM19" s="14" t="str">
        <f>IFERROR(__xludf.DUMMYFUNCTION("""COMPUTED_VALUE"""),"PCVR")</f>
        <v>PCVR</v>
      </c>
      <c r="AN19" s="14" t="str">
        <f>IFERROR(__xludf.DUMMYFUNCTION("""COMPUTED_VALUE"""),"CVS")</f>
        <v>CVS</v>
      </c>
      <c r="AO19" s="5" t="str">
        <f>IFERROR(__xludf.DUMMYFUNCTION("""COMPUTED_VALUE"""),"Akina")</f>
        <v>Akina</v>
      </c>
      <c r="AP19" s="5" t="str">
        <f>IFERROR(__xludf.DUMMYFUNCTION("""COMPUTED_VALUE"""),"DH")</f>
        <v>DH</v>
      </c>
      <c r="AQ19" s="5" t="str">
        <f>IFERROR(__xludf.DUMMYFUNCTION("""COMPUTED_VALUE"""),"Jintei")</f>
        <v>Jintei</v>
      </c>
      <c r="AR19" s="5" t="str">
        <f>IFERROR(__xludf.DUMMYFUNCTION("""COMPUTED_VALUE"""),"StarRiver Arts")</f>
        <v>StarRiver Arts</v>
      </c>
      <c r="AS19" s="5">
        <f>IFERROR(__xludf.DUMMYFUNCTION("""COMPUTED_VALUE"""),0.0028537847222222224)</f>
        <v>0.002853784722</v>
      </c>
      <c r="AT19" s="5" t="str">
        <f>IFERROR(__xludf.DUMMYFUNCTION("""COMPUTED_VALUE"""),"Hurricant(LB724)")</f>
        <v>Hurricant(LB724)</v>
      </c>
      <c r="AU19" s="5" t="str">
        <f>IFERROR(__xludf.DUMMYFUNCTION("""COMPUTED_VALUE"""),"PC")</f>
        <v>PC</v>
      </c>
      <c r="AV19" s="5" t="str">
        <f>IFERROR(__xludf.DUMMYFUNCTION("""COMPUTED_VALUE"""),"Sacc")</f>
        <v>Sacc</v>
      </c>
      <c r="AW19" s="5" t="str">
        <f>IFERROR(__xludf.DUMMYFUNCTION("""COMPUTED_VALUE"""),"Momiji")</f>
        <v>Momiji</v>
      </c>
      <c r="AX19" s="5" t="str">
        <f>IFERROR(__xludf.DUMMYFUNCTION("""COMPUTED_VALUE"""),"DH")</f>
        <v>DH</v>
      </c>
      <c r="AY19" s="5" t="str">
        <f>IFERROR(__xludf.DUMMYFUNCTION("""COMPUTED_VALUE"""),"FoxBG")</f>
        <v>FoxBG</v>
      </c>
      <c r="AZ19" s="5" t="str">
        <f>IFERROR(__xludf.DUMMYFUNCTION("""COMPUTED_VALUE"""),"Test Driver")</f>
        <v>Test Driver</v>
      </c>
      <c r="BA19" s="5">
        <f>IFERROR(__xludf.DUMMYFUNCTION("""COMPUTED_VALUE"""),0.006944444444444444)</f>
        <v>0.006944444444</v>
      </c>
      <c r="BB19" s="5" t="str">
        <f>IFERROR(__xludf.DUMMYFUNCTION("""COMPUTED_VALUE"""),"Highline T2")</f>
        <v>Highline T2</v>
      </c>
      <c r="BC19" s="5"/>
      <c r="BD19" s="5" t="str">
        <f>IFERROR(__xludf.DUMMYFUNCTION("""COMPUTED_VALUE"""),"CVS")</f>
        <v>CVS</v>
      </c>
      <c r="BE19" s="5"/>
      <c r="BF19" s="5"/>
      <c r="BG19" s="5"/>
      <c r="BH19" s="5"/>
      <c r="BI19" s="5"/>
      <c r="BJ19" s="5"/>
      <c r="BK19" s="5"/>
      <c r="BL19" s="5"/>
      <c r="BM19" s="5"/>
      <c r="BN19" s="5"/>
      <c r="BO19" s="5"/>
    </row>
    <row r="20">
      <c r="A20" s="5" t="str">
        <f>IFERROR(__xludf.DUMMYFUNCTION("""COMPUTED_VALUE"""),"Nanamagari")</f>
        <v>Nanamagari</v>
      </c>
      <c r="B20" s="5" t="str">
        <f>IFERROR(__xludf.DUMMYFUNCTION("""COMPUTED_VALUE"""),"UH")</f>
        <v>UH</v>
      </c>
      <c r="C20" s="5" t="str">
        <f>IFERROR(__xludf.DUMMYFUNCTION("""COMPUTED_VALUE"""),"Jintei")</f>
        <v>Jintei</v>
      </c>
      <c r="D20" s="5" t="str">
        <f>IFERROR(__xludf.DUMMYFUNCTION("""COMPUTED_VALUE"""),"Test Driver")</f>
        <v>Test Driver</v>
      </c>
      <c r="E20" s="5">
        <f>IFERROR(__xludf.DUMMYFUNCTION("""COMPUTED_VALUE"""),0.006944444444444444)</f>
        <v>0.006944444444</v>
      </c>
      <c r="F20" s="5" t="str">
        <f>IFERROR(__xludf.DUMMYFUNCTION("""COMPUTED_VALUE"""),"AE86T")</f>
        <v>AE86T</v>
      </c>
      <c r="G20" s="5"/>
      <c r="H20" s="5" t="str">
        <f>IFERROR(__xludf.DUMMYFUNCTION("""COMPUTED_VALUE"""),"Sacc")</f>
        <v>Sacc</v>
      </c>
      <c r="I20" s="5" t="str">
        <f>IFERROR(__xludf.DUMMYFUNCTION("""COMPUTED_VALUE"""),"Tsukuba")</f>
        <v>Tsukuba</v>
      </c>
      <c r="J20" s="5" t="str">
        <f>IFERROR(__xludf.DUMMYFUNCTION("""COMPUTED_VALUE"""),"OB")</f>
        <v>OB</v>
      </c>
      <c r="K20" s="5" t="str">
        <f>IFERROR(__xludf.DUMMYFUNCTION("""COMPUTED_VALUE"""),"Jintei")</f>
        <v>Jintei</v>
      </c>
      <c r="L20" s="5" t="str">
        <f>IFERROR(__xludf.DUMMYFUNCTION("""COMPUTED_VALUE"""),"Test Driver")</f>
        <v>Test Driver</v>
      </c>
      <c r="M20" s="5">
        <f>IFERROR(__xludf.DUMMYFUNCTION("""COMPUTED_VALUE"""),0.006944444444444444)</f>
        <v>0.006944444444</v>
      </c>
      <c r="N20" s="5" t="str">
        <f>IFERROR(__xludf.DUMMYFUNCTION("""COMPUTED_VALUE"""),"FD3S (RX7)")</f>
        <v>FD3S (RX7)</v>
      </c>
      <c r="O20" s="5"/>
      <c r="P20" s="5" t="str">
        <f>IFERROR(__xludf.DUMMYFUNCTION("""COMPUTED_VALUE"""),"Sacc")</f>
        <v>Sacc</v>
      </c>
      <c r="Q20" s="5" t="str">
        <f>IFERROR(__xludf.DUMMYFUNCTION("""COMPUTED_VALUE"""),"Irohazaka")</f>
        <v>Irohazaka</v>
      </c>
      <c r="R20" s="5" t="str">
        <f>IFERROR(__xludf.DUMMYFUNCTION("""COMPUTED_VALUE"""),"DH")</f>
        <v>DH</v>
      </c>
      <c r="S20" s="5" t="str">
        <f>IFERROR(__xludf.DUMMYFUNCTION("""COMPUTED_VALUE"""),"Jintei")</f>
        <v>Jintei</v>
      </c>
      <c r="T20" s="5" t="str">
        <f>IFERROR(__xludf.DUMMYFUNCTION("""COMPUTED_VALUE"""),"StarRiver Arts")</f>
        <v>StarRiver Arts</v>
      </c>
      <c r="U20" s="5">
        <f>IFERROR(__xludf.DUMMYFUNCTION("""COMPUTED_VALUE"""),0.002828321759259259)</f>
        <v>0.002828321759</v>
      </c>
      <c r="V20" s="5" t="str">
        <f>IFERROR(__xludf.DUMMYFUNCTION("""COMPUTED_VALUE"""),"EVOIV/CN9A")</f>
        <v>EVOIV/CN9A</v>
      </c>
      <c r="W20" s="5" t="str">
        <f>IFERROR(__xludf.DUMMYFUNCTION("""COMPUTED_VALUE"""),"PC")</f>
        <v>PC</v>
      </c>
      <c r="X20" s="5" t="str">
        <f>IFERROR(__xludf.DUMMYFUNCTION("""COMPUTED_VALUE"""),"Sacc")</f>
        <v>Sacc</v>
      </c>
      <c r="Y20" s="5"/>
      <c r="Z20" s="5"/>
      <c r="AA20" s="5"/>
      <c r="AB20" s="5"/>
      <c r="AC20" s="5"/>
      <c r="AD20" s="5"/>
      <c r="AE20" s="5"/>
      <c r="AF20" s="5"/>
      <c r="AG20" s="14" t="str">
        <f>IFERROR(__xludf.DUMMYFUNCTION("""COMPUTED_VALUE"""),"Monaco")</f>
        <v>Monaco</v>
      </c>
      <c r="AH20" s="14"/>
      <c r="AI20" s="14" t="str">
        <f>IFERROR(__xludf.DUMMYFUNCTION("""COMPUTED_VALUE"""),"Aiden1408")</f>
        <v>Aiden1408</v>
      </c>
      <c r="AJ20" s="14" t="str">
        <f>IFERROR(__xludf.DUMMYFUNCTION("""COMPUTED_VALUE"""),"ねぎたま")</f>
        <v>ねぎたま</v>
      </c>
      <c r="AK20" s="14">
        <f>IFERROR(__xludf.DUMMYFUNCTION("""COMPUTED_VALUE"""),7.344328703703704E-4)</f>
        <v>0.0007344328704</v>
      </c>
      <c r="AL20" s="14" t="str">
        <f>IFERROR(__xludf.DUMMYFUNCTION("""COMPUTED_VALUE"""),"sf25(Ferrari)")</f>
        <v>sf25(Ferrari)</v>
      </c>
      <c r="AM20" s="14" t="str">
        <f>IFERROR(__xludf.DUMMYFUNCTION("""COMPUTED_VALUE"""),"PCVR")</f>
        <v>PCVR</v>
      </c>
      <c r="AN20" s="14" t="str">
        <f>IFERROR(__xludf.DUMMYFUNCTION("""COMPUTED_VALUE"""),"CVS")</f>
        <v>CVS</v>
      </c>
      <c r="AO20" s="5" t="str">
        <f>IFERROR(__xludf.DUMMYFUNCTION("""COMPUTED_VALUE"""),"Akina")</f>
        <v>Akina</v>
      </c>
      <c r="AP20" s="5" t="str">
        <f>IFERROR(__xludf.DUMMYFUNCTION("""COMPUTED_VALUE"""),"UH")</f>
        <v>UH</v>
      </c>
      <c r="AQ20" s="5" t="str">
        <f>IFERROR(__xludf.DUMMYFUNCTION("""COMPUTED_VALUE"""),"Jintei")</f>
        <v>Jintei</v>
      </c>
      <c r="AR20" s="5" t="str">
        <f>IFERROR(__xludf.DUMMYFUNCTION("""COMPUTED_VALUE"""),"Test Driver")</f>
        <v>Test Driver</v>
      </c>
      <c r="AS20" s="5">
        <f>IFERROR(__xludf.DUMMYFUNCTION("""COMPUTED_VALUE"""),0.006944444444444444)</f>
        <v>0.006944444444</v>
      </c>
      <c r="AT20" s="5" t="str">
        <f>IFERROR(__xludf.DUMMYFUNCTION("""COMPUTED_VALUE"""),"Hurricant(LB724)")</f>
        <v>Hurricant(LB724)</v>
      </c>
      <c r="AU20" s="5"/>
      <c r="AV20" s="5" t="str">
        <f>IFERROR(__xludf.DUMMYFUNCTION("""COMPUTED_VALUE"""),"Sacc")</f>
        <v>Sacc</v>
      </c>
      <c r="AW20" s="5"/>
      <c r="AX20" s="5"/>
      <c r="AY20" s="5"/>
      <c r="AZ20" s="5"/>
      <c r="BA20" s="5"/>
      <c r="BB20" s="5"/>
      <c r="BC20" s="5"/>
      <c r="BD20" s="5"/>
      <c r="BE20" s="5"/>
      <c r="BF20" s="5"/>
      <c r="BG20" s="5"/>
      <c r="BH20" s="5"/>
      <c r="BI20" s="5"/>
      <c r="BJ20" s="5"/>
      <c r="BK20" s="5"/>
      <c r="BL20" s="5"/>
      <c r="BM20" s="5"/>
      <c r="BN20" s="5"/>
      <c r="BO20" s="5"/>
    </row>
    <row r="21">
      <c r="A21" s="5" t="str">
        <f>IFERROR(__xludf.DUMMYFUNCTION("""COMPUTED_VALUE"""),"Akina Snow")</f>
        <v>Akina Snow</v>
      </c>
      <c r="B21" s="5" t="str">
        <f>IFERROR(__xludf.DUMMYFUNCTION("""COMPUTED_VALUE"""),"UH")</f>
        <v>UH</v>
      </c>
      <c r="C21" s="5" t="str">
        <f>IFERROR(__xludf.DUMMYFUNCTION("""COMPUTED_VALUE"""),"Jintei")</f>
        <v>Jintei</v>
      </c>
      <c r="D21" s="5" t="str">
        <f>IFERROR(__xludf.DUMMYFUNCTION("""COMPUTED_VALUE"""),"Test Driver")</f>
        <v>Test Driver</v>
      </c>
      <c r="E21" s="5">
        <f>IFERROR(__xludf.DUMMYFUNCTION("""COMPUTED_VALUE"""),0.006944444444444444)</f>
        <v>0.006944444444</v>
      </c>
      <c r="F21" s="5" t="str">
        <f>IFERROR(__xludf.DUMMYFUNCTION("""COMPUTED_VALUE"""),"AE86T")</f>
        <v>AE86T</v>
      </c>
      <c r="G21" s="5"/>
      <c r="H21" s="5" t="str">
        <f>IFERROR(__xludf.DUMMYFUNCTION("""COMPUTED_VALUE"""),"Sacc")</f>
        <v>Sacc</v>
      </c>
      <c r="I21" s="5" t="str">
        <f>IFERROR(__xludf.DUMMYFUNCTION("""COMPUTED_VALUE"""),"Tsukuba")</f>
        <v>Tsukuba</v>
      </c>
      <c r="J21" s="5" t="str">
        <f>IFERROR(__xludf.DUMMYFUNCTION("""COMPUTED_VALUE"""),"IB")</f>
        <v>IB</v>
      </c>
      <c r="K21" s="5" t="str">
        <f>IFERROR(__xludf.DUMMYFUNCTION("""COMPUTED_VALUE"""),"Jintei")</f>
        <v>Jintei</v>
      </c>
      <c r="L21" s="5" t="str">
        <f>IFERROR(__xludf.DUMMYFUNCTION("""COMPUTED_VALUE"""),"Test Driver")</f>
        <v>Test Driver</v>
      </c>
      <c r="M21" s="5">
        <f>IFERROR(__xludf.DUMMYFUNCTION("""COMPUTED_VALUE"""),0.006944444444444444)</f>
        <v>0.006944444444</v>
      </c>
      <c r="N21" s="5" t="str">
        <f>IFERROR(__xludf.DUMMYFUNCTION("""COMPUTED_VALUE"""),"FD3S (RX7)")</f>
        <v>FD3S (RX7)</v>
      </c>
      <c r="O21" s="5"/>
      <c r="P21" s="5" t="str">
        <f>IFERROR(__xludf.DUMMYFUNCTION("""COMPUTED_VALUE"""),"Sacc")</f>
        <v>Sacc</v>
      </c>
      <c r="Q21" s="5" t="str">
        <f>IFERROR(__xludf.DUMMYFUNCTION("""COMPUTED_VALUE"""),"Myogi (ASV)")</f>
        <v>Myogi (ASV)</v>
      </c>
      <c r="R21" s="5" t="str">
        <f>IFERROR(__xludf.DUMMYFUNCTION("""COMPUTED_VALUE"""),"DH")</f>
        <v>DH</v>
      </c>
      <c r="S21" s="5" t="str">
        <f>IFERROR(__xludf.DUMMYFUNCTION("""COMPUTED_VALUE"""),"Jintei")</f>
        <v>Jintei</v>
      </c>
      <c r="T21" s="5" t="str">
        <f>IFERROR(__xludf.DUMMYFUNCTION("""COMPUTED_VALUE"""),"Yuanji Deca")</f>
        <v>Yuanji Deca</v>
      </c>
      <c r="U21" s="5">
        <f>IFERROR(__xludf.DUMMYFUNCTION("""COMPUTED_VALUE"""),0.0024362615740740738)</f>
        <v>0.002436261574</v>
      </c>
      <c r="V21" s="5" t="str">
        <f>IFERROR(__xludf.DUMMYFUNCTION("""COMPUTED_VALUE"""),"EVOIV/CN9A")</f>
        <v>EVOIV/CN9A</v>
      </c>
      <c r="W21" s="5" t="str">
        <f>IFERROR(__xludf.DUMMYFUNCTION("""COMPUTED_VALUE"""),"PC")</f>
        <v>PC</v>
      </c>
      <c r="X21" s="5" t="str">
        <f>IFERROR(__xludf.DUMMYFUNCTION("""COMPUTED_VALUE"""),"Sacc")</f>
        <v>Sacc</v>
      </c>
      <c r="Y21" s="5"/>
      <c r="Z21" s="5"/>
      <c r="AA21" s="5"/>
      <c r="AB21" s="5"/>
      <c r="AC21" s="5"/>
      <c r="AD21" s="5"/>
      <c r="AE21" s="5"/>
      <c r="AF21" s="5"/>
      <c r="AG21" s="14" t="str">
        <f>IFERROR(__xludf.DUMMYFUNCTION("""COMPUTED_VALUE"""),"LasVegas")</f>
        <v>LasVegas</v>
      </c>
      <c r="AH21" s="14"/>
      <c r="AI21" s="14" t="str">
        <f>IFERROR(__xludf.DUMMYFUNCTION("""COMPUTED_VALUE"""),"Aiden1408")</f>
        <v>Aiden1408</v>
      </c>
      <c r="AJ21" s="14" t="str">
        <f>IFERROR(__xludf.DUMMYFUNCTION("""COMPUTED_VALUE"""),"StarRiver Arts")</f>
        <v>StarRiver Arts</v>
      </c>
      <c r="AK21" s="14">
        <f>IFERROR(__xludf.DUMMYFUNCTION("""COMPUTED_VALUE"""),0.0019336458333333334)</f>
        <v>0.001933645833</v>
      </c>
      <c r="AL21" s="14" t="str">
        <f>IFERROR(__xludf.DUMMYFUNCTION("""COMPUTED_VALUE"""),"sf25(Ferrari)")</f>
        <v>sf25(Ferrari)</v>
      </c>
      <c r="AM21" s="14" t="str">
        <f>IFERROR(__xludf.DUMMYFUNCTION("""COMPUTED_VALUE"""),"PC")</f>
        <v>PC</v>
      </c>
      <c r="AN21" s="14" t="str">
        <f>IFERROR(__xludf.DUMMYFUNCTION("""COMPUTED_VALUE"""),"CVS")</f>
        <v>CVS</v>
      </c>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row>
    <row r="22">
      <c r="A22" s="5" t="str">
        <f>IFERROR(__xludf.DUMMYFUNCTION("""COMPUTED_VALUE"""),"Tsubaki")</f>
        <v>Tsubaki</v>
      </c>
      <c r="B22" s="5" t="str">
        <f>IFERROR(__xludf.DUMMYFUNCTION("""COMPUTED_VALUE"""),"UH")</f>
        <v>UH</v>
      </c>
      <c r="C22" s="5" t="str">
        <f>IFERROR(__xludf.DUMMYFUNCTION("""COMPUTED_VALUE"""),"Jintei")</f>
        <v>Jintei</v>
      </c>
      <c r="D22" s="5" t="str">
        <f>IFERROR(__xludf.DUMMYFUNCTION("""COMPUTED_VALUE"""),"Test Driver")</f>
        <v>Test Driver</v>
      </c>
      <c r="E22" s="5">
        <f>IFERROR(__xludf.DUMMYFUNCTION("""COMPUTED_VALUE"""),0.006944444444444444)</f>
        <v>0.006944444444</v>
      </c>
      <c r="F22" s="5" t="str">
        <f>IFERROR(__xludf.DUMMYFUNCTION("""COMPUTED_VALUE"""),"AE86T")</f>
        <v>AE86T</v>
      </c>
      <c r="G22" s="5"/>
      <c r="H22" s="5" t="str">
        <f>IFERROR(__xludf.DUMMYFUNCTION("""COMPUTED_VALUE"""),"Sacc")</f>
        <v>Sacc</v>
      </c>
      <c r="I22" s="5" t="str">
        <f>IFERROR(__xludf.DUMMYFUNCTION("""COMPUTED_VALUE"""),"Momiji")</f>
        <v>Momiji</v>
      </c>
      <c r="J22" s="5" t="str">
        <f>IFERROR(__xludf.DUMMYFUNCTION("""COMPUTED_VALUE"""),"DH")</f>
        <v>DH</v>
      </c>
      <c r="K22" s="5" t="str">
        <f>IFERROR(__xludf.DUMMYFUNCTION("""COMPUTED_VALUE"""),"Jintei")</f>
        <v>Jintei</v>
      </c>
      <c r="L22" s="5" t="str">
        <f>IFERROR(__xludf.DUMMYFUNCTION("""COMPUTED_VALUE"""),"Test Driver")</f>
        <v>Test Driver</v>
      </c>
      <c r="M22" s="5">
        <f>IFERROR(__xludf.DUMMYFUNCTION("""COMPUTED_VALUE"""),0.006944444444444444)</f>
        <v>0.006944444444</v>
      </c>
      <c r="N22" s="5" t="str">
        <f>IFERROR(__xludf.DUMMYFUNCTION("""COMPUTED_VALUE"""),"FD3S (RX7)")</f>
        <v>FD3S (RX7)</v>
      </c>
      <c r="O22" s="5"/>
      <c r="P22" s="5" t="str">
        <f>IFERROR(__xludf.DUMMYFUNCTION("""COMPUTED_VALUE"""),"Sacc")</f>
        <v>Sacc</v>
      </c>
      <c r="Q22" s="5" t="str">
        <f>IFERROR(__xludf.DUMMYFUNCTION("""COMPUTED_VALUE"""),"Akagi")</f>
        <v>Akagi</v>
      </c>
      <c r="R22" s="5" t="str">
        <f>IFERROR(__xludf.DUMMYFUNCTION("""COMPUTED_VALUE"""),"DH")</f>
        <v>DH</v>
      </c>
      <c r="S22" s="5" t="str">
        <f>IFERROR(__xludf.DUMMYFUNCTION("""COMPUTED_VALUE"""),"Jintei")</f>
        <v>Jintei</v>
      </c>
      <c r="T22" s="5" t="str">
        <f>IFERROR(__xludf.DUMMYFUNCTION("""COMPUTED_VALUE"""),"Test Driver")</f>
        <v>Test Driver</v>
      </c>
      <c r="U22" s="5">
        <f>IFERROR(__xludf.DUMMYFUNCTION("""COMPUTED_VALUE"""),0.006944444444444444)</f>
        <v>0.006944444444</v>
      </c>
      <c r="V22" s="5" t="str">
        <f>IFERROR(__xludf.DUMMYFUNCTION("""COMPUTED_VALUE"""),"EVOIV/CN9A")</f>
        <v>EVOIV/CN9A</v>
      </c>
      <c r="W22" s="5"/>
      <c r="X22" s="5" t="str">
        <f>IFERROR(__xludf.DUMMYFUNCTION("""COMPUTED_VALUE"""),"Sacc")</f>
        <v>Sacc</v>
      </c>
      <c r="Y22" s="67" t="s">
        <v>137</v>
      </c>
      <c r="AG22" s="14"/>
      <c r="AH22" s="14"/>
      <c r="AI22" s="14"/>
      <c r="AJ22" s="14"/>
      <c r="AK22" s="14"/>
      <c r="AL22" s="14"/>
      <c r="AM22" s="14"/>
      <c r="AN22" s="14"/>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c r="A23" s="5" t="str">
        <f>IFERROR(__xludf.DUMMYFUNCTION("""COMPUTED_VALUE"""),"Momiji")</f>
        <v>Momiji</v>
      </c>
      <c r="B23" s="5" t="str">
        <f>IFERROR(__xludf.DUMMYFUNCTION("""COMPUTED_VALUE"""),"DH")</f>
        <v>DH</v>
      </c>
      <c r="C23" s="5" t="str">
        <f>IFERROR(__xludf.DUMMYFUNCTION("""COMPUTED_VALUE"""),"Jintei")</f>
        <v>Jintei</v>
      </c>
      <c r="D23" s="5" t="str">
        <f>IFERROR(__xludf.DUMMYFUNCTION("""COMPUTED_VALUE"""),"Test Driver")</f>
        <v>Test Driver</v>
      </c>
      <c r="E23" s="5">
        <f>IFERROR(__xludf.DUMMYFUNCTION("""COMPUTED_VALUE"""),0.006944444444444444)</f>
        <v>0.006944444444</v>
      </c>
      <c r="F23" s="5" t="str">
        <f>IFERROR(__xludf.DUMMYFUNCTION("""COMPUTED_VALUE"""),"AE86T")</f>
        <v>AE86T</v>
      </c>
      <c r="G23" s="5"/>
      <c r="H23" s="5" t="str">
        <f>IFERROR(__xludf.DUMMYFUNCTION("""COMPUTED_VALUE"""),"Sacc")</f>
        <v>Sacc</v>
      </c>
      <c r="I23" s="5" t="str">
        <f>IFERROR(__xludf.DUMMYFUNCTION("""COMPUTED_VALUE"""),"Momiji")</f>
        <v>Momiji</v>
      </c>
      <c r="J23" s="5" t="str">
        <f>IFERROR(__xludf.DUMMYFUNCTION("""COMPUTED_VALUE"""),"UH")</f>
        <v>UH</v>
      </c>
      <c r="K23" s="5" t="str">
        <f>IFERROR(__xludf.DUMMYFUNCTION("""COMPUTED_VALUE"""),"Jintei")</f>
        <v>Jintei</v>
      </c>
      <c r="L23" s="5" t="str">
        <f>IFERROR(__xludf.DUMMYFUNCTION("""COMPUTED_VALUE"""),"Test Driver")</f>
        <v>Test Driver</v>
      </c>
      <c r="M23" s="5">
        <f>IFERROR(__xludf.DUMMYFUNCTION("""COMPUTED_VALUE"""),0.006944444444444444)</f>
        <v>0.006944444444</v>
      </c>
      <c r="N23" s="5" t="str">
        <f>IFERROR(__xludf.DUMMYFUNCTION("""COMPUTED_VALUE"""),"FD3S (RX7)")</f>
        <v>FD3S (RX7)</v>
      </c>
      <c r="O23" s="5"/>
      <c r="P23" s="5" t="str">
        <f>IFERROR(__xludf.DUMMYFUNCTION("""COMPUTED_VALUE"""),"Sacc")</f>
        <v>Sacc</v>
      </c>
      <c r="Q23" s="5" t="str">
        <f>IFERROR(__xludf.DUMMYFUNCTION("""COMPUTED_VALUE"""),"Akagi")</f>
        <v>Akagi</v>
      </c>
      <c r="R23" s="5" t="str">
        <f>IFERROR(__xludf.DUMMYFUNCTION("""COMPUTED_VALUE"""),"UH")</f>
        <v>UH</v>
      </c>
      <c r="S23" s="5" t="str">
        <f>IFERROR(__xludf.DUMMYFUNCTION("""COMPUTED_VALUE"""),"Jintei")</f>
        <v>Jintei</v>
      </c>
      <c r="T23" s="5" t="str">
        <f>IFERROR(__xludf.DUMMYFUNCTION("""COMPUTED_VALUE"""),"Test Driver")</f>
        <v>Test Driver</v>
      </c>
      <c r="U23" s="5">
        <f>IFERROR(__xludf.DUMMYFUNCTION("""COMPUTED_VALUE"""),0.006944444444444444)</f>
        <v>0.006944444444</v>
      </c>
      <c r="V23" s="5" t="str">
        <f>IFERROR(__xludf.DUMMYFUNCTION("""COMPUTED_VALUE"""),"EVOIV/CN9A")</f>
        <v>EVOIV/CN9A</v>
      </c>
      <c r="W23" s="5"/>
      <c r="X23" s="5" t="str">
        <f>IFERROR(__xludf.DUMMYFUNCTION("""COMPUTED_VALUE"""),"Sacc")</f>
        <v>Sacc</v>
      </c>
      <c r="Y23" s="5" t="str">
        <f>IFERROR(__xludf.DUMMYFUNCTION("LET(
  車輛, Y22,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23" s="5" t="str">
        <f>IFERROR(__xludf.DUMMYFUNCTION("""COMPUTED_VALUE"""),"路線")</f>
        <v>路線</v>
      </c>
      <c r="AA23" s="5" t="str">
        <f>IFERROR(__xludf.DUMMYFUNCTION("""COMPUTED_VALUE"""),"作者")</f>
        <v>作者</v>
      </c>
      <c r="AB23" s="5" t="str">
        <f>IFERROR(__xludf.DUMMYFUNCTION("""COMPUTED_VALUE"""),"玩家")</f>
        <v>玩家</v>
      </c>
      <c r="AC23" s="5" t="str">
        <f>IFERROR(__xludf.DUMMYFUNCTION("""COMPUTED_VALUE"""),"時間")</f>
        <v>時間</v>
      </c>
      <c r="AD23" s="5" t="str">
        <f>IFERROR(__xludf.DUMMYFUNCTION("""COMPUTED_VALUE"""),"車輛")</f>
        <v>車輛</v>
      </c>
      <c r="AE23" s="5" t="str">
        <f>IFERROR(__xludf.DUMMYFUNCTION("""COMPUTED_VALUE"""),"平台")</f>
        <v>平台</v>
      </c>
      <c r="AF23" s="5" t="str">
        <f>IFERROR(__xludf.DUMMYFUNCTION("""COMPUTED_VALUE"""),"系統")</f>
        <v>系統</v>
      </c>
      <c r="AG23" s="14"/>
      <c r="AH23" s="14"/>
      <c r="AI23" s="14"/>
      <c r="AJ23" s="14"/>
      <c r="AK23" s="14"/>
      <c r="AL23" s="14"/>
      <c r="AM23" s="14"/>
      <c r="AN23" s="14"/>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row>
    <row r="24">
      <c r="A24" s="5" t="str">
        <f>IFERROR(__xludf.DUMMYFUNCTION("""COMPUTED_VALUE"""),"Momiji")</f>
        <v>Momiji</v>
      </c>
      <c r="B24" s="5" t="str">
        <f>IFERROR(__xludf.DUMMYFUNCTION("""COMPUTED_VALUE"""),"UH")</f>
        <v>UH</v>
      </c>
      <c r="C24" s="5" t="str">
        <f>IFERROR(__xludf.DUMMYFUNCTION("""COMPUTED_VALUE"""),"Jintei")</f>
        <v>Jintei</v>
      </c>
      <c r="D24" s="5" t="str">
        <f>IFERROR(__xludf.DUMMYFUNCTION("""COMPUTED_VALUE"""),"Test Driver")</f>
        <v>Test Driver</v>
      </c>
      <c r="E24" s="5">
        <f>IFERROR(__xludf.DUMMYFUNCTION("""COMPUTED_VALUE"""),0.006944444444444444)</f>
        <v>0.006944444444</v>
      </c>
      <c r="F24" s="5" t="str">
        <f>IFERROR(__xludf.DUMMYFUNCTION("""COMPUTED_VALUE"""),"AE86T")</f>
        <v>AE86T</v>
      </c>
      <c r="G24" s="5"/>
      <c r="H24" s="5" t="str">
        <f>IFERROR(__xludf.DUMMYFUNCTION("""COMPUTED_VALUE"""),"Sacc")</f>
        <v>Sacc</v>
      </c>
      <c r="I24" s="5" t="str">
        <f>IFERROR(__xludf.DUMMYFUNCTION("""COMPUTED_VALUE"""),"Shin Myogi")</f>
        <v>Shin Myogi</v>
      </c>
      <c r="J24" s="5" t="str">
        <f>IFERROR(__xludf.DUMMYFUNCTION("""COMPUTED_VALUE"""),"DH")</f>
        <v>DH</v>
      </c>
      <c r="K24" s="5" t="str">
        <f>IFERROR(__xludf.DUMMYFUNCTION("""COMPUTED_VALUE"""),"Jintei")</f>
        <v>Jintei</v>
      </c>
      <c r="L24" s="5" t="str">
        <f>IFERROR(__xludf.DUMMYFUNCTION("""COMPUTED_VALUE"""),"Test Driver")</f>
        <v>Test Driver</v>
      </c>
      <c r="M24" s="5">
        <f>IFERROR(__xludf.DUMMYFUNCTION("""COMPUTED_VALUE"""),0.006944444444444444)</f>
        <v>0.006944444444</v>
      </c>
      <c r="N24" s="5" t="str">
        <f>IFERROR(__xludf.DUMMYFUNCTION("""COMPUTED_VALUE"""),"FD3S (RX7)")</f>
        <v>FD3S (RX7)</v>
      </c>
      <c r="O24" s="5"/>
      <c r="P24" s="5" t="str">
        <f>IFERROR(__xludf.DUMMYFUNCTION("""COMPUTED_VALUE"""),"Sacc")</f>
        <v>Sacc</v>
      </c>
      <c r="Q24" s="5" t="str">
        <f>IFERROR(__xludf.DUMMYFUNCTION("""COMPUTED_VALUE"""),"Myogi (ASV)")</f>
        <v>Myogi (ASV)</v>
      </c>
      <c r="R24" s="5" t="str">
        <f>IFERROR(__xludf.DUMMYFUNCTION("""COMPUTED_VALUE"""),"UH")</f>
        <v>UH</v>
      </c>
      <c r="S24" s="5" t="str">
        <f>IFERROR(__xludf.DUMMYFUNCTION("""COMPUTED_VALUE"""),"Jintei")</f>
        <v>Jintei</v>
      </c>
      <c r="T24" s="5" t="str">
        <f>IFERROR(__xludf.DUMMYFUNCTION("""COMPUTED_VALUE"""),"Test Driver")</f>
        <v>Test Driver</v>
      </c>
      <c r="U24" s="5">
        <f>IFERROR(__xludf.DUMMYFUNCTION("""COMPUTED_VALUE"""),0.006944444444444444)</f>
        <v>0.006944444444</v>
      </c>
      <c r="V24" s="5" t="str">
        <f>IFERROR(__xludf.DUMMYFUNCTION("""COMPUTED_VALUE"""),"EVOIV/CN9A")</f>
        <v>EVOIV/CN9A</v>
      </c>
      <c r="W24" s="5"/>
      <c r="X24" s="5" t="str">
        <f>IFERROR(__xludf.DUMMYFUNCTION("""COMPUTED_VALUE"""),"Sacc")</f>
        <v>Sacc</v>
      </c>
      <c r="Y24" s="5" t="str">
        <f>IFERROR(__xludf.DUMMYFUNCTION("""COMPUTED_VALUE"""),"AkinaUN")</f>
        <v>AkinaUN</v>
      </c>
      <c r="Z24" s="5" t="str">
        <f>IFERROR(__xludf.DUMMYFUNCTION("""COMPUTED_VALUE"""),"DH")</f>
        <v>DH</v>
      </c>
      <c r="AA24" s="5" t="str">
        <f>IFERROR(__xludf.DUMMYFUNCTION("""COMPUTED_VALUE"""),"Jintei")</f>
        <v>Jintei</v>
      </c>
      <c r="AB24" s="5" t="str">
        <f>IFERROR(__xludf.DUMMYFUNCTION("""COMPUTED_VALUE"""),"ZihChin")</f>
        <v>ZihChin</v>
      </c>
      <c r="AC24" s="5">
        <f>IFERROR(__xludf.DUMMYFUNCTION("""COMPUTED_VALUE"""),0.003164930555555556)</f>
        <v>0.003164930556</v>
      </c>
      <c r="AD24" s="5" t="str">
        <f>IFERROR(__xludf.DUMMYFUNCTION("""COMPUTED_VALUE"""),"HCR32")</f>
        <v>HCR32</v>
      </c>
      <c r="AE24" s="5" t="str">
        <f>IFERROR(__xludf.DUMMYFUNCTION("""COMPUTED_VALUE"""),"PC")</f>
        <v>PC</v>
      </c>
      <c r="AF24" s="5" t="str">
        <f>IFERROR(__xludf.DUMMYFUNCTION("""COMPUTED_VALUE"""),"Sacc")</f>
        <v>Sacc</v>
      </c>
      <c r="AG24" s="68" t="s">
        <v>138</v>
      </c>
      <c r="AO24" s="67" t="s">
        <v>139</v>
      </c>
      <c r="AW24" s="67" t="s">
        <v>140</v>
      </c>
      <c r="BE24" s="67"/>
      <c r="BF24" s="67"/>
      <c r="BG24" s="67"/>
      <c r="BH24" s="67"/>
      <c r="BI24" s="67"/>
      <c r="BJ24" s="67"/>
      <c r="BK24" s="67"/>
      <c r="BL24" s="67"/>
      <c r="BM24" s="67"/>
      <c r="BN24" s="67"/>
      <c r="BO24" s="67"/>
    </row>
    <row r="25">
      <c r="A25" s="5" t="str">
        <f>IFERROR(__xludf.DUMMYFUNCTION("""COMPUTED_VALUE"""),"Tsuchisaka")</f>
        <v>Tsuchisaka</v>
      </c>
      <c r="B25" s="5" t="str">
        <f>IFERROR(__xludf.DUMMYFUNCTION("""COMPUTED_VALUE"""),"DH")</f>
        <v>DH</v>
      </c>
      <c r="C25" s="5" t="str">
        <f>IFERROR(__xludf.DUMMYFUNCTION("""COMPUTED_VALUE"""),"Jintei")</f>
        <v>Jintei</v>
      </c>
      <c r="D25" s="5" t="str">
        <f>IFERROR(__xludf.DUMMYFUNCTION("""COMPUTED_VALUE"""),"Test Driver")</f>
        <v>Test Driver</v>
      </c>
      <c r="E25" s="5">
        <f>IFERROR(__xludf.DUMMYFUNCTION("""COMPUTED_VALUE"""),0.006944444444444444)</f>
        <v>0.006944444444</v>
      </c>
      <c r="F25" s="5" t="str">
        <f>IFERROR(__xludf.DUMMYFUNCTION("""COMPUTED_VALUE"""),"AE86T")</f>
        <v>AE86T</v>
      </c>
      <c r="G25" s="5"/>
      <c r="H25" s="5" t="str">
        <f>IFERROR(__xludf.DUMMYFUNCTION("""COMPUTED_VALUE"""),"Sacc")</f>
        <v>Sacc</v>
      </c>
      <c r="I25" s="5" t="str">
        <f>IFERROR(__xludf.DUMMYFUNCTION("""COMPUTED_VALUE"""),"Shin Myogi")</f>
        <v>Shin Myogi</v>
      </c>
      <c r="J25" s="5" t="str">
        <f>IFERROR(__xludf.DUMMYFUNCTION("""COMPUTED_VALUE"""),"UH")</f>
        <v>UH</v>
      </c>
      <c r="K25" s="5" t="str">
        <f>IFERROR(__xludf.DUMMYFUNCTION("""COMPUTED_VALUE"""),"Jintei")</f>
        <v>Jintei</v>
      </c>
      <c r="L25" s="5" t="str">
        <f>IFERROR(__xludf.DUMMYFUNCTION("""COMPUTED_VALUE"""),"Test Driver")</f>
        <v>Test Driver</v>
      </c>
      <c r="M25" s="5">
        <f>IFERROR(__xludf.DUMMYFUNCTION("""COMPUTED_VALUE"""),0.006944444444444444)</f>
        <v>0.006944444444</v>
      </c>
      <c r="N25" s="5" t="str">
        <f>IFERROR(__xludf.DUMMYFUNCTION("""COMPUTED_VALUE"""),"FD3S (RX7)")</f>
        <v>FD3S (RX7)</v>
      </c>
      <c r="O25" s="5"/>
      <c r="P25" s="5" t="str">
        <f>IFERROR(__xludf.DUMMYFUNCTION("""COMPUTED_VALUE"""),"Sacc")</f>
        <v>Sacc</v>
      </c>
      <c r="Q25" s="5" t="str">
        <f>IFERROR(__xludf.DUMMYFUNCTION("""COMPUTED_VALUE"""),"Shin Usui")</f>
        <v>Shin Usui</v>
      </c>
      <c r="R25" s="5" t="str">
        <f>IFERROR(__xludf.DUMMYFUNCTION("""COMPUTED_VALUE"""),"DH")</f>
        <v>DH</v>
      </c>
      <c r="S25" s="5" t="str">
        <f>IFERROR(__xludf.DUMMYFUNCTION("""COMPUTED_VALUE"""),"Jintei")</f>
        <v>Jintei</v>
      </c>
      <c r="T25" s="5" t="str">
        <f>IFERROR(__xludf.DUMMYFUNCTION("""COMPUTED_VALUE"""),"Test Driver")</f>
        <v>Test Driver</v>
      </c>
      <c r="U25" s="5">
        <f>IFERROR(__xludf.DUMMYFUNCTION("""COMPUTED_VALUE"""),0.006944444444444444)</f>
        <v>0.006944444444</v>
      </c>
      <c r="V25" s="5" t="str">
        <f>IFERROR(__xludf.DUMMYFUNCTION("""COMPUTED_VALUE"""),"EVOIV/CN9A")</f>
        <v>EVOIV/CN9A</v>
      </c>
      <c r="W25" s="5"/>
      <c r="X25" s="5" t="str">
        <f>IFERROR(__xludf.DUMMYFUNCTION("""COMPUTED_VALUE"""),"Sacc")</f>
        <v>Sacc</v>
      </c>
      <c r="Y25" s="5" t="str">
        <f>IFERROR(__xludf.DUMMYFUNCTION("""COMPUTED_VALUE"""),"H-Nanamagari")</f>
        <v>H-Nanamagari</v>
      </c>
      <c r="Z25" s="5" t="str">
        <f>IFERROR(__xludf.DUMMYFUNCTION("""COMPUTED_VALUE"""),"DH")</f>
        <v>DH</v>
      </c>
      <c r="AA25" s="5" t="str">
        <f>IFERROR(__xludf.DUMMYFUNCTION("""COMPUTED_VALUE"""),"Jintei")</f>
        <v>Jintei</v>
      </c>
      <c r="AB25" s="5" t="str">
        <f>IFERROR(__xludf.DUMMYFUNCTION("""COMPUTED_VALUE"""),"StarRiver Arts")</f>
        <v>StarRiver Arts</v>
      </c>
      <c r="AC25" s="5">
        <f>IFERROR(__xludf.DUMMYFUNCTION("""COMPUTED_VALUE"""),0.0010740856481481482)</f>
        <v>0.001074085648</v>
      </c>
      <c r="AD25" s="5" t="str">
        <f>IFERROR(__xludf.DUMMYFUNCTION("""COMPUTED_VALUE"""),"HCR32")</f>
        <v>HCR32</v>
      </c>
      <c r="AE25" s="5" t="str">
        <f>IFERROR(__xludf.DUMMYFUNCTION("""COMPUTED_VALUE"""),"PC")</f>
        <v>PC</v>
      </c>
      <c r="AF25" s="5" t="str">
        <f>IFERROR(__xludf.DUMMYFUNCTION("""COMPUTED_VALUE"""),"Sacc")</f>
        <v>Sacc</v>
      </c>
      <c r="AG25" s="14" t="str">
        <f>IFERROR(__xludf.DUMMYFUNCTION("LET(
  車輛, AG24,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H25" s="14" t="str">
        <f>IFERROR(__xludf.DUMMYFUNCTION("""COMPUTED_VALUE"""),"路線")</f>
        <v>路線</v>
      </c>
      <c r="AI25" s="14" t="str">
        <f>IFERROR(__xludf.DUMMYFUNCTION("""COMPUTED_VALUE"""),"作者")</f>
        <v>作者</v>
      </c>
      <c r="AJ25" s="14" t="str">
        <f>IFERROR(__xludf.DUMMYFUNCTION("""COMPUTED_VALUE"""),"玩家")</f>
        <v>玩家</v>
      </c>
      <c r="AK25" s="14" t="str">
        <f>IFERROR(__xludf.DUMMYFUNCTION("""COMPUTED_VALUE"""),"時間")</f>
        <v>時間</v>
      </c>
      <c r="AL25" s="14" t="str">
        <f>IFERROR(__xludf.DUMMYFUNCTION("""COMPUTED_VALUE"""),"車輛")</f>
        <v>車輛</v>
      </c>
      <c r="AM25" s="14" t="str">
        <f>IFERROR(__xludf.DUMMYFUNCTION("""COMPUTED_VALUE"""),"平台")</f>
        <v>平台</v>
      </c>
      <c r="AN25" s="14" t="str">
        <f>IFERROR(__xludf.DUMMYFUNCTION("""COMPUTED_VALUE"""),"系統")</f>
        <v>系統</v>
      </c>
      <c r="AO25" s="5" t="str">
        <f>IFERROR(__xludf.DUMMYFUNCTION("LET(
  車輛, AO24,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P25" s="5" t="str">
        <f>IFERROR(__xludf.DUMMYFUNCTION("""COMPUTED_VALUE"""),"路線")</f>
        <v>路線</v>
      </c>
      <c r="AQ25" s="5" t="str">
        <f>IFERROR(__xludf.DUMMYFUNCTION("""COMPUTED_VALUE"""),"作者")</f>
        <v>作者</v>
      </c>
      <c r="AR25" s="5" t="str">
        <f>IFERROR(__xludf.DUMMYFUNCTION("""COMPUTED_VALUE"""),"玩家")</f>
        <v>玩家</v>
      </c>
      <c r="AS25" s="5" t="str">
        <f>IFERROR(__xludf.DUMMYFUNCTION("""COMPUTED_VALUE"""),"時間")</f>
        <v>時間</v>
      </c>
      <c r="AT25" s="5" t="str">
        <f>IFERROR(__xludf.DUMMYFUNCTION("""COMPUTED_VALUE"""),"車輛")</f>
        <v>車輛</v>
      </c>
      <c r="AU25" s="5" t="str">
        <f>IFERROR(__xludf.DUMMYFUNCTION("""COMPUTED_VALUE"""),"平台")</f>
        <v>平台</v>
      </c>
      <c r="AV25" s="5" t="str">
        <f>IFERROR(__xludf.DUMMYFUNCTION("""COMPUTED_VALUE"""),"系統")</f>
        <v>系統</v>
      </c>
      <c r="AW25" s="5" t="str">
        <f>IFERROR(__xludf.DUMMYFUNCTION("LET(
  車輛, AW24,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25" s="5" t="str">
        <f>IFERROR(__xludf.DUMMYFUNCTION("""COMPUTED_VALUE"""),"路線")</f>
        <v>路線</v>
      </c>
      <c r="AY25" s="5" t="str">
        <f>IFERROR(__xludf.DUMMYFUNCTION("""COMPUTED_VALUE"""),"作者")</f>
        <v>作者</v>
      </c>
      <c r="AZ25" s="5" t="str">
        <f>IFERROR(__xludf.DUMMYFUNCTION("""COMPUTED_VALUE"""),"玩家")</f>
        <v>玩家</v>
      </c>
      <c r="BA25" s="5" t="str">
        <f>IFERROR(__xludf.DUMMYFUNCTION("""COMPUTED_VALUE"""),"時間")</f>
        <v>時間</v>
      </c>
      <c r="BB25" s="5" t="str">
        <f>IFERROR(__xludf.DUMMYFUNCTION("""COMPUTED_VALUE"""),"車輛")</f>
        <v>車輛</v>
      </c>
      <c r="BC25" s="5" t="str">
        <f>IFERROR(__xludf.DUMMYFUNCTION("""COMPUTED_VALUE"""),"平台")</f>
        <v>平台</v>
      </c>
      <c r="BD25" s="5" t="str">
        <f>IFERROR(__xludf.DUMMYFUNCTION("""COMPUTED_VALUE"""),"系統")</f>
        <v>系統</v>
      </c>
      <c r="BE25" s="5"/>
      <c r="BF25" s="5"/>
      <c r="BG25" s="5"/>
      <c r="BH25" s="5"/>
      <c r="BI25" s="5"/>
      <c r="BJ25" s="5"/>
      <c r="BK25" s="5"/>
      <c r="BL25" s="5"/>
      <c r="BM25" s="5"/>
      <c r="BN25" s="5"/>
      <c r="BO25" s="5"/>
    </row>
    <row r="26">
      <c r="A26" s="5" t="str">
        <f>IFERROR(__xludf.DUMMYFUNCTION("""COMPUTED_VALUE"""),"Tsuchisaka")</f>
        <v>Tsuchisaka</v>
      </c>
      <c r="B26" s="5" t="str">
        <f>IFERROR(__xludf.DUMMYFUNCTION("""COMPUTED_VALUE"""),"UH")</f>
        <v>UH</v>
      </c>
      <c r="C26" s="5" t="str">
        <f>IFERROR(__xludf.DUMMYFUNCTION("""COMPUTED_VALUE"""),"Jintei")</f>
        <v>Jintei</v>
      </c>
      <c r="D26" s="5" t="str">
        <f>IFERROR(__xludf.DUMMYFUNCTION("""COMPUTED_VALUE"""),"Test Driver")</f>
        <v>Test Driver</v>
      </c>
      <c r="E26" s="5">
        <f>IFERROR(__xludf.DUMMYFUNCTION("""COMPUTED_VALUE"""),0.006944444444444444)</f>
        <v>0.006944444444</v>
      </c>
      <c r="F26" s="5" t="str">
        <f>IFERROR(__xludf.DUMMYFUNCTION("""COMPUTED_VALUE"""),"AE86T")</f>
        <v>AE86T</v>
      </c>
      <c r="G26" s="5"/>
      <c r="H26" s="5" t="str">
        <f>IFERROR(__xludf.DUMMYFUNCTION("""COMPUTED_VALUE"""),"Sacc")</f>
        <v>Sacc</v>
      </c>
      <c r="I26" s="5" t="str">
        <f>IFERROR(__xludf.DUMMYFUNCTION("""COMPUTED_VALUE"""),"Nagao")</f>
        <v>Nagao</v>
      </c>
      <c r="J26" s="5" t="str">
        <f>IFERROR(__xludf.DUMMYFUNCTION("""COMPUTED_VALUE"""),"DH")</f>
        <v>DH</v>
      </c>
      <c r="K26" s="5" t="str">
        <f>IFERROR(__xludf.DUMMYFUNCTION("""COMPUTED_VALUE"""),"Jintei")</f>
        <v>Jintei</v>
      </c>
      <c r="L26" s="5" t="str">
        <f>IFERROR(__xludf.DUMMYFUNCTION("""COMPUTED_VALUE"""),"Test Driver")</f>
        <v>Test Driver</v>
      </c>
      <c r="M26" s="5">
        <f>IFERROR(__xludf.DUMMYFUNCTION("""COMPUTED_VALUE"""),0.006944444444444444)</f>
        <v>0.006944444444</v>
      </c>
      <c r="N26" s="5" t="str">
        <f>IFERROR(__xludf.DUMMYFUNCTION("""COMPUTED_VALUE"""),"FD3S (RX7)")</f>
        <v>FD3S (RX7)</v>
      </c>
      <c r="O26" s="5"/>
      <c r="P26" s="5" t="str">
        <f>IFERROR(__xludf.DUMMYFUNCTION("""COMPUTED_VALUE"""),"Sacc")</f>
        <v>Sacc</v>
      </c>
      <c r="Q26" s="5" t="str">
        <f>IFERROR(__xludf.DUMMYFUNCTION("""COMPUTED_VALUE"""),"Shin Usui")</f>
        <v>Shin Usui</v>
      </c>
      <c r="R26" s="5" t="str">
        <f>IFERROR(__xludf.DUMMYFUNCTION("""COMPUTED_VALUE"""),"UH")</f>
        <v>UH</v>
      </c>
      <c r="S26" s="5" t="str">
        <f>IFERROR(__xludf.DUMMYFUNCTION("""COMPUTED_VALUE"""),"Jintei")</f>
        <v>Jintei</v>
      </c>
      <c r="T26" s="5" t="str">
        <f>IFERROR(__xludf.DUMMYFUNCTION("""COMPUTED_VALUE"""),"Test Driver")</f>
        <v>Test Driver</v>
      </c>
      <c r="U26" s="5">
        <f>IFERROR(__xludf.DUMMYFUNCTION("""COMPUTED_VALUE"""),0.006944444444444444)</f>
        <v>0.006944444444</v>
      </c>
      <c r="V26" s="5" t="str">
        <f>IFERROR(__xludf.DUMMYFUNCTION("""COMPUTED_VALUE"""),"EVOIV/CN9A")</f>
        <v>EVOIV/CN9A</v>
      </c>
      <c r="W26" s="5"/>
      <c r="X26" s="5" t="str">
        <f>IFERROR(__xludf.DUMMYFUNCTION("""COMPUTED_VALUE"""),"Sacc")</f>
        <v>Sacc</v>
      </c>
      <c r="Y26" s="5" t="str">
        <f>IFERROR(__xludf.DUMMYFUNCTION("""COMPUTED_VALUE"""),"AkinaUN")</f>
        <v>AkinaUN</v>
      </c>
      <c r="Z26" s="5" t="str">
        <f>IFERROR(__xludf.DUMMYFUNCTION("""COMPUTED_VALUE"""),"UH")</f>
        <v>UH</v>
      </c>
      <c r="AA26" s="5" t="str">
        <f>IFERROR(__xludf.DUMMYFUNCTION("""COMPUTED_VALUE"""),"Jintei")</f>
        <v>Jintei</v>
      </c>
      <c r="AB26" s="5" t="str">
        <f>IFERROR(__xludf.DUMMYFUNCTION("""COMPUTED_VALUE"""),"Test Driver")</f>
        <v>Test Driver</v>
      </c>
      <c r="AC26" s="5">
        <f>IFERROR(__xludf.DUMMYFUNCTION("""COMPUTED_VALUE"""),0.006944444444444444)</f>
        <v>0.006944444444</v>
      </c>
      <c r="AD26" s="5" t="str">
        <f>IFERROR(__xludf.DUMMYFUNCTION("""COMPUTED_VALUE"""),"HCR32")</f>
        <v>HCR32</v>
      </c>
      <c r="AE26" s="5"/>
      <c r="AF26" s="5" t="str">
        <f>IFERROR(__xludf.DUMMYFUNCTION("""COMPUTED_VALUE"""),"Sacc")</f>
        <v>Sacc</v>
      </c>
      <c r="AG26" s="14" t="str">
        <f>IFERROR(__xludf.DUMMYFUNCTION("""COMPUTED_VALUE"""),"Silverstone")</f>
        <v>Silverstone</v>
      </c>
      <c r="AH26" s="14"/>
      <c r="AI26" s="14" t="str">
        <f>IFERROR(__xludf.DUMMYFUNCTION("""COMPUTED_VALUE"""),"Aiden1408")</f>
        <v>Aiden1408</v>
      </c>
      <c r="AJ26" s="14" t="str">
        <f>IFERROR(__xludf.DUMMYFUNCTION("""COMPUTED_VALUE"""),"羽沫嫇夏")</f>
        <v>羽沫嫇夏</v>
      </c>
      <c r="AK26" s="48">
        <f>IFERROR(__xludf.DUMMYFUNCTION("""COMPUTED_VALUE"""),8.64837962962963E-4)</f>
        <v>0.000864837963</v>
      </c>
      <c r="AL26" s="14" t="str">
        <f>IFERROR(__xludf.DUMMYFUNCTION("""COMPUTED_VALUE"""),"c45(KickSauber)")</f>
        <v>c45(KickSauber)</v>
      </c>
      <c r="AM26" s="14" t="str">
        <f>IFERROR(__xludf.DUMMYFUNCTION("""COMPUTED_VALUE"""),"PCVR")</f>
        <v>PCVR</v>
      </c>
      <c r="AN26" s="14" t="str">
        <f>IFERROR(__xludf.DUMMYFUNCTION("""COMPUTED_VALUE"""),"CVS")</f>
        <v>CVS</v>
      </c>
      <c r="AO26" s="5" t="str">
        <f>IFERROR(__xludf.DUMMYFUNCTION("""COMPUTED_VALUE"""),"Odawara")</f>
        <v>Odawara</v>
      </c>
      <c r="AP26" s="5" t="str">
        <f>IFERROR(__xludf.DUMMYFUNCTION("""COMPUTED_VALUE"""),"CW")</f>
        <v>CW</v>
      </c>
      <c r="AQ26" s="5" t="str">
        <f>IFERROR(__xludf.DUMMYFUNCTION("""COMPUTED_VALUE"""),"Jintei")</f>
        <v>Jintei</v>
      </c>
      <c r="AR26" s="5" t="str">
        <f>IFERROR(__xludf.DUMMYFUNCTION("""COMPUTED_VALUE"""),"Lolidia")</f>
        <v>Lolidia</v>
      </c>
      <c r="AS26" s="5">
        <f>IFERROR(__xludf.DUMMYFUNCTION("""COMPUTED_VALUE"""),0.0026103472222222222)</f>
        <v>0.002610347222</v>
      </c>
      <c r="AT26" s="5" t="str">
        <f>IFERROR(__xludf.DUMMYFUNCTION("""COMPUTED_VALUE"""),"991(911 GT3)")</f>
        <v>991(911 GT3)</v>
      </c>
      <c r="AU26" s="5" t="str">
        <f>IFERROR(__xludf.DUMMYFUNCTION("""COMPUTED_VALUE"""),"PCVR")</f>
        <v>PCVR</v>
      </c>
      <c r="AV26" s="5" t="str">
        <f>IFERROR(__xludf.DUMMYFUNCTION("""COMPUTED_VALUE"""),"Sacc")</f>
        <v>Sacc</v>
      </c>
      <c r="AW26" s="5" t="str">
        <f>IFERROR(__xludf.DUMMYFUNCTION("""COMPUTED_VALUE"""),"Momiji")</f>
        <v>Momiji</v>
      </c>
      <c r="AX26" s="5" t="str">
        <f>IFERROR(__xludf.DUMMYFUNCTION("""COMPUTED_VALUE"""),"DH")</f>
        <v>DH</v>
      </c>
      <c r="AY26" s="5" t="str">
        <f>IFERROR(__xludf.DUMMYFUNCTION("""COMPUTED_VALUE"""),"FoxBG")</f>
        <v>FoxBG</v>
      </c>
      <c r="AZ26" s="5" t="str">
        <f>IFERROR(__xludf.DUMMYFUNCTION("""COMPUTED_VALUE"""),"Test Driver")</f>
        <v>Test Driver</v>
      </c>
      <c r="BA26" s="5">
        <f>IFERROR(__xludf.DUMMYFUNCTION("""COMPUTED_VALUE"""),0.006944444444444444)</f>
        <v>0.006944444444</v>
      </c>
      <c r="BB26" s="5" t="str">
        <f>IFERROR(__xludf.DUMMYFUNCTION("""COMPUTED_VALUE"""),"Highline T4")</f>
        <v>Highline T4</v>
      </c>
      <c r="BC26" s="5"/>
      <c r="BD26" s="5" t="str">
        <f>IFERROR(__xludf.DUMMYFUNCTION("""COMPUTED_VALUE"""),"CVS")</f>
        <v>CVS</v>
      </c>
      <c r="BE26" s="5"/>
      <c r="BF26" s="5"/>
      <c r="BG26" s="5"/>
      <c r="BH26" s="5"/>
      <c r="BI26" s="5"/>
      <c r="BJ26" s="5"/>
      <c r="BK26" s="5"/>
      <c r="BL26" s="5"/>
      <c r="BM26" s="5"/>
      <c r="BN26" s="5"/>
      <c r="BO26" s="5"/>
    </row>
    <row r="27">
      <c r="A27" s="5" t="str">
        <f>IFERROR(__xludf.DUMMYFUNCTION("""COMPUTED_VALUE"""),"Tsuchisaka")</f>
        <v>Tsuchisaka</v>
      </c>
      <c r="B27" s="5" t="str">
        <f>IFERROR(__xludf.DUMMYFUNCTION("""COMPUTED_VALUE"""),"IB")</f>
        <v>IB</v>
      </c>
      <c r="C27" s="5" t="str">
        <f>IFERROR(__xludf.DUMMYFUNCTION("""COMPUTED_VALUE"""),"Jintei")</f>
        <v>Jintei</v>
      </c>
      <c r="D27" s="5" t="str">
        <f>IFERROR(__xludf.DUMMYFUNCTION("""COMPUTED_VALUE"""),"Test Driver")</f>
        <v>Test Driver</v>
      </c>
      <c r="E27" s="5">
        <f>IFERROR(__xludf.DUMMYFUNCTION("""COMPUTED_VALUE"""),0.006944444444444444)</f>
        <v>0.006944444444</v>
      </c>
      <c r="F27" s="5" t="str">
        <f>IFERROR(__xludf.DUMMYFUNCTION("""COMPUTED_VALUE"""),"AE86T")</f>
        <v>AE86T</v>
      </c>
      <c r="G27" s="5"/>
      <c r="H27" s="5" t="str">
        <f>IFERROR(__xludf.DUMMYFUNCTION("""COMPUTED_VALUE"""),"Sacc")</f>
        <v>Sacc</v>
      </c>
      <c r="I27" s="5" t="str">
        <f>IFERROR(__xludf.DUMMYFUNCTION("""COMPUTED_VALUE"""),"Nagao")</f>
        <v>Nagao</v>
      </c>
      <c r="J27" s="5" t="str">
        <f>IFERROR(__xludf.DUMMYFUNCTION("""COMPUTED_VALUE"""),"UH")</f>
        <v>UH</v>
      </c>
      <c r="K27" s="5" t="str">
        <f>IFERROR(__xludf.DUMMYFUNCTION("""COMPUTED_VALUE"""),"Jintei")</f>
        <v>Jintei</v>
      </c>
      <c r="L27" s="5" t="str">
        <f>IFERROR(__xludf.DUMMYFUNCTION("""COMPUTED_VALUE"""),"Test Driver")</f>
        <v>Test Driver</v>
      </c>
      <c r="M27" s="5">
        <f>IFERROR(__xludf.DUMMYFUNCTION("""COMPUTED_VALUE"""),0.006944444444444444)</f>
        <v>0.006944444444</v>
      </c>
      <c r="N27" s="5" t="str">
        <f>IFERROR(__xludf.DUMMYFUNCTION("""COMPUTED_VALUE"""),"FD3S (RX7)")</f>
        <v>FD3S (RX7)</v>
      </c>
      <c r="O27" s="5"/>
      <c r="P27" s="5" t="str">
        <f>IFERROR(__xludf.DUMMYFUNCTION("""COMPUTED_VALUE"""),"Sacc")</f>
        <v>Sacc</v>
      </c>
      <c r="Q27" s="5"/>
      <c r="R27" s="5"/>
      <c r="S27" s="5"/>
      <c r="T27" s="5"/>
      <c r="U27" s="5"/>
      <c r="V27" s="5"/>
      <c r="W27" s="5"/>
      <c r="X27" s="5"/>
      <c r="Y27" s="5" t="str">
        <f>IFERROR(__xludf.DUMMYFUNCTION("""COMPUTED_VALUE"""),"H-Nanamagari")</f>
        <v>H-Nanamagari</v>
      </c>
      <c r="Z27" s="5" t="str">
        <f>IFERROR(__xludf.DUMMYFUNCTION("""COMPUTED_VALUE"""),"UH")</f>
        <v>UH</v>
      </c>
      <c r="AA27" s="5" t="str">
        <f>IFERROR(__xludf.DUMMYFUNCTION("""COMPUTED_VALUE"""),"Jintei")</f>
        <v>Jintei</v>
      </c>
      <c r="AB27" s="5" t="str">
        <f>IFERROR(__xludf.DUMMYFUNCTION("""COMPUTED_VALUE"""),"Test Driver")</f>
        <v>Test Driver</v>
      </c>
      <c r="AC27" s="5">
        <f>IFERROR(__xludf.DUMMYFUNCTION("""COMPUTED_VALUE"""),0.006944444444444444)</f>
        <v>0.006944444444</v>
      </c>
      <c r="AD27" s="5" t="str">
        <f>IFERROR(__xludf.DUMMYFUNCTION("""COMPUTED_VALUE"""),"HCR32")</f>
        <v>HCR32</v>
      </c>
      <c r="AE27" s="5"/>
      <c r="AF27" s="5" t="str">
        <f>IFERROR(__xludf.DUMMYFUNCTION("""COMPUTED_VALUE"""),"Sacc")</f>
        <v>Sacc</v>
      </c>
      <c r="AG27" s="14"/>
      <c r="AH27" s="14"/>
      <c r="AI27" s="14"/>
      <c r="AJ27" s="14"/>
      <c r="AK27" s="48"/>
      <c r="AL27" s="14"/>
      <c r="AM27" s="14"/>
      <c r="AN27" s="14"/>
      <c r="AO27" s="5" t="str">
        <f>IFERROR(__xludf.DUMMYFUNCTION("""COMPUTED_VALUE"""),"Odawara")</f>
        <v>Odawara</v>
      </c>
      <c r="AP27" s="5" t="str">
        <f>IFERROR(__xludf.DUMMYFUNCTION("""COMPUTED_VALUE"""),"CC")</f>
        <v>CC</v>
      </c>
      <c r="AQ27" s="5" t="str">
        <f>IFERROR(__xludf.DUMMYFUNCTION("""COMPUTED_VALUE"""),"Jintei")</f>
        <v>Jintei</v>
      </c>
      <c r="AR27" s="5" t="str">
        <f>IFERROR(__xludf.DUMMYFUNCTION("""COMPUTED_VALUE"""),"Redfrogss")</f>
        <v>Redfrogss</v>
      </c>
      <c r="AS27" s="5">
        <f>IFERROR(__xludf.DUMMYFUNCTION("""COMPUTED_VALUE"""),0.0029622800925925927)</f>
        <v>0.002962280093</v>
      </c>
      <c r="AT27" s="5" t="str">
        <f>IFERROR(__xludf.DUMMYFUNCTION("""COMPUTED_VALUE"""),"991(911 GT3)")</f>
        <v>991(911 GT3)</v>
      </c>
      <c r="AU27" s="5" t="str">
        <f>IFERROR(__xludf.DUMMYFUNCTION("""COMPUTED_VALUE"""),"PCVR")</f>
        <v>PCVR</v>
      </c>
      <c r="AV27" s="5" t="str">
        <f>IFERROR(__xludf.DUMMYFUNCTION("""COMPUTED_VALUE"""),"Sacc")</f>
        <v>Sacc</v>
      </c>
      <c r="AW27" s="5"/>
      <c r="AX27" s="5"/>
      <c r="AY27" s="5"/>
      <c r="AZ27" s="5"/>
      <c r="BA27" s="5"/>
      <c r="BB27" s="5"/>
      <c r="BC27" s="5"/>
      <c r="BD27" s="5"/>
      <c r="BE27" s="5"/>
      <c r="BF27" s="5"/>
      <c r="BG27" s="5"/>
      <c r="BH27" s="5"/>
      <c r="BI27" s="5"/>
      <c r="BJ27" s="5"/>
      <c r="BK27" s="5"/>
      <c r="BL27" s="5"/>
      <c r="BM27" s="5"/>
      <c r="BN27" s="5"/>
      <c r="BO27" s="5"/>
    </row>
    <row r="28">
      <c r="A28" s="5" t="str">
        <f>IFERROR(__xludf.DUMMYFUNCTION("""COMPUTED_VALUE"""),"Tsuchisaka")</f>
        <v>Tsuchisaka</v>
      </c>
      <c r="B28" s="5" t="str">
        <f>IFERROR(__xludf.DUMMYFUNCTION("""COMPUTED_VALUE"""),"OB")</f>
        <v>OB</v>
      </c>
      <c r="C28" s="5" t="str">
        <f>IFERROR(__xludf.DUMMYFUNCTION("""COMPUTED_VALUE"""),"Jintei")</f>
        <v>Jintei</v>
      </c>
      <c r="D28" s="5" t="str">
        <f>IFERROR(__xludf.DUMMYFUNCTION("""COMPUTED_VALUE"""),"Test Driver")</f>
        <v>Test Driver</v>
      </c>
      <c r="E28" s="5">
        <f>IFERROR(__xludf.DUMMYFUNCTION("""COMPUTED_VALUE"""),0.006944444444444444)</f>
        <v>0.006944444444</v>
      </c>
      <c r="F28" s="5" t="str">
        <f>IFERROR(__xludf.DUMMYFUNCTION("""COMPUTED_VALUE"""),"AE86T")</f>
        <v>AE86T</v>
      </c>
      <c r="G28" s="5"/>
      <c r="H28" s="5" t="str">
        <f>IFERROR(__xludf.DUMMYFUNCTION("""COMPUTED_VALUE"""),"Sacc")</f>
        <v>Sacc</v>
      </c>
      <c r="I28" s="5" t="str">
        <f>IFERROR(__xludf.DUMMYFUNCTION("""COMPUTED_VALUE"""),"Maze")</f>
        <v>Maze</v>
      </c>
      <c r="J28" s="5" t="str">
        <f>IFERROR(__xludf.DUMMYFUNCTION("""COMPUTED_VALUE"""),"DH")</f>
        <v>DH</v>
      </c>
      <c r="K28" s="5" t="str">
        <f>IFERROR(__xludf.DUMMYFUNCTION("""COMPUTED_VALUE"""),"Jintei")</f>
        <v>Jintei</v>
      </c>
      <c r="L28" s="5" t="str">
        <f>IFERROR(__xludf.DUMMYFUNCTION("""COMPUTED_VALUE"""),"Test Driver")</f>
        <v>Test Driver</v>
      </c>
      <c r="M28" s="5">
        <f>IFERROR(__xludf.DUMMYFUNCTION("""COMPUTED_VALUE"""),0.006944444444444444)</f>
        <v>0.006944444444</v>
      </c>
      <c r="N28" s="5" t="str">
        <f>IFERROR(__xludf.DUMMYFUNCTION("""COMPUTED_VALUE"""),"FD3S (RX7)")</f>
        <v>FD3S (RX7)</v>
      </c>
      <c r="O28" s="5"/>
      <c r="P28" s="5" t="str">
        <f>IFERROR(__xludf.DUMMYFUNCTION("""COMPUTED_VALUE"""),"Sacc")</f>
        <v>Sacc</v>
      </c>
      <c r="Q28" s="5"/>
      <c r="R28" s="5"/>
      <c r="S28" s="5"/>
      <c r="T28" s="5"/>
      <c r="U28" s="5"/>
      <c r="V28" s="5"/>
      <c r="W28" s="5"/>
      <c r="X28" s="5"/>
      <c r="Y28" s="5"/>
      <c r="Z28" s="5"/>
      <c r="AA28" s="5"/>
      <c r="AB28" s="5"/>
      <c r="AC28" s="5"/>
      <c r="AD28" s="5"/>
      <c r="AE28" s="5"/>
      <c r="AF28" s="5"/>
      <c r="AG28" s="14"/>
      <c r="AH28" s="14"/>
      <c r="AI28" s="14"/>
      <c r="AJ28" s="14"/>
      <c r="AK28" s="14"/>
      <c r="AL28" s="14"/>
      <c r="AM28" s="14"/>
      <c r="AN28" s="14"/>
      <c r="AO28" s="5" t="str">
        <f>IFERROR(__xludf.DUMMYFUNCTION("""COMPUTED_VALUE"""),"Hakone")</f>
        <v>Hakone</v>
      </c>
      <c r="AP28" s="5" t="str">
        <f>IFERROR(__xludf.DUMMYFUNCTION("""COMPUTED_VALUE"""),"DH")</f>
        <v>DH</v>
      </c>
      <c r="AQ28" s="5" t="str">
        <f>IFERROR(__xludf.DUMMYFUNCTION("""COMPUTED_VALUE"""),"Jintei")</f>
        <v>Jintei</v>
      </c>
      <c r="AR28" s="5" t="str">
        <f>IFERROR(__xludf.DUMMYFUNCTION("""COMPUTED_VALUE"""),"Test Driver")</f>
        <v>Test Driver</v>
      </c>
      <c r="AS28" s="5">
        <f>IFERROR(__xludf.DUMMYFUNCTION("""COMPUTED_VALUE"""),0.006944444444444444)</f>
        <v>0.006944444444</v>
      </c>
      <c r="AT28" s="5" t="str">
        <f>IFERROR(__xludf.DUMMYFUNCTION("""COMPUTED_VALUE"""),"991(911 GT3)")</f>
        <v>991(911 GT3)</v>
      </c>
      <c r="AU28" s="5"/>
      <c r="AV28" s="5" t="str">
        <f>IFERROR(__xludf.DUMMYFUNCTION("""COMPUTED_VALUE"""),"Sacc")</f>
        <v>Sacc</v>
      </c>
      <c r="AW28" s="5"/>
      <c r="AX28" s="5"/>
      <c r="AY28" s="5"/>
      <c r="AZ28" s="5"/>
      <c r="BA28" s="5"/>
      <c r="BB28" s="5"/>
      <c r="BC28" s="5"/>
      <c r="BD28" s="5"/>
      <c r="BE28" s="5"/>
      <c r="BF28" s="5"/>
      <c r="BG28" s="5"/>
      <c r="BH28" s="5"/>
      <c r="BI28" s="5"/>
      <c r="BJ28" s="5"/>
      <c r="BK28" s="5"/>
      <c r="BL28" s="5"/>
      <c r="BM28" s="5"/>
      <c r="BN28" s="5"/>
      <c r="BO28" s="5"/>
    </row>
    <row r="29">
      <c r="A29" s="5" t="str">
        <f>IFERROR(__xludf.DUMMYFUNCTION("""COMPUTED_VALUE"""),"Shin Usui")</f>
        <v>Shin Usui</v>
      </c>
      <c r="B29" s="5" t="str">
        <f>IFERROR(__xludf.DUMMYFUNCTION("""COMPUTED_VALUE"""),"DH")</f>
        <v>DH</v>
      </c>
      <c r="C29" s="5" t="str">
        <f>IFERROR(__xludf.DUMMYFUNCTION("""COMPUTED_VALUE"""),"Jintei")</f>
        <v>Jintei</v>
      </c>
      <c r="D29" s="5" t="str">
        <f>IFERROR(__xludf.DUMMYFUNCTION("""COMPUTED_VALUE"""),"Test Driver")</f>
        <v>Test Driver</v>
      </c>
      <c r="E29" s="5">
        <f>IFERROR(__xludf.DUMMYFUNCTION("""COMPUTED_VALUE"""),0.006944444444444444)</f>
        <v>0.006944444444</v>
      </c>
      <c r="F29" s="5" t="str">
        <f>IFERROR(__xludf.DUMMYFUNCTION("""COMPUTED_VALUE"""),"AE86T")</f>
        <v>AE86T</v>
      </c>
      <c r="G29" s="5"/>
      <c r="H29" s="5" t="str">
        <f>IFERROR(__xludf.DUMMYFUNCTION("""COMPUTED_VALUE"""),"Sacc")</f>
        <v>Sacc</v>
      </c>
      <c r="I29" s="5" t="str">
        <f>IFERROR(__xludf.DUMMYFUNCTION("""COMPUTED_VALUE"""),"Maze")</f>
        <v>Maze</v>
      </c>
      <c r="J29" s="5" t="str">
        <f>IFERROR(__xludf.DUMMYFUNCTION("""COMPUTED_VALUE"""),"UH")</f>
        <v>UH</v>
      </c>
      <c r="K29" s="5" t="str">
        <f>IFERROR(__xludf.DUMMYFUNCTION("""COMPUTED_VALUE"""),"Jintei")</f>
        <v>Jintei</v>
      </c>
      <c r="L29" s="5" t="str">
        <f>IFERROR(__xludf.DUMMYFUNCTION("""COMPUTED_VALUE"""),"Test Driver")</f>
        <v>Test Driver</v>
      </c>
      <c r="M29" s="5">
        <f>IFERROR(__xludf.DUMMYFUNCTION("""COMPUTED_VALUE"""),0.006944444444444444)</f>
        <v>0.006944444444</v>
      </c>
      <c r="N29" s="5" t="str">
        <f>IFERROR(__xludf.DUMMYFUNCTION("""COMPUTED_VALUE"""),"FD3S (RX7)")</f>
        <v>FD3S (RX7)</v>
      </c>
      <c r="O29" s="5"/>
      <c r="P29" s="5" t="str">
        <f>IFERROR(__xludf.DUMMYFUNCTION("""COMPUTED_VALUE"""),"Sacc")</f>
        <v>Sacc</v>
      </c>
      <c r="Q29" s="67" t="s">
        <v>141</v>
      </c>
      <c r="Y29" s="5"/>
      <c r="Z29" s="5"/>
      <c r="AA29" s="5"/>
      <c r="AB29" s="5"/>
      <c r="AC29" s="5"/>
      <c r="AD29" s="5"/>
      <c r="AE29" s="5"/>
      <c r="AF29" s="5"/>
      <c r="AG29" s="14"/>
      <c r="AH29" s="14"/>
      <c r="AI29" s="14"/>
      <c r="AJ29" s="14"/>
      <c r="AK29" s="14"/>
      <c r="AL29" s="14"/>
      <c r="AM29" s="14"/>
      <c r="AN29" s="14"/>
      <c r="AO29" s="5" t="str">
        <f>IFERROR(__xludf.DUMMYFUNCTION("""COMPUTED_VALUE"""),"Hakone")</f>
        <v>Hakone</v>
      </c>
      <c r="AP29" s="5" t="str">
        <f>IFERROR(__xludf.DUMMYFUNCTION("""COMPUTED_VALUE"""),"UH")</f>
        <v>UH</v>
      </c>
      <c r="AQ29" s="5" t="str">
        <f>IFERROR(__xludf.DUMMYFUNCTION("""COMPUTED_VALUE"""),"Jintei")</f>
        <v>Jintei</v>
      </c>
      <c r="AR29" s="5" t="str">
        <f>IFERROR(__xludf.DUMMYFUNCTION("""COMPUTED_VALUE"""),"Test Driver")</f>
        <v>Test Driver</v>
      </c>
      <c r="AS29" s="5">
        <f>IFERROR(__xludf.DUMMYFUNCTION("""COMPUTED_VALUE"""),0.006944444444444444)</f>
        <v>0.006944444444</v>
      </c>
      <c r="AT29" s="5" t="str">
        <f>IFERROR(__xludf.DUMMYFUNCTION("""COMPUTED_VALUE"""),"991(911 GT3)")</f>
        <v>991(911 GT3)</v>
      </c>
      <c r="AU29" s="5"/>
      <c r="AV29" s="5" t="str">
        <f>IFERROR(__xludf.DUMMYFUNCTION("""COMPUTED_VALUE"""),"Sacc")</f>
        <v>Sacc</v>
      </c>
      <c r="AW29" s="5"/>
      <c r="AX29" s="5"/>
      <c r="AY29" s="5"/>
      <c r="AZ29" s="5"/>
      <c r="BA29" s="5"/>
      <c r="BB29" s="5"/>
      <c r="BC29" s="5"/>
      <c r="BD29" s="5"/>
      <c r="BE29" s="5"/>
      <c r="BF29" s="5"/>
      <c r="BG29" s="5"/>
      <c r="BH29" s="5"/>
      <c r="BI29" s="5"/>
      <c r="BJ29" s="5"/>
      <c r="BK29" s="5"/>
      <c r="BL29" s="5"/>
      <c r="BM29" s="5"/>
      <c r="BN29" s="5"/>
      <c r="BO29" s="5"/>
    </row>
    <row r="30">
      <c r="A30" s="5" t="str">
        <f>IFERROR(__xludf.DUMMYFUNCTION("""COMPUTED_VALUE"""),"Shin Usui")</f>
        <v>Shin Usui</v>
      </c>
      <c r="B30" s="5" t="str">
        <f>IFERROR(__xludf.DUMMYFUNCTION("""COMPUTED_VALUE"""),"UH")</f>
        <v>UH</v>
      </c>
      <c r="C30" s="5" t="str">
        <f>IFERROR(__xludf.DUMMYFUNCTION("""COMPUTED_VALUE"""),"Jintei")</f>
        <v>Jintei</v>
      </c>
      <c r="D30" s="5" t="str">
        <f>IFERROR(__xludf.DUMMYFUNCTION("""COMPUTED_VALUE"""),"Test Driver")</f>
        <v>Test Driver</v>
      </c>
      <c r="E30" s="5">
        <f>IFERROR(__xludf.DUMMYFUNCTION("""COMPUTED_VALUE"""),0.006944444444444444)</f>
        <v>0.006944444444</v>
      </c>
      <c r="F30" s="5" t="str">
        <f>IFERROR(__xludf.DUMMYFUNCTION("""COMPUTED_VALUE"""),"AE86T")</f>
        <v>AE86T</v>
      </c>
      <c r="G30" s="5"/>
      <c r="H30" s="5" t="str">
        <f>IFERROR(__xludf.DUMMYFUNCTION("""COMPUTED_VALUE"""),"Sacc")</f>
        <v>Sacc</v>
      </c>
      <c r="I30" s="5" t="str">
        <f>IFERROR(__xludf.DUMMYFUNCTION("""COMPUTED_VALUE"""),"Happogahara")</f>
        <v>Happogahara</v>
      </c>
      <c r="J30" s="5" t="str">
        <f>IFERROR(__xludf.DUMMYFUNCTION("""COMPUTED_VALUE"""),"IB")</f>
        <v>IB</v>
      </c>
      <c r="K30" s="5" t="str">
        <f>IFERROR(__xludf.DUMMYFUNCTION("""COMPUTED_VALUE"""),"Jintei")</f>
        <v>Jintei</v>
      </c>
      <c r="L30" s="5" t="str">
        <f>IFERROR(__xludf.DUMMYFUNCTION("""COMPUTED_VALUE"""),"Test Driver")</f>
        <v>Test Driver</v>
      </c>
      <c r="M30" s="5">
        <f>IFERROR(__xludf.DUMMYFUNCTION("""COMPUTED_VALUE"""),0.006944444444444444)</f>
        <v>0.006944444444</v>
      </c>
      <c r="N30" s="5" t="str">
        <f>IFERROR(__xludf.DUMMYFUNCTION("""COMPUTED_VALUE"""),"FD3S (RX7)")</f>
        <v>FD3S (RX7)</v>
      </c>
      <c r="O30" s="5"/>
      <c r="P30" s="5" t="str">
        <f>IFERROR(__xludf.DUMMYFUNCTION("""COMPUTED_VALUE"""),"Sacc")</f>
        <v>Sacc</v>
      </c>
      <c r="Q30" s="5" t="str">
        <f>IFERROR(__xludf.DUMMYFUNCTION("LET(
  車輛, Q29,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30" s="5" t="str">
        <f>IFERROR(__xludf.DUMMYFUNCTION("""COMPUTED_VALUE"""),"路線")</f>
        <v>路線</v>
      </c>
      <c r="S30" s="5" t="str">
        <f>IFERROR(__xludf.DUMMYFUNCTION("""COMPUTED_VALUE"""),"作者")</f>
        <v>作者</v>
      </c>
      <c r="T30" s="5" t="str">
        <f>IFERROR(__xludf.DUMMYFUNCTION("""COMPUTED_VALUE"""),"玩家")</f>
        <v>玩家</v>
      </c>
      <c r="U30" s="5" t="str">
        <f>IFERROR(__xludf.DUMMYFUNCTION("""COMPUTED_VALUE"""),"時間")</f>
        <v>時間</v>
      </c>
      <c r="V30" s="5" t="str">
        <f>IFERROR(__xludf.DUMMYFUNCTION("""COMPUTED_VALUE"""),"車輛")</f>
        <v>車輛</v>
      </c>
      <c r="W30" s="5" t="str">
        <f>IFERROR(__xludf.DUMMYFUNCTION("""COMPUTED_VALUE"""),"平台")</f>
        <v>平台</v>
      </c>
      <c r="X30" s="5" t="str">
        <f>IFERROR(__xludf.DUMMYFUNCTION("""COMPUTED_VALUE"""),"系統")</f>
        <v>系統</v>
      </c>
      <c r="Y30" s="5"/>
      <c r="Z30" s="5"/>
      <c r="AA30" s="5"/>
      <c r="AB30" s="5"/>
      <c r="AC30" s="5"/>
      <c r="AD30" s="5"/>
      <c r="AE30" s="5"/>
      <c r="AF30" s="5"/>
      <c r="AG30" s="14"/>
      <c r="AH30" s="14"/>
      <c r="AI30" s="14"/>
      <c r="AJ30" s="14"/>
      <c r="AK30" s="14"/>
      <c r="AL30" s="14"/>
      <c r="AM30" s="14"/>
      <c r="AN30" s="14"/>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row>
    <row r="31">
      <c r="A31" s="5" t="str">
        <f>IFERROR(__xludf.DUMMYFUNCTION("""COMPUTED_VALUE"""),"Shin Myogi")</f>
        <v>Shin Myogi</v>
      </c>
      <c r="B31" s="5" t="str">
        <f>IFERROR(__xludf.DUMMYFUNCTION("""COMPUTED_VALUE"""),"DH")</f>
        <v>DH</v>
      </c>
      <c r="C31" s="5" t="str">
        <f>IFERROR(__xludf.DUMMYFUNCTION("""COMPUTED_VALUE"""),"Jintei")</f>
        <v>Jintei</v>
      </c>
      <c r="D31" s="5" t="str">
        <f>IFERROR(__xludf.DUMMYFUNCTION("""COMPUTED_VALUE"""),"Test Driver")</f>
        <v>Test Driver</v>
      </c>
      <c r="E31" s="5">
        <f>IFERROR(__xludf.DUMMYFUNCTION("""COMPUTED_VALUE"""),0.006944444444444444)</f>
        <v>0.006944444444</v>
      </c>
      <c r="F31" s="5" t="str">
        <f>IFERROR(__xludf.DUMMYFUNCTION("""COMPUTED_VALUE"""),"AE86T")</f>
        <v>AE86T</v>
      </c>
      <c r="G31" s="5"/>
      <c r="H31" s="5" t="str">
        <f>IFERROR(__xludf.DUMMYFUNCTION("""COMPUTED_VALUE"""),"Sacc")</f>
        <v>Sacc</v>
      </c>
      <c r="I31" s="5" t="str">
        <f>IFERROR(__xludf.DUMMYFUNCTION("""COMPUTED_VALUE"""),"Happogahara")</f>
        <v>Happogahara</v>
      </c>
      <c r="J31" s="5" t="str">
        <f>IFERROR(__xludf.DUMMYFUNCTION("""COMPUTED_VALUE"""),"OB")</f>
        <v>OB</v>
      </c>
      <c r="K31" s="5" t="str">
        <f>IFERROR(__xludf.DUMMYFUNCTION("""COMPUTED_VALUE"""),"Jintei")</f>
        <v>Jintei</v>
      </c>
      <c r="L31" s="5" t="str">
        <f>IFERROR(__xludf.DUMMYFUNCTION("""COMPUTED_VALUE"""),"Test Driver")</f>
        <v>Test Driver</v>
      </c>
      <c r="M31" s="5">
        <f>IFERROR(__xludf.DUMMYFUNCTION("""COMPUTED_VALUE"""),0.006944444444444444)</f>
        <v>0.006944444444</v>
      </c>
      <c r="N31" s="5" t="str">
        <f>IFERROR(__xludf.DUMMYFUNCTION("""COMPUTED_VALUE"""),"FD3S (RX7)")</f>
        <v>FD3S (RX7)</v>
      </c>
      <c r="O31" s="5"/>
      <c r="P31" s="5" t="str">
        <f>IFERROR(__xludf.DUMMYFUNCTION("""COMPUTED_VALUE"""),"Sacc")</f>
        <v>Sacc</v>
      </c>
      <c r="Q31" s="5" t="str">
        <f>IFERROR(__xludf.DUMMYFUNCTION("""COMPUTED_VALUE"""),"Tsuchisaka")</f>
        <v>Tsuchisaka</v>
      </c>
      <c r="R31" s="5" t="str">
        <f>IFERROR(__xludf.DUMMYFUNCTION("""COMPUTED_VALUE"""),"DH")</f>
        <v>DH</v>
      </c>
      <c r="S31" s="5" t="str">
        <f>IFERROR(__xludf.DUMMYFUNCTION("""COMPUTED_VALUE"""),"Jintei")</f>
        <v>Jintei</v>
      </c>
      <c r="T31" s="5" t="str">
        <f>IFERROR(__xludf.DUMMYFUNCTION("""COMPUTED_VALUE"""),"Test Driver")</f>
        <v>Test Driver</v>
      </c>
      <c r="U31" s="5">
        <f>IFERROR(__xludf.DUMMYFUNCTION("""COMPUTED_VALUE"""),0.006944444444444444)</f>
        <v>0.006944444444</v>
      </c>
      <c r="V31" s="5" t="str">
        <f>IFERROR(__xludf.DUMMYFUNCTION("""COMPUTED_VALUE"""),"EVOV/CP9A")</f>
        <v>EVOV/CP9A</v>
      </c>
      <c r="W31" s="5"/>
      <c r="X31" s="5" t="str">
        <f>IFERROR(__xludf.DUMMYFUNCTION("""COMPUTED_VALUE"""),"Sacc")</f>
        <v>Sacc</v>
      </c>
      <c r="Y31" s="5"/>
      <c r="Z31" s="5"/>
      <c r="AA31" s="5"/>
      <c r="AB31" s="5"/>
      <c r="AC31" s="5"/>
      <c r="AD31" s="5"/>
      <c r="AE31" s="5"/>
      <c r="AF31" s="5"/>
      <c r="AG31" s="14"/>
      <c r="AH31" s="14"/>
      <c r="AI31" s="14"/>
      <c r="AJ31" s="14"/>
      <c r="AK31" s="14"/>
      <c r="AL31" s="14"/>
      <c r="AM31" s="14"/>
      <c r="AN31" s="14"/>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c r="A32" s="5" t="str">
        <f>IFERROR(__xludf.DUMMYFUNCTION("""COMPUTED_VALUE"""),"Shin Myogi")</f>
        <v>Shin Myogi</v>
      </c>
      <c r="B32" s="5" t="str">
        <f>IFERROR(__xludf.DUMMYFUNCTION("""COMPUTED_VALUE"""),"UH")</f>
        <v>UH</v>
      </c>
      <c r="C32" s="5" t="str">
        <f>IFERROR(__xludf.DUMMYFUNCTION("""COMPUTED_VALUE"""),"Jintei")</f>
        <v>Jintei</v>
      </c>
      <c r="D32" s="5" t="str">
        <f>IFERROR(__xludf.DUMMYFUNCTION("""COMPUTED_VALUE"""),"Test Driver")</f>
        <v>Test Driver</v>
      </c>
      <c r="E32" s="5">
        <f>IFERROR(__xludf.DUMMYFUNCTION("""COMPUTED_VALUE"""),0.006944444444444444)</f>
        <v>0.006944444444</v>
      </c>
      <c r="F32" s="5" t="str">
        <f>IFERROR(__xludf.DUMMYFUNCTION("""COMPUTED_VALUE"""),"AE86T")</f>
        <v>AE86T</v>
      </c>
      <c r="G32" s="5"/>
      <c r="H32" s="5" t="str">
        <f>IFERROR(__xludf.DUMMYFUNCTION("""COMPUTED_VALUE"""),"Sacc")</f>
        <v>Sacc</v>
      </c>
      <c r="I32" s="5" t="str">
        <f>IFERROR(__xludf.DUMMYFUNCTION("""COMPUTED_VALUE"""),"Happogahara")</f>
        <v>Happogahara</v>
      </c>
      <c r="J32" s="5" t="str">
        <f>IFERROR(__xludf.DUMMYFUNCTION("""COMPUTED_VALUE"""),"Double")</f>
        <v>Double</v>
      </c>
      <c r="K32" s="5" t="str">
        <f>IFERROR(__xludf.DUMMYFUNCTION("""COMPUTED_VALUE"""),"Jintei")</f>
        <v>Jintei</v>
      </c>
      <c r="L32" s="5" t="str">
        <f>IFERROR(__xludf.DUMMYFUNCTION("""COMPUTED_VALUE"""),"Test Driver")</f>
        <v>Test Driver</v>
      </c>
      <c r="M32" s="5">
        <f>IFERROR(__xludf.DUMMYFUNCTION("""COMPUTED_VALUE"""),0.006944444444444444)</f>
        <v>0.006944444444</v>
      </c>
      <c r="N32" s="5" t="str">
        <f>IFERROR(__xludf.DUMMYFUNCTION("""COMPUTED_VALUE"""),"FD3S (RX7)")</f>
        <v>FD3S (RX7)</v>
      </c>
      <c r="O32" s="5"/>
      <c r="P32" s="5" t="str">
        <f>IFERROR(__xludf.DUMMYFUNCTION("""COMPUTED_VALUE"""),"Sacc")</f>
        <v>Sacc</v>
      </c>
      <c r="Q32" s="5" t="str">
        <f>IFERROR(__xludf.DUMMYFUNCTION("""COMPUTED_VALUE"""),"Tsuchisaka")</f>
        <v>Tsuchisaka</v>
      </c>
      <c r="R32" s="5" t="str">
        <f>IFERROR(__xludf.DUMMYFUNCTION("""COMPUTED_VALUE"""),"UH")</f>
        <v>UH</v>
      </c>
      <c r="S32" s="5" t="str">
        <f>IFERROR(__xludf.DUMMYFUNCTION("""COMPUTED_VALUE"""),"Jintei")</f>
        <v>Jintei</v>
      </c>
      <c r="T32" s="5" t="str">
        <f>IFERROR(__xludf.DUMMYFUNCTION("""COMPUTED_VALUE"""),"Test Driver")</f>
        <v>Test Driver</v>
      </c>
      <c r="U32" s="5">
        <f>IFERROR(__xludf.DUMMYFUNCTION("""COMPUTED_VALUE"""),0.006944444444444444)</f>
        <v>0.006944444444</v>
      </c>
      <c r="V32" s="5" t="str">
        <f>IFERROR(__xludf.DUMMYFUNCTION("""COMPUTED_VALUE"""),"EVOV/CP9A")</f>
        <v>EVOV/CP9A</v>
      </c>
      <c r="W32" s="5"/>
      <c r="X32" s="5" t="str">
        <f>IFERROR(__xludf.DUMMYFUNCTION("""COMPUTED_VALUE"""),"Sacc")</f>
        <v>Sacc</v>
      </c>
      <c r="Y32" s="5"/>
      <c r="Z32" s="5"/>
      <c r="AA32" s="5"/>
      <c r="AB32" s="5"/>
      <c r="AC32" s="5"/>
      <c r="AD32" s="5"/>
      <c r="AE32" s="5"/>
      <c r="AF32" s="5"/>
      <c r="AG32" s="68" t="s">
        <v>142</v>
      </c>
      <c r="AO32" s="67" t="s">
        <v>143</v>
      </c>
      <c r="AW32" s="67" t="s">
        <v>144</v>
      </c>
      <c r="BE32" s="67"/>
      <c r="BF32" s="67"/>
      <c r="BG32" s="67"/>
      <c r="BH32" s="67"/>
      <c r="BI32" s="67"/>
      <c r="BJ32" s="67"/>
      <c r="BK32" s="67"/>
      <c r="BL32" s="67"/>
      <c r="BM32" s="67"/>
      <c r="BN32" s="67"/>
      <c r="BO32" s="67"/>
    </row>
    <row r="33">
      <c r="A33" s="5" t="str">
        <f>IFERROR(__xludf.DUMMYFUNCTION("""COMPUTED_VALUE"""),"Nagao")</f>
        <v>Nagao</v>
      </c>
      <c r="B33" s="5" t="str">
        <f>IFERROR(__xludf.DUMMYFUNCTION("""COMPUTED_VALUE"""),"DH")</f>
        <v>DH</v>
      </c>
      <c r="C33" s="5" t="str">
        <f>IFERROR(__xludf.DUMMYFUNCTION("""COMPUTED_VALUE"""),"Jintei")</f>
        <v>Jintei</v>
      </c>
      <c r="D33" s="5" t="str">
        <f>IFERROR(__xludf.DUMMYFUNCTION("""COMPUTED_VALUE"""),"Test Driver")</f>
        <v>Test Driver</v>
      </c>
      <c r="E33" s="5">
        <f>IFERROR(__xludf.DUMMYFUNCTION("""COMPUTED_VALUE"""),0.006944444444444444)</f>
        <v>0.006944444444</v>
      </c>
      <c r="F33" s="5" t="str">
        <f>IFERROR(__xludf.DUMMYFUNCTION("""COMPUTED_VALUE"""),"AE86T")</f>
        <v>AE86T</v>
      </c>
      <c r="G33" s="5"/>
      <c r="H33" s="5" t="str">
        <f>IFERROR(__xludf.DUMMYFUNCTION("""COMPUTED_VALUE"""),"Sacc")</f>
        <v>Sacc</v>
      </c>
      <c r="I33" s="5" t="str">
        <f>IFERROR(__xludf.DUMMYFUNCTION("""COMPUTED_VALUE"""),"Mt.Hakone")</f>
        <v>Mt.Hakone</v>
      </c>
      <c r="J33" s="5" t="str">
        <f>IFERROR(__xludf.DUMMYFUNCTION("""COMPUTED_VALUE"""),"OB")</f>
        <v>OB</v>
      </c>
      <c r="K33" s="5" t="str">
        <f>IFERROR(__xludf.DUMMYFUNCTION("""COMPUTED_VALUE"""),"Jintei")</f>
        <v>Jintei</v>
      </c>
      <c r="L33" s="5" t="str">
        <f>IFERROR(__xludf.DUMMYFUNCTION("""COMPUTED_VALUE"""),"Test Driver")</f>
        <v>Test Driver</v>
      </c>
      <c r="M33" s="5">
        <f>IFERROR(__xludf.DUMMYFUNCTION("""COMPUTED_VALUE"""),0.006944444444444444)</f>
        <v>0.006944444444</v>
      </c>
      <c r="N33" s="5" t="str">
        <f>IFERROR(__xludf.DUMMYFUNCTION("""COMPUTED_VALUE"""),"FD3S (RX7)")</f>
        <v>FD3S (RX7)</v>
      </c>
      <c r="O33" s="5"/>
      <c r="P33" s="5" t="str">
        <f>IFERROR(__xludf.DUMMYFUNCTION("""COMPUTED_VALUE"""),"Sacc")</f>
        <v>Sacc</v>
      </c>
      <c r="Q33" s="5" t="str">
        <f>IFERROR(__xludf.DUMMYFUNCTION("""COMPUTED_VALUE"""),"Tsuchisaka")</f>
        <v>Tsuchisaka</v>
      </c>
      <c r="R33" s="5" t="str">
        <f>IFERROR(__xludf.DUMMYFUNCTION("""COMPUTED_VALUE"""),"IB")</f>
        <v>IB</v>
      </c>
      <c r="S33" s="5" t="str">
        <f>IFERROR(__xludf.DUMMYFUNCTION("""COMPUTED_VALUE"""),"Jintei")</f>
        <v>Jintei</v>
      </c>
      <c r="T33" s="5" t="str">
        <f>IFERROR(__xludf.DUMMYFUNCTION("""COMPUTED_VALUE"""),"Test Driver")</f>
        <v>Test Driver</v>
      </c>
      <c r="U33" s="5">
        <f>IFERROR(__xludf.DUMMYFUNCTION("""COMPUTED_VALUE"""),0.006944444444444444)</f>
        <v>0.006944444444</v>
      </c>
      <c r="V33" s="5" t="str">
        <f>IFERROR(__xludf.DUMMYFUNCTION("""COMPUTED_VALUE"""),"EVOV/CP9A")</f>
        <v>EVOV/CP9A</v>
      </c>
      <c r="W33" s="5"/>
      <c r="X33" s="5" t="str">
        <f>IFERROR(__xludf.DUMMYFUNCTION("""COMPUTED_VALUE"""),"Sacc")</f>
        <v>Sacc</v>
      </c>
      <c r="Y33" s="67" t="s">
        <v>145</v>
      </c>
      <c r="AG33" s="14" t="str">
        <f>IFERROR(__xludf.DUMMYFUNCTION("LET(
  車輛, AG32,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H33" s="14" t="str">
        <f>IFERROR(__xludf.DUMMYFUNCTION("""COMPUTED_VALUE"""),"路線")</f>
        <v>路線</v>
      </c>
      <c r="AI33" s="14" t="str">
        <f>IFERROR(__xludf.DUMMYFUNCTION("""COMPUTED_VALUE"""),"作者")</f>
        <v>作者</v>
      </c>
      <c r="AJ33" s="14" t="str">
        <f>IFERROR(__xludf.DUMMYFUNCTION("""COMPUTED_VALUE"""),"玩家")</f>
        <v>玩家</v>
      </c>
      <c r="AK33" s="14" t="str">
        <f>IFERROR(__xludf.DUMMYFUNCTION("""COMPUTED_VALUE"""),"時間")</f>
        <v>時間</v>
      </c>
      <c r="AL33" s="14" t="str">
        <f>IFERROR(__xludf.DUMMYFUNCTION("""COMPUTED_VALUE"""),"車輛")</f>
        <v>車輛</v>
      </c>
      <c r="AM33" s="14" t="str">
        <f>IFERROR(__xludf.DUMMYFUNCTION("""COMPUTED_VALUE"""),"平台")</f>
        <v>平台</v>
      </c>
      <c r="AN33" s="14" t="str">
        <f>IFERROR(__xludf.DUMMYFUNCTION("""COMPUTED_VALUE"""),"系統")</f>
        <v>系統</v>
      </c>
      <c r="AO33" s="5" t="str">
        <f>IFERROR(__xludf.DUMMYFUNCTION("LET(
  車輛, AO32,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P33" s="5" t="str">
        <f>IFERROR(__xludf.DUMMYFUNCTION("""COMPUTED_VALUE"""),"路線")</f>
        <v>路線</v>
      </c>
      <c r="AQ33" s="5" t="str">
        <f>IFERROR(__xludf.DUMMYFUNCTION("""COMPUTED_VALUE"""),"作者")</f>
        <v>作者</v>
      </c>
      <c r="AR33" s="5" t="str">
        <f>IFERROR(__xludf.DUMMYFUNCTION("""COMPUTED_VALUE"""),"玩家")</f>
        <v>玩家</v>
      </c>
      <c r="AS33" s="5" t="str">
        <f>IFERROR(__xludf.DUMMYFUNCTION("""COMPUTED_VALUE"""),"時間")</f>
        <v>時間</v>
      </c>
      <c r="AT33" s="5" t="str">
        <f>IFERROR(__xludf.DUMMYFUNCTION("""COMPUTED_VALUE"""),"車輛")</f>
        <v>車輛</v>
      </c>
      <c r="AU33" s="5" t="str">
        <f>IFERROR(__xludf.DUMMYFUNCTION("""COMPUTED_VALUE"""),"平台")</f>
        <v>平台</v>
      </c>
      <c r="AV33" s="5" t="str">
        <f>IFERROR(__xludf.DUMMYFUNCTION("""COMPUTED_VALUE"""),"系統")</f>
        <v>系統</v>
      </c>
      <c r="AW33" s="5" t="str">
        <f>IFERROR(__xludf.DUMMYFUNCTION("LET(
  車輛, AW32,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33" s="5" t="str">
        <f>IFERROR(__xludf.DUMMYFUNCTION("""COMPUTED_VALUE"""),"路線")</f>
        <v>路線</v>
      </c>
      <c r="AY33" s="5" t="str">
        <f>IFERROR(__xludf.DUMMYFUNCTION("""COMPUTED_VALUE"""),"作者")</f>
        <v>作者</v>
      </c>
      <c r="AZ33" s="5" t="str">
        <f>IFERROR(__xludf.DUMMYFUNCTION("""COMPUTED_VALUE"""),"玩家")</f>
        <v>玩家</v>
      </c>
      <c r="BA33" s="5" t="str">
        <f>IFERROR(__xludf.DUMMYFUNCTION("""COMPUTED_VALUE"""),"時間")</f>
        <v>時間</v>
      </c>
      <c r="BB33" s="5" t="str">
        <f>IFERROR(__xludf.DUMMYFUNCTION("""COMPUTED_VALUE"""),"車輛")</f>
        <v>車輛</v>
      </c>
      <c r="BC33" s="5" t="str">
        <f>IFERROR(__xludf.DUMMYFUNCTION("""COMPUTED_VALUE"""),"平台")</f>
        <v>平台</v>
      </c>
      <c r="BD33" s="5" t="str">
        <f>IFERROR(__xludf.DUMMYFUNCTION("""COMPUTED_VALUE"""),"系統")</f>
        <v>系統</v>
      </c>
      <c r="BE33" s="5"/>
      <c r="BF33" s="5"/>
      <c r="BG33" s="5"/>
      <c r="BH33" s="5"/>
      <c r="BI33" s="5"/>
      <c r="BJ33" s="5"/>
      <c r="BK33" s="5"/>
      <c r="BL33" s="5"/>
      <c r="BM33" s="5"/>
      <c r="BN33" s="5"/>
      <c r="BO33" s="5"/>
    </row>
    <row r="34">
      <c r="A34" s="5" t="str">
        <f>IFERROR(__xludf.DUMMYFUNCTION("""COMPUTED_VALUE"""),"Nagao")</f>
        <v>Nagao</v>
      </c>
      <c r="B34" s="5" t="str">
        <f>IFERROR(__xludf.DUMMYFUNCTION("""COMPUTED_VALUE"""),"UH")</f>
        <v>UH</v>
      </c>
      <c r="C34" s="5" t="str">
        <f>IFERROR(__xludf.DUMMYFUNCTION("""COMPUTED_VALUE"""),"Jintei")</f>
        <v>Jintei</v>
      </c>
      <c r="D34" s="5" t="str">
        <f>IFERROR(__xludf.DUMMYFUNCTION("""COMPUTED_VALUE"""),"Test Driver")</f>
        <v>Test Driver</v>
      </c>
      <c r="E34" s="5">
        <f>IFERROR(__xludf.DUMMYFUNCTION("""COMPUTED_VALUE"""),0.006944444444444444)</f>
        <v>0.006944444444</v>
      </c>
      <c r="F34" s="5" t="str">
        <f>IFERROR(__xludf.DUMMYFUNCTION("""COMPUTED_VALUE"""),"AE86T")</f>
        <v>AE86T</v>
      </c>
      <c r="G34" s="5"/>
      <c r="H34" s="5" t="str">
        <f>IFERROR(__xludf.DUMMYFUNCTION("""COMPUTED_VALUE"""),"Sacc")</f>
        <v>Sacc</v>
      </c>
      <c r="I34" s="67" t="s">
        <v>146</v>
      </c>
      <c r="Q34" s="5" t="str">
        <f>IFERROR(__xludf.DUMMYFUNCTION("""COMPUTED_VALUE"""),"Tsuchisaka")</f>
        <v>Tsuchisaka</v>
      </c>
      <c r="R34" s="5" t="str">
        <f>IFERROR(__xludf.DUMMYFUNCTION("""COMPUTED_VALUE"""),"OB")</f>
        <v>OB</v>
      </c>
      <c r="S34" s="5" t="str">
        <f>IFERROR(__xludf.DUMMYFUNCTION("""COMPUTED_VALUE"""),"Jintei")</f>
        <v>Jintei</v>
      </c>
      <c r="T34" s="5" t="str">
        <f>IFERROR(__xludf.DUMMYFUNCTION("""COMPUTED_VALUE"""),"Test Driver")</f>
        <v>Test Driver</v>
      </c>
      <c r="U34" s="5">
        <f>IFERROR(__xludf.DUMMYFUNCTION("""COMPUTED_VALUE"""),0.006944444444444444)</f>
        <v>0.006944444444</v>
      </c>
      <c r="V34" s="5" t="str">
        <f>IFERROR(__xludf.DUMMYFUNCTION("""COMPUTED_VALUE"""),"EVOV/CP9A")</f>
        <v>EVOV/CP9A</v>
      </c>
      <c r="W34" s="5"/>
      <c r="X34" s="5" t="str">
        <f>IFERROR(__xludf.DUMMYFUNCTION("""COMPUTED_VALUE"""),"Sacc")</f>
        <v>Sacc</v>
      </c>
      <c r="Y34" s="5" t="str">
        <f>IFERROR(__xludf.DUMMYFUNCTION("LET(
  車輛, Y33,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34" s="5" t="str">
        <f>IFERROR(__xludf.DUMMYFUNCTION("""COMPUTED_VALUE"""),"路線")</f>
        <v>路線</v>
      </c>
      <c r="AA34" s="5" t="str">
        <f>IFERROR(__xludf.DUMMYFUNCTION("""COMPUTED_VALUE"""),"作者")</f>
        <v>作者</v>
      </c>
      <c r="AB34" s="5" t="str">
        <f>IFERROR(__xludf.DUMMYFUNCTION("""COMPUTED_VALUE"""),"玩家")</f>
        <v>玩家</v>
      </c>
      <c r="AC34" s="5" t="str">
        <f>IFERROR(__xludf.DUMMYFUNCTION("""COMPUTED_VALUE"""),"時間")</f>
        <v>時間</v>
      </c>
      <c r="AD34" s="5" t="str">
        <f>IFERROR(__xludf.DUMMYFUNCTION("""COMPUTED_VALUE"""),"車輛")</f>
        <v>車輛</v>
      </c>
      <c r="AE34" s="5" t="str">
        <f>IFERROR(__xludf.DUMMYFUNCTION("""COMPUTED_VALUE"""),"平台")</f>
        <v>平台</v>
      </c>
      <c r="AF34" s="5" t="str">
        <f>IFERROR(__xludf.DUMMYFUNCTION("""COMPUTED_VALUE"""),"系統")</f>
        <v>系統</v>
      </c>
      <c r="AG34" s="69" t="str">
        <f>IFERROR(__xludf.DUMMYFUNCTION("""COMPUTED_VALUE"""),"Silverstone")</f>
        <v>Silverstone</v>
      </c>
      <c r="AH34" s="69"/>
      <c r="AI34" s="69" t="str">
        <f>IFERROR(__xludf.DUMMYFUNCTION("""COMPUTED_VALUE"""),"Aiden1408")</f>
        <v>Aiden1408</v>
      </c>
      <c r="AJ34" s="69" t="str">
        <f>IFERROR(__xludf.DUMMYFUNCTION("""COMPUTED_VALUE"""),"windnight5")</f>
        <v>windnight5</v>
      </c>
      <c r="AK34" s="69">
        <f>IFERROR(__xludf.DUMMYFUNCTION("""COMPUTED_VALUE"""),8.942592592592591E-4)</f>
        <v>0.0008942592593</v>
      </c>
      <c r="AL34" s="69" t="str">
        <f>IFERROR(__xludf.DUMMYFUNCTION("""COMPUTED_VALUE"""),"e45")</f>
        <v>e45</v>
      </c>
      <c r="AM34" s="69" t="str">
        <f>IFERROR(__xludf.DUMMYFUNCTION("""COMPUTED_VALUE"""),"PCVR")</f>
        <v>PCVR</v>
      </c>
      <c r="AN34" s="69" t="str">
        <f>IFERROR(__xludf.DUMMYFUNCTION("""COMPUTED_VALUE"""),"CVS")</f>
        <v>CVS</v>
      </c>
      <c r="AO34" s="5" t="str">
        <f>IFERROR(__xludf.DUMMYFUNCTION("""COMPUTED_VALUE"""),"Odawara")</f>
        <v>Odawara</v>
      </c>
      <c r="AP34" s="5" t="str">
        <f>IFERROR(__xludf.DUMMYFUNCTION("""COMPUTED_VALUE"""),"CW")</f>
        <v>CW</v>
      </c>
      <c r="AQ34" s="5" t="str">
        <f>IFERROR(__xludf.DUMMYFUNCTION("""COMPUTED_VALUE"""),"Jintei")</f>
        <v>Jintei</v>
      </c>
      <c r="AR34" s="5" t="str">
        <f>IFERROR(__xludf.DUMMYFUNCTION("""COMPUTED_VALUE"""),"アビドサスヒカリ")</f>
        <v>アビドサスヒカリ</v>
      </c>
      <c r="AS34" s="5">
        <f>IFERROR(__xludf.DUMMYFUNCTION("""COMPUTED_VALUE"""),0.002932465277777778)</f>
        <v>0.002932465278</v>
      </c>
      <c r="AT34" s="5" t="str">
        <f>IFERROR(__xludf.DUMMYFUNCTION("""COMPUTED_VALUE"""),"982(718Cayman)")</f>
        <v>982(718Cayman)</v>
      </c>
      <c r="AU34" s="5" t="str">
        <f>IFERROR(__xludf.DUMMYFUNCTION("""COMPUTED_VALUE"""),"PC")</f>
        <v>PC</v>
      </c>
      <c r="AV34" s="5" t="str">
        <f>IFERROR(__xludf.DUMMYFUNCTION("""COMPUTED_VALUE"""),"Sacc")</f>
        <v>Sacc</v>
      </c>
      <c r="AW34" s="5" t="str">
        <f>IFERROR(__xludf.DUMMYFUNCTION("""COMPUTED_VALUE"""),"Momiji")</f>
        <v>Momiji</v>
      </c>
      <c r="AX34" s="5" t="str">
        <f>IFERROR(__xludf.DUMMYFUNCTION("""COMPUTED_VALUE"""),"DH")</f>
        <v>DH</v>
      </c>
      <c r="AY34" s="5" t="str">
        <f>IFERROR(__xludf.DUMMYFUNCTION("""COMPUTED_VALUE"""),"FoxBG")</f>
        <v>FoxBG</v>
      </c>
      <c r="AZ34" s="5" t="str">
        <f>IFERROR(__xludf.DUMMYFUNCTION("""COMPUTED_VALUE"""),"MrValentine")</f>
        <v>MrValentine</v>
      </c>
      <c r="BA34" s="5">
        <f>IFERROR(__xludf.DUMMYFUNCTION("""COMPUTED_VALUE"""),0.0078115393518518525)</f>
        <v>0.007811539352</v>
      </c>
      <c r="BB34" s="5" t="str">
        <f>IFERROR(__xludf.DUMMYFUNCTION("""COMPUTED_VALUE"""),"Comet Custom")</f>
        <v>Comet Custom</v>
      </c>
      <c r="BC34" s="5" t="str">
        <f>IFERROR(__xludf.DUMMYFUNCTION("""COMPUTED_VALUE"""),"PC")</f>
        <v>PC</v>
      </c>
      <c r="BD34" s="5" t="str">
        <f>IFERROR(__xludf.DUMMYFUNCTION("""COMPUTED_VALUE"""),"CVS")</f>
        <v>CVS</v>
      </c>
      <c r="BE34" s="5"/>
      <c r="BF34" s="5"/>
      <c r="BG34" s="5"/>
      <c r="BH34" s="5"/>
      <c r="BI34" s="5"/>
      <c r="BJ34" s="5"/>
      <c r="BK34" s="5"/>
      <c r="BL34" s="5"/>
      <c r="BM34" s="5"/>
      <c r="BN34" s="5"/>
      <c r="BO34" s="5"/>
    </row>
    <row r="35">
      <c r="A35" s="5" t="str">
        <f>IFERROR(__xludf.DUMMYFUNCTION("""COMPUTED_VALUE"""),"Maze")</f>
        <v>Maze</v>
      </c>
      <c r="B35" s="5" t="str">
        <f>IFERROR(__xludf.DUMMYFUNCTION("""COMPUTED_VALUE"""),"DH")</f>
        <v>DH</v>
      </c>
      <c r="C35" s="5" t="str">
        <f>IFERROR(__xludf.DUMMYFUNCTION("""COMPUTED_VALUE"""),"Jintei")</f>
        <v>Jintei</v>
      </c>
      <c r="D35" s="5" t="str">
        <f>IFERROR(__xludf.DUMMYFUNCTION("""COMPUTED_VALUE"""),"Test Driver")</f>
        <v>Test Driver</v>
      </c>
      <c r="E35" s="5">
        <f>IFERROR(__xludf.DUMMYFUNCTION("""COMPUTED_VALUE"""),0.006944444444444444)</f>
        <v>0.006944444444</v>
      </c>
      <c r="F35" s="5" t="str">
        <f>IFERROR(__xludf.DUMMYFUNCTION("""COMPUTED_VALUE"""),"AE86T")</f>
        <v>AE86T</v>
      </c>
      <c r="G35" s="5"/>
      <c r="H35" s="5" t="str">
        <f>IFERROR(__xludf.DUMMYFUNCTION("""COMPUTED_VALUE"""),"Sacc")</f>
        <v>Sacc</v>
      </c>
      <c r="I35" s="5" t="str">
        <f>IFERROR(__xludf.DUMMYFUNCTION("LET(
  車輛, I34,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J35" s="5" t="str">
        <f>IFERROR(__xludf.DUMMYFUNCTION("""COMPUTED_VALUE"""),"路線")</f>
        <v>路線</v>
      </c>
      <c r="K35" s="5" t="str">
        <f>IFERROR(__xludf.DUMMYFUNCTION("""COMPUTED_VALUE"""),"作者")</f>
        <v>作者</v>
      </c>
      <c r="L35" s="5" t="str">
        <f>IFERROR(__xludf.DUMMYFUNCTION("""COMPUTED_VALUE"""),"玩家")</f>
        <v>玩家</v>
      </c>
      <c r="M35" s="5" t="str">
        <f>IFERROR(__xludf.DUMMYFUNCTION("""COMPUTED_VALUE"""),"時間")</f>
        <v>時間</v>
      </c>
      <c r="N35" s="5" t="str">
        <f>IFERROR(__xludf.DUMMYFUNCTION("""COMPUTED_VALUE"""),"車輛")</f>
        <v>車輛</v>
      </c>
      <c r="O35" s="5" t="str">
        <f>IFERROR(__xludf.DUMMYFUNCTION("""COMPUTED_VALUE"""),"平台")</f>
        <v>平台</v>
      </c>
      <c r="P35" s="5" t="str">
        <f>IFERROR(__xludf.DUMMYFUNCTION("""COMPUTED_VALUE"""),"系統")</f>
        <v>系統</v>
      </c>
      <c r="Q35" s="5"/>
      <c r="R35" s="5"/>
      <c r="S35" s="5"/>
      <c r="T35" s="5"/>
      <c r="U35" s="5"/>
      <c r="V35" s="5"/>
      <c r="W35" s="5"/>
      <c r="X35" s="5"/>
      <c r="Y35" s="5" t="str">
        <f>IFERROR(__xludf.DUMMYFUNCTION("""COMPUTED_VALUE"""),"Tsukuba")</f>
        <v>Tsukuba</v>
      </c>
      <c r="Z35" s="5" t="str">
        <f>IFERROR(__xludf.DUMMYFUNCTION("""COMPUTED_VALUE"""),"Double")</f>
        <v>Double</v>
      </c>
      <c r="AA35" s="5" t="str">
        <f>IFERROR(__xludf.DUMMYFUNCTION("""COMPUTED_VALUE"""),"Jintei")</f>
        <v>Jintei</v>
      </c>
      <c r="AB35" s="5" t="str">
        <f>IFERROR(__xludf.DUMMYFUNCTION("""COMPUTED_VALUE"""),"StarRiver Arts")</f>
        <v>StarRiver Arts</v>
      </c>
      <c r="AC35" s="5">
        <f>IFERROR(__xludf.DUMMYFUNCTION("""COMPUTED_VALUE"""),0.0025958680555555557)</f>
        <v>0.002595868056</v>
      </c>
      <c r="AD35" s="5" t="str">
        <f>IFERROR(__xludf.DUMMYFUNCTION("""COMPUTED_VALUE"""),"BNR34")</f>
        <v>BNR34</v>
      </c>
      <c r="AE35" s="5" t="str">
        <f>IFERROR(__xludf.DUMMYFUNCTION("""COMPUTED_VALUE"""),"PC")</f>
        <v>PC</v>
      </c>
      <c r="AF35" s="5" t="str">
        <f>IFERROR(__xludf.DUMMYFUNCTION("""COMPUTED_VALUE"""),"Sacc")</f>
        <v>Sacc</v>
      </c>
      <c r="AG35" s="14"/>
      <c r="AH35" s="14"/>
      <c r="AI35" s="14"/>
      <c r="AJ35" s="14"/>
      <c r="AK35" s="14"/>
      <c r="AL35" s="14"/>
      <c r="AM35" s="14"/>
      <c r="AN35" s="14"/>
      <c r="AO35" s="5" t="str">
        <f>IFERROR(__xludf.DUMMYFUNCTION("""COMPUTED_VALUE"""),"Odawara")</f>
        <v>Odawara</v>
      </c>
      <c r="AP35" s="5" t="str">
        <f>IFERROR(__xludf.DUMMYFUNCTION("""COMPUTED_VALUE"""),"CC")</f>
        <v>CC</v>
      </c>
      <c r="AQ35" s="5" t="str">
        <f>IFERROR(__xludf.DUMMYFUNCTION("""COMPUTED_VALUE"""),"Jintei")</f>
        <v>Jintei</v>
      </c>
      <c r="AR35" s="5" t="str">
        <f>IFERROR(__xludf.DUMMYFUNCTION("""COMPUTED_VALUE"""),"Redfrogss")</f>
        <v>Redfrogss</v>
      </c>
      <c r="AS35" s="5">
        <f>IFERROR(__xludf.DUMMYFUNCTION("""COMPUTED_VALUE"""),0.0034928587962962964)</f>
        <v>0.003492858796</v>
      </c>
      <c r="AT35" s="5" t="str">
        <f>IFERROR(__xludf.DUMMYFUNCTION("""COMPUTED_VALUE"""),"982(718Cayman)")</f>
        <v>982(718Cayman)</v>
      </c>
      <c r="AU35" s="5" t="str">
        <f>IFERROR(__xludf.DUMMYFUNCTION("""COMPUTED_VALUE"""),"PCVR")</f>
        <v>PCVR</v>
      </c>
      <c r="AV35" s="5" t="str">
        <f>IFERROR(__xludf.DUMMYFUNCTION("""COMPUTED_VALUE"""),"Sacc")</f>
        <v>Sacc</v>
      </c>
      <c r="AW35" s="5" t="str">
        <f>IFERROR(__xludf.DUMMYFUNCTION("""COMPUTED_VALUE"""),"Nagao")</f>
        <v>Nagao</v>
      </c>
      <c r="AX35" s="5" t="str">
        <f>IFERROR(__xludf.DUMMYFUNCTION("""COMPUTED_VALUE"""),"DH")</f>
        <v>DH</v>
      </c>
      <c r="AY35" s="5" t="str">
        <f>IFERROR(__xludf.DUMMYFUNCTION("""COMPUTED_VALUE"""),"FoxBG")</f>
        <v>FoxBG</v>
      </c>
      <c r="AZ35" s="5" t="str">
        <f>IFERROR(__xludf.DUMMYFUNCTION("""COMPUTED_VALUE"""),"Test Driver")</f>
        <v>Test Driver</v>
      </c>
      <c r="BA35" s="5">
        <f>IFERROR(__xludf.DUMMYFUNCTION("""COMPUTED_VALUE"""),0.006944444444444444)</f>
        <v>0.006944444444</v>
      </c>
      <c r="BB35" s="5" t="str">
        <f>IFERROR(__xludf.DUMMYFUNCTION("""COMPUTED_VALUE"""),"Comet Custom")</f>
        <v>Comet Custom</v>
      </c>
      <c r="BC35" s="5"/>
      <c r="BD35" s="5" t="str">
        <f>IFERROR(__xludf.DUMMYFUNCTION("""COMPUTED_VALUE"""),"CVS")</f>
        <v>CVS</v>
      </c>
      <c r="BE35" s="5"/>
      <c r="BF35" s="5"/>
      <c r="BG35" s="5"/>
      <c r="BH35" s="5"/>
      <c r="BI35" s="5"/>
      <c r="BJ35" s="5"/>
      <c r="BK35" s="5"/>
      <c r="BL35" s="5"/>
      <c r="BM35" s="5"/>
      <c r="BN35" s="5"/>
      <c r="BO35" s="5"/>
    </row>
    <row r="36">
      <c r="A36" s="5" t="str">
        <f>IFERROR(__xludf.DUMMYFUNCTION("""COMPUTED_VALUE"""),"Maze")</f>
        <v>Maze</v>
      </c>
      <c r="B36" s="5" t="str">
        <f>IFERROR(__xludf.DUMMYFUNCTION("""COMPUTED_VALUE"""),"UH")</f>
        <v>UH</v>
      </c>
      <c r="C36" s="5" t="str">
        <f>IFERROR(__xludf.DUMMYFUNCTION("""COMPUTED_VALUE"""),"Jintei")</f>
        <v>Jintei</v>
      </c>
      <c r="D36" s="5" t="str">
        <f>IFERROR(__xludf.DUMMYFUNCTION("""COMPUTED_VALUE"""),"Test Driver")</f>
        <v>Test Driver</v>
      </c>
      <c r="E36" s="5">
        <f>IFERROR(__xludf.DUMMYFUNCTION("""COMPUTED_VALUE"""),0.006944444444444444)</f>
        <v>0.006944444444</v>
      </c>
      <c r="F36" s="5" t="str">
        <f>IFERROR(__xludf.DUMMYFUNCTION("""COMPUTED_VALUE"""),"AE86T")</f>
        <v>AE86T</v>
      </c>
      <c r="G36" s="5"/>
      <c r="H36" s="5" t="str">
        <f>IFERROR(__xludf.DUMMYFUNCTION("""COMPUTED_VALUE"""),"Sacc")</f>
        <v>Sacc</v>
      </c>
      <c r="I36" s="5" t="str">
        <f>IFERROR(__xludf.DUMMYFUNCTION("""COMPUTED_VALUE"""),"Akagi")</f>
        <v>Akagi</v>
      </c>
      <c r="J36" s="5" t="str">
        <f>IFERROR(__xludf.DUMMYFUNCTION("""COMPUTED_VALUE"""),"DH")</f>
        <v>DH</v>
      </c>
      <c r="K36" s="5" t="str">
        <f>IFERROR(__xludf.DUMMYFUNCTION("""COMPUTED_VALUE"""),"Jintei")</f>
        <v>Jintei</v>
      </c>
      <c r="L36" s="5" t="str">
        <f>IFERROR(__xludf.DUMMYFUNCTION("""COMPUTED_VALUE"""),"Lolidia")</f>
        <v>Lolidia</v>
      </c>
      <c r="M36" s="5">
        <f>IFERROR(__xludf.DUMMYFUNCTION("""COMPUTED_VALUE"""),0.002051909722222222)</f>
        <v>0.002051909722</v>
      </c>
      <c r="N36" s="5" t="str">
        <f>IFERROR(__xludf.DUMMYFUNCTION("""COMPUTED_VALUE"""),"FD3S (RX7) V2")</f>
        <v>FD3S (RX7) V2</v>
      </c>
      <c r="O36" s="5" t="str">
        <f>IFERROR(__xludf.DUMMYFUNCTION("""COMPUTED_VALUE"""),"PCVR")</f>
        <v>PCVR</v>
      </c>
      <c r="P36" s="5" t="str">
        <f>IFERROR(__xludf.DUMMYFUNCTION("""COMPUTED_VALUE"""),"Sacc")</f>
        <v>Sacc</v>
      </c>
      <c r="Q36" s="5"/>
      <c r="R36" s="5"/>
      <c r="S36" s="5"/>
      <c r="T36" s="5"/>
      <c r="U36" s="5"/>
      <c r="V36" s="5"/>
      <c r="W36" s="5"/>
      <c r="X36" s="5"/>
      <c r="Y36" s="5" t="str">
        <f>IFERROR(__xludf.DUMMYFUNCTION("""COMPUTED_VALUE"""),"Tsukuba Snow")</f>
        <v>Tsukuba Snow</v>
      </c>
      <c r="Z36" s="5" t="str">
        <f>IFERROR(__xludf.DUMMYFUNCTION("""COMPUTED_VALUE"""),"OB")</f>
        <v>OB</v>
      </c>
      <c r="AA36" s="5" t="str">
        <f>IFERROR(__xludf.DUMMYFUNCTION("""COMPUTED_VALUE"""),"Jintei")</f>
        <v>Jintei</v>
      </c>
      <c r="AB36" s="5" t="str">
        <f>IFERROR(__xludf.DUMMYFUNCTION("""COMPUTED_VALUE"""),"LinWu_05")</f>
        <v>LinWu_05</v>
      </c>
      <c r="AC36" s="5">
        <f>IFERROR(__xludf.DUMMYFUNCTION("""COMPUTED_VALUE"""),0.002798414351851852)</f>
        <v>0.002798414352</v>
      </c>
      <c r="AD36" s="5" t="str">
        <f>IFERROR(__xludf.DUMMYFUNCTION("""COMPUTED_VALUE"""),"BNR34")</f>
        <v>BNR34</v>
      </c>
      <c r="AE36" s="5" t="str">
        <f>IFERROR(__xludf.DUMMYFUNCTION("""COMPUTED_VALUE"""),"PC")</f>
        <v>PC</v>
      </c>
      <c r="AF36" s="5" t="str">
        <f>IFERROR(__xludf.DUMMYFUNCTION("""COMPUTED_VALUE"""),"Sacc")</f>
        <v>Sacc</v>
      </c>
      <c r="AG36" s="14"/>
      <c r="AH36" s="14"/>
      <c r="AI36" s="14"/>
      <c r="AJ36" s="14"/>
      <c r="AK36" s="14"/>
      <c r="AL36" s="14"/>
      <c r="AM36" s="14"/>
      <c r="AN36" s="14"/>
      <c r="AO36" s="5" t="str">
        <f>IFERROR(__xludf.DUMMYFUNCTION("""COMPUTED_VALUE"""),"Tsubaki")</f>
        <v>Tsubaki</v>
      </c>
      <c r="AP36" s="5" t="str">
        <f>IFERROR(__xludf.DUMMYFUNCTION("""COMPUTED_VALUE"""),"DH")</f>
        <v>DH</v>
      </c>
      <c r="AQ36" s="5" t="str">
        <f>IFERROR(__xludf.DUMMYFUNCTION("""COMPUTED_VALUE"""),"Jintei")</f>
        <v>Jintei</v>
      </c>
      <c r="AR36" s="5" t="str">
        <f>IFERROR(__xludf.DUMMYFUNCTION("""COMPUTED_VALUE"""),"Test Driver")</f>
        <v>Test Driver</v>
      </c>
      <c r="AS36" s="5">
        <f>IFERROR(__xludf.DUMMYFUNCTION("""COMPUTED_VALUE"""),0.006944444444444444)</f>
        <v>0.006944444444</v>
      </c>
      <c r="AT36" s="5" t="str">
        <f>IFERROR(__xludf.DUMMYFUNCTION("""COMPUTED_VALUE"""),"982(718Cayman)")</f>
        <v>982(718Cayman)</v>
      </c>
      <c r="AU36" s="5"/>
      <c r="AV36" s="5" t="str">
        <f>IFERROR(__xludf.DUMMYFUNCTION("""COMPUTED_VALUE"""),"Sacc")</f>
        <v>Sacc</v>
      </c>
      <c r="AW36" s="5"/>
      <c r="AX36" s="5"/>
      <c r="AY36" s="5"/>
      <c r="AZ36" s="5"/>
      <c r="BA36" s="5"/>
      <c r="BB36" s="5"/>
      <c r="BC36" s="5"/>
      <c r="BD36" s="5"/>
      <c r="BE36" s="5"/>
      <c r="BF36" s="5"/>
      <c r="BG36" s="5"/>
      <c r="BH36" s="5"/>
      <c r="BI36" s="5"/>
      <c r="BJ36" s="5"/>
      <c r="BK36" s="5"/>
      <c r="BL36" s="5"/>
      <c r="BM36" s="5"/>
      <c r="BN36" s="5"/>
      <c r="BO36" s="5"/>
    </row>
    <row r="37">
      <c r="A37" s="5" t="str">
        <f>IFERROR(__xludf.DUMMYFUNCTION("""COMPUTED_VALUE"""),"Happogahara")</f>
        <v>Happogahara</v>
      </c>
      <c r="B37" s="5" t="str">
        <f>IFERROR(__xludf.DUMMYFUNCTION("""COMPUTED_VALUE"""),"IB")</f>
        <v>IB</v>
      </c>
      <c r="C37" s="5" t="str">
        <f>IFERROR(__xludf.DUMMYFUNCTION("""COMPUTED_VALUE"""),"Jintei")</f>
        <v>Jintei</v>
      </c>
      <c r="D37" s="5" t="str">
        <f>IFERROR(__xludf.DUMMYFUNCTION("""COMPUTED_VALUE"""),"Test Driver")</f>
        <v>Test Driver</v>
      </c>
      <c r="E37" s="5">
        <f>IFERROR(__xludf.DUMMYFUNCTION("""COMPUTED_VALUE"""),0.006944444444444444)</f>
        <v>0.006944444444</v>
      </c>
      <c r="F37" s="5" t="str">
        <f>IFERROR(__xludf.DUMMYFUNCTION("""COMPUTED_VALUE"""),"AE86T")</f>
        <v>AE86T</v>
      </c>
      <c r="G37" s="5"/>
      <c r="H37" s="5" t="str">
        <f>IFERROR(__xludf.DUMMYFUNCTION("""COMPUTED_VALUE"""),"Sacc")</f>
        <v>Sacc</v>
      </c>
      <c r="I37" s="5" t="str">
        <f>IFERROR(__xludf.DUMMYFUNCTION("""COMPUTED_VALUE"""),"Akagi")</f>
        <v>Akagi</v>
      </c>
      <c r="J37" s="5" t="str">
        <f>IFERROR(__xludf.DUMMYFUNCTION("""COMPUTED_VALUE"""),"UH")</f>
        <v>UH</v>
      </c>
      <c r="K37" s="5" t="str">
        <f>IFERROR(__xludf.DUMMYFUNCTION("""COMPUTED_VALUE"""),"Jintei")</f>
        <v>Jintei</v>
      </c>
      <c r="L37" s="5" t="str">
        <f>IFERROR(__xludf.DUMMYFUNCTION("""COMPUTED_VALUE"""),"Test Driver")</f>
        <v>Test Driver</v>
      </c>
      <c r="M37" s="5">
        <f>IFERROR(__xludf.DUMMYFUNCTION("""COMPUTED_VALUE"""),0.006944444444444444)</f>
        <v>0.006944444444</v>
      </c>
      <c r="N37" s="5" t="str">
        <f>IFERROR(__xludf.DUMMYFUNCTION("""COMPUTED_VALUE"""),"FD3S (RX7) V2")</f>
        <v>FD3S (RX7) V2</v>
      </c>
      <c r="O37" s="5"/>
      <c r="P37" s="5" t="str">
        <f>IFERROR(__xludf.DUMMYFUNCTION("""COMPUTED_VALUE"""),"Sacc")</f>
        <v>Sacc</v>
      </c>
      <c r="Q37" s="5"/>
      <c r="R37" s="5"/>
      <c r="S37" s="5"/>
      <c r="T37" s="5"/>
      <c r="U37" s="5"/>
      <c r="V37" s="5"/>
      <c r="W37" s="5"/>
      <c r="X37" s="5"/>
      <c r="Y37" s="5" t="str">
        <f>IFERROR(__xludf.DUMMYFUNCTION("""COMPUTED_VALUE"""),"Tsukuba Snow")</f>
        <v>Tsukuba Snow</v>
      </c>
      <c r="Z37" s="5" t="str">
        <f>IFERROR(__xludf.DUMMYFUNCTION("""COMPUTED_VALUE"""),"IB")</f>
        <v>IB</v>
      </c>
      <c r="AA37" s="5" t="str">
        <f>IFERROR(__xludf.DUMMYFUNCTION("""COMPUTED_VALUE"""),"Jintei")</f>
        <v>Jintei</v>
      </c>
      <c r="AB37" s="5" t="str">
        <f>IFERROR(__xludf.DUMMYFUNCTION("""COMPUTED_VALUE"""),"LinWu_05")</f>
        <v>LinWu_05</v>
      </c>
      <c r="AC37" s="5">
        <f>IFERROR(__xludf.DUMMYFUNCTION("""COMPUTED_VALUE"""),0.002837997685185185)</f>
        <v>0.002837997685</v>
      </c>
      <c r="AD37" s="5" t="str">
        <f>IFERROR(__xludf.DUMMYFUNCTION("""COMPUTED_VALUE"""),"BNR34")</f>
        <v>BNR34</v>
      </c>
      <c r="AE37" s="5" t="str">
        <f>IFERROR(__xludf.DUMMYFUNCTION("""COMPUTED_VALUE"""),"PC")</f>
        <v>PC</v>
      </c>
      <c r="AF37" s="5" t="str">
        <f>IFERROR(__xludf.DUMMYFUNCTION("""COMPUTED_VALUE"""),"Sacc")</f>
        <v>Sacc</v>
      </c>
      <c r="AG37" s="14"/>
      <c r="AH37" s="14"/>
      <c r="AI37" s="14"/>
      <c r="AJ37" s="14"/>
      <c r="AK37" s="14"/>
      <c r="AL37" s="14"/>
      <c r="AM37" s="14"/>
      <c r="AN37" s="14"/>
      <c r="AO37" s="5" t="str">
        <f>IFERROR(__xludf.DUMMYFUNCTION("""COMPUTED_VALUE"""),"Tsubaki")</f>
        <v>Tsubaki</v>
      </c>
      <c r="AP37" s="5" t="str">
        <f>IFERROR(__xludf.DUMMYFUNCTION("""COMPUTED_VALUE"""),"UH")</f>
        <v>UH</v>
      </c>
      <c r="AQ37" s="5" t="str">
        <f>IFERROR(__xludf.DUMMYFUNCTION("""COMPUTED_VALUE"""),"Jintei")</f>
        <v>Jintei</v>
      </c>
      <c r="AR37" s="5" t="str">
        <f>IFERROR(__xludf.DUMMYFUNCTION("""COMPUTED_VALUE"""),"Test Driver")</f>
        <v>Test Driver</v>
      </c>
      <c r="AS37" s="5">
        <f>IFERROR(__xludf.DUMMYFUNCTION("""COMPUTED_VALUE"""),0.006944444444444444)</f>
        <v>0.006944444444</v>
      </c>
      <c r="AT37" s="5" t="str">
        <f>IFERROR(__xludf.DUMMYFUNCTION("""COMPUTED_VALUE"""),"982(718Cayman)")</f>
        <v>982(718Cayman)</v>
      </c>
      <c r="AU37" s="5"/>
      <c r="AV37" s="5" t="str">
        <f>IFERROR(__xludf.DUMMYFUNCTION("""COMPUTED_VALUE"""),"Sacc")</f>
        <v>Sacc</v>
      </c>
      <c r="AW37" s="5"/>
      <c r="AX37" s="5"/>
      <c r="AY37" s="5"/>
      <c r="AZ37" s="5"/>
      <c r="BA37" s="5"/>
      <c r="BB37" s="5"/>
      <c r="BC37" s="5"/>
      <c r="BD37" s="5"/>
      <c r="BE37" s="5"/>
      <c r="BF37" s="5"/>
      <c r="BG37" s="5"/>
      <c r="BH37" s="5"/>
      <c r="BI37" s="5"/>
      <c r="BJ37" s="5"/>
      <c r="BK37" s="5"/>
      <c r="BL37" s="5"/>
      <c r="BM37" s="5"/>
      <c r="BN37" s="5"/>
      <c r="BO37" s="5"/>
    </row>
    <row r="38">
      <c r="A38" s="5" t="str">
        <f>IFERROR(__xludf.DUMMYFUNCTION("""COMPUTED_VALUE"""),"Happogahara")</f>
        <v>Happogahara</v>
      </c>
      <c r="B38" s="5" t="str">
        <f>IFERROR(__xludf.DUMMYFUNCTION("""COMPUTED_VALUE"""),"OB")</f>
        <v>OB</v>
      </c>
      <c r="C38" s="5" t="str">
        <f>IFERROR(__xludf.DUMMYFUNCTION("""COMPUTED_VALUE"""),"Jintei")</f>
        <v>Jintei</v>
      </c>
      <c r="D38" s="5" t="str">
        <f>IFERROR(__xludf.DUMMYFUNCTION("""COMPUTED_VALUE"""),"Test Driver")</f>
        <v>Test Driver</v>
      </c>
      <c r="E38" s="5">
        <f>IFERROR(__xludf.DUMMYFUNCTION("""COMPUTED_VALUE"""),0.006944444444444444)</f>
        <v>0.006944444444</v>
      </c>
      <c r="F38" s="5" t="str">
        <f>IFERROR(__xludf.DUMMYFUNCTION("""COMPUTED_VALUE"""),"AE86T")</f>
        <v>AE86T</v>
      </c>
      <c r="G38" s="5"/>
      <c r="H38" s="5" t="str">
        <f>IFERROR(__xludf.DUMMYFUNCTION("""COMPUTED_VALUE"""),"Sacc")</f>
        <v>Sacc</v>
      </c>
      <c r="I38" s="5"/>
      <c r="J38" s="5"/>
      <c r="K38" s="5"/>
      <c r="L38" s="5"/>
      <c r="M38" s="5"/>
      <c r="N38" s="5"/>
      <c r="O38" s="5"/>
      <c r="P38" s="5"/>
      <c r="Q38" s="5"/>
      <c r="R38" s="5"/>
      <c r="S38" s="5"/>
      <c r="T38" s="5"/>
      <c r="U38" s="5"/>
      <c r="V38" s="5"/>
      <c r="W38" s="5"/>
      <c r="X38" s="5"/>
      <c r="Y38" s="5" t="str">
        <f>IFERROR(__xludf.DUMMYFUNCTION("""COMPUTED_VALUE"""),"Tsukuba")</f>
        <v>Tsukuba</v>
      </c>
      <c r="Z38" s="5" t="str">
        <f>IFERROR(__xludf.DUMMYFUNCTION("""COMPUTED_VALUE"""),"DH")</f>
        <v>DH</v>
      </c>
      <c r="AA38" s="5" t="str">
        <f>IFERROR(__xludf.DUMMYFUNCTION("""COMPUTED_VALUE"""),"Jintei ")</f>
        <v>Jintei </v>
      </c>
      <c r="AB38" s="5" t="str">
        <f>IFERROR(__xludf.DUMMYFUNCTION("""COMPUTED_VALUE"""),"LinWu_05")</f>
        <v>LinWu_05</v>
      </c>
      <c r="AC38" s="5">
        <f>IFERROR(__xludf.DUMMYFUNCTION("""COMPUTED_VALUE"""),0.0012330208333333334)</f>
        <v>0.001233020833</v>
      </c>
      <c r="AD38" s="5" t="str">
        <f>IFERROR(__xludf.DUMMYFUNCTION("""COMPUTED_VALUE"""),"BNR34")</f>
        <v>BNR34</v>
      </c>
      <c r="AE38" s="5" t="str">
        <f>IFERROR(__xludf.DUMMYFUNCTION("""COMPUTED_VALUE"""),"PC")</f>
        <v>PC</v>
      </c>
      <c r="AF38" s="5" t="str">
        <f>IFERROR(__xludf.DUMMYFUNCTION("""COMPUTED_VALUE"""),"Sacc")</f>
        <v>Sacc</v>
      </c>
      <c r="AG38" s="14"/>
      <c r="AH38" s="14"/>
      <c r="AI38" s="14"/>
      <c r="AJ38" s="14"/>
      <c r="AK38" s="14"/>
      <c r="AL38" s="14"/>
      <c r="AM38" s="14"/>
      <c r="AN38" s="14"/>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c r="A39" s="5" t="str">
        <f>IFERROR(__xludf.DUMMYFUNCTION("""COMPUTED_VALUE"""),"Happogahara")</f>
        <v>Happogahara</v>
      </c>
      <c r="B39" s="5" t="str">
        <f>IFERROR(__xludf.DUMMYFUNCTION("""COMPUTED_VALUE"""),"Double")</f>
        <v>Double</v>
      </c>
      <c r="C39" s="5" t="str">
        <f>IFERROR(__xludf.DUMMYFUNCTION("""COMPUTED_VALUE"""),"Jintei")</f>
        <v>Jintei</v>
      </c>
      <c r="D39" s="5" t="str">
        <f>IFERROR(__xludf.DUMMYFUNCTION("""COMPUTED_VALUE"""),"Test Driver")</f>
        <v>Test Driver</v>
      </c>
      <c r="E39" s="5">
        <f>IFERROR(__xludf.DUMMYFUNCTION("""COMPUTED_VALUE"""),0.006944444444444444)</f>
        <v>0.006944444444</v>
      </c>
      <c r="F39" s="5" t="str">
        <f>IFERROR(__xludf.DUMMYFUNCTION("""COMPUTED_VALUE"""),"AE86T")</f>
        <v>AE86T</v>
      </c>
      <c r="G39" s="5"/>
      <c r="H39" s="5" t="str">
        <f>IFERROR(__xludf.DUMMYFUNCTION("""COMPUTED_VALUE"""),"Sacc")</f>
        <v>Sacc</v>
      </c>
      <c r="I39" s="5"/>
      <c r="J39" s="5"/>
      <c r="K39" s="5"/>
      <c r="L39" s="5"/>
      <c r="M39" s="5"/>
      <c r="N39" s="5"/>
      <c r="O39" s="5"/>
      <c r="P39" s="5"/>
      <c r="Q39" s="5"/>
      <c r="R39" s="5"/>
      <c r="S39" s="5"/>
      <c r="T39" s="5"/>
      <c r="U39" s="5"/>
      <c r="V39" s="5"/>
      <c r="W39" s="5"/>
      <c r="X39" s="5"/>
      <c r="Y39" s="5" t="str">
        <f>IFERROR(__xludf.DUMMYFUNCTION("""COMPUTED_VALUE"""),"Tsuchisaka Snow")</f>
        <v>Tsuchisaka Snow</v>
      </c>
      <c r="Z39" s="5" t="str">
        <f>IFERROR(__xludf.DUMMYFUNCTION("""COMPUTED_VALUE"""),"OB")</f>
        <v>OB</v>
      </c>
      <c r="AA39" s="5" t="str">
        <f>IFERROR(__xludf.DUMMYFUNCTION("""COMPUTED_VALUE"""),"Jintei")</f>
        <v>Jintei</v>
      </c>
      <c r="AB39" s="5" t="str">
        <f>IFERROR(__xludf.DUMMYFUNCTION("""COMPUTED_VALUE"""),"LinWu_05")</f>
        <v>LinWu_05</v>
      </c>
      <c r="AC39" s="5">
        <f>IFERROR(__xludf.DUMMYFUNCTION("""COMPUTED_VALUE"""),0.0026423611111111114)</f>
        <v>0.002642361111</v>
      </c>
      <c r="AD39" s="5" t="str">
        <f>IFERROR(__xludf.DUMMYFUNCTION("""COMPUTED_VALUE"""),"BNR34")</f>
        <v>BNR34</v>
      </c>
      <c r="AE39" s="5" t="str">
        <f>IFERROR(__xludf.DUMMYFUNCTION("""COMPUTED_VALUE"""),"PC")</f>
        <v>PC</v>
      </c>
      <c r="AF39" s="5" t="str">
        <f>IFERROR(__xludf.DUMMYFUNCTION("""COMPUTED_VALUE"""),"Sacc")</f>
        <v>Sacc</v>
      </c>
      <c r="AG39" s="14"/>
      <c r="AH39" s="14"/>
      <c r="AI39" s="14"/>
      <c r="AJ39" s="14"/>
      <c r="AK39" s="14"/>
      <c r="AL39" s="14"/>
      <c r="AM39" s="14"/>
      <c r="AN39" s="14"/>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c r="A40" s="5"/>
      <c r="B40" s="5"/>
      <c r="C40" s="5"/>
      <c r="D40" s="5"/>
      <c r="E40" s="5"/>
      <c r="F40" s="5"/>
      <c r="G40" s="5"/>
      <c r="H40" s="5"/>
      <c r="I40" s="5"/>
      <c r="J40" s="5"/>
      <c r="K40" s="5"/>
      <c r="L40" s="5"/>
      <c r="M40" s="5"/>
      <c r="N40" s="5"/>
      <c r="O40" s="5"/>
      <c r="P40" s="5"/>
      <c r="Q40" s="5"/>
      <c r="R40" s="5"/>
      <c r="S40" s="5"/>
      <c r="T40" s="5"/>
      <c r="U40" s="5"/>
      <c r="V40" s="5"/>
      <c r="W40" s="5"/>
      <c r="X40" s="5"/>
      <c r="Y40" s="5" t="str">
        <f>IFERROR(__xludf.DUMMYFUNCTION("""COMPUTED_VALUE"""),"Tsuchisaka Snow")</f>
        <v>Tsuchisaka Snow</v>
      </c>
      <c r="Z40" s="5" t="str">
        <f>IFERROR(__xludf.DUMMYFUNCTION("""COMPUTED_VALUE"""),"IB")</f>
        <v>IB</v>
      </c>
      <c r="AA40" s="5" t="str">
        <f>IFERROR(__xludf.DUMMYFUNCTION("""COMPUTED_VALUE"""),"Jintei")</f>
        <v>Jintei</v>
      </c>
      <c r="AB40" s="5" t="str">
        <f>IFERROR(__xludf.DUMMYFUNCTION("""COMPUTED_VALUE"""),"LinWu_05")</f>
        <v>LinWu_05</v>
      </c>
      <c r="AC40" s="5">
        <f>IFERROR(__xludf.DUMMYFUNCTION("""COMPUTED_VALUE"""),0.0026034953703703706)</f>
        <v>0.00260349537</v>
      </c>
      <c r="AD40" s="5" t="str">
        <f>IFERROR(__xludf.DUMMYFUNCTION("""COMPUTED_VALUE"""),"BNR34")</f>
        <v>BNR34</v>
      </c>
      <c r="AE40" s="5" t="str">
        <f>IFERROR(__xludf.DUMMYFUNCTION("""COMPUTED_VALUE"""),"PC")</f>
        <v>PC</v>
      </c>
      <c r="AF40" s="5" t="str">
        <f>IFERROR(__xludf.DUMMYFUNCTION("""COMPUTED_VALUE"""),"Sacc")</f>
        <v>Sacc</v>
      </c>
      <c r="AG40" s="14"/>
      <c r="AH40" s="14"/>
      <c r="AI40" s="14"/>
      <c r="AJ40" s="14"/>
      <c r="AK40" s="14"/>
      <c r="AL40" s="14"/>
      <c r="AM40" s="14"/>
      <c r="AN40" s="14"/>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c r="A41" s="5"/>
      <c r="B41" s="5"/>
      <c r="C41" s="5"/>
      <c r="D41" s="5"/>
      <c r="E41" s="5"/>
      <c r="F41" s="5"/>
      <c r="G41" s="5"/>
      <c r="H41" s="5"/>
      <c r="I41" s="5"/>
      <c r="J41" s="5"/>
      <c r="K41" s="5"/>
      <c r="L41" s="5"/>
      <c r="M41" s="5"/>
      <c r="N41" s="5"/>
      <c r="O41" s="5"/>
      <c r="P41" s="5"/>
      <c r="Q41" s="5"/>
      <c r="R41" s="5"/>
      <c r="S41" s="5"/>
      <c r="T41" s="5"/>
      <c r="U41" s="5"/>
      <c r="V41" s="5"/>
      <c r="W41" s="5"/>
      <c r="X41" s="5"/>
      <c r="Y41" s="5" t="str">
        <f>IFERROR(__xludf.DUMMYFUNCTION("""COMPUTED_VALUE"""),"Tsukuba")</f>
        <v>Tsukuba</v>
      </c>
      <c r="Z41" s="5" t="str">
        <f>IFERROR(__xludf.DUMMYFUNCTION("""COMPUTED_VALUE"""),"OB")</f>
        <v>OB</v>
      </c>
      <c r="AA41" s="5" t="str">
        <f>IFERROR(__xludf.DUMMYFUNCTION("""COMPUTED_VALUE"""),"Jintei ")</f>
        <v>Jintei </v>
      </c>
      <c r="AB41" s="5" t="str">
        <f>IFERROR(__xludf.DUMMYFUNCTION("""COMPUTED_VALUE"""),"StarRiver Arts")</f>
        <v>StarRiver Arts</v>
      </c>
      <c r="AC41" s="5">
        <f>IFERROR(__xludf.DUMMYFUNCTION("""COMPUTED_VALUE"""),0.0025871874999999996)</f>
        <v>0.0025871875</v>
      </c>
      <c r="AD41" s="5" t="str">
        <f>IFERROR(__xludf.DUMMYFUNCTION("""COMPUTED_VALUE"""),"BNR34")</f>
        <v>BNR34</v>
      </c>
      <c r="AE41" s="5" t="str">
        <f>IFERROR(__xludf.DUMMYFUNCTION("""COMPUTED_VALUE"""),"PC")</f>
        <v>PC</v>
      </c>
      <c r="AF41" s="5" t="str">
        <f>IFERROR(__xludf.DUMMYFUNCTION("""COMPUTED_VALUE"""),"Sacc")</f>
        <v>Sacc</v>
      </c>
      <c r="AG41" s="14"/>
      <c r="AH41" s="14"/>
      <c r="AI41" s="14"/>
      <c r="AJ41" s="14"/>
      <c r="AK41" s="14"/>
      <c r="AL41" s="14"/>
      <c r="AM41" s="14"/>
      <c r="AN41" s="14"/>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c r="A42" s="67" t="s">
        <v>147</v>
      </c>
      <c r="I42" s="5"/>
      <c r="J42" s="5"/>
      <c r="K42" s="5"/>
      <c r="L42" s="5"/>
      <c r="M42" s="5"/>
      <c r="N42" s="5"/>
      <c r="O42" s="5"/>
      <c r="P42" s="5"/>
      <c r="Q42" s="5"/>
      <c r="R42" s="5"/>
      <c r="S42" s="5"/>
      <c r="T42" s="5"/>
      <c r="U42" s="5"/>
      <c r="V42" s="5"/>
      <c r="W42" s="5"/>
      <c r="X42" s="5"/>
      <c r="Y42" s="5" t="str">
        <f>IFERROR(__xludf.DUMMYFUNCTION("""COMPUTED_VALUE"""),"Tsukuba")</f>
        <v>Tsukuba</v>
      </c>
      <c r="Z42" s="5" t="str">
        <f>IFERROR(__xludf.DUMMYFUNCTION("""COMPUTED_VALUE"""),"UH")</f>
        <v>UH</v>
      </c>
      <c r="AA42" s="5" t="str">
        <f>IFERROR(__xludf.DUMMYFUNCTION("""COMPUTED_VALUE"""),"Jintei ")</f>
        <v>Jintei </v>
      </c>
      <c r="AB42" s="5" t="str">
        <f>IFERROR(__xludf.DUMMYFUNCTION("""COMPUTED_VALUE"""),"LinWu_05")</f>
        <v>LinWu_05</v>
      </c>
      <c r="AC42" s="5">
        <f>IFERROR(__xludf.DUMMYFUNCTION("""COMPUTED_VALUE"""),0.0013437500000000001)</f>
        <v>0.00134375</v>
      </c>
      <c r="AD42" s="5" t="str">
        <f>IFERROR(__xludf.DUMMYFUNCTION("""COMPUTED_VALUE"""),"BNR34")</f>
        <v>BNR34</v>
      </c>
      <c r="AE42" s="5" t="str">
        <f>IFERROR(__xludf.DUMMYFUNCTION("""COMPUTED_VALUE"""),"PC")</f>
        <v>PC</v>
      </c>
      <c r="AF42" s="5" t="str">
        <f>IFERROR(__xludf.DUMMYFUNCTION("""COMPUTED_VALUE"""),"Sacc")</f>
        <v>Sacc</v>
      </c>
      <c r="AG42" s="14"/>
      <c r="AH42" s="14"/>
      <c r="AI42" s="14"/>
      <c r="AJ42" s="14"/>
      <c r="AK42" s="14"/>
      <c r="AL42" s="14"/>
      <c r="AM42" s="14"/>
      <c r="AN42" s="14"/>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c r="A43" s="5" t="str">
        <f>IFERROR(__xludf.DUMMYFUNCTION("LET(
  車輛, A42,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B43" s="5" t="str">
        <f>IFERROR(__xludf.DUMMYFUNCTION("""COMPUTED_VALUE"""),"路線")</f>
        <v>路線</v>
      </c>
      <c r="C43" s="5" t="str">
        <f>IFERROR(__xludf.DUMMYFUNCTION("""COMPUTED_VALUE"""),"作者")</f>
        <v>作者</v>
      </c>
      <c r="D43" s="5" t="str">
        <f>IFERROR(__xludf.DUMMYFUNCTION("""COMPUTED_VALUE"""),"玩家")</f>
        <v>玩家</v>
      </c>
      <c r="E43" s="5" t="str">
        <f>IFERROR(__xludf.DUMMYFUNCTION("""COMPUTED_VALUE"""),"時間")</f>
        <v>時間</v>
      </c>
      <c r="F43" s="5" t="str">
        <f>IFERROR(__xludf.DUMMYFUNCTION("""COMPUTED_VALUE"""),"車輛")</f>
        <v>車輛</v>
      </c>
      <c r="G43" s="5" t="str">
        <f>IFERROR(__xludf.DUMMYFUNCTION("""COMPUTED_VALUE"""),"平台")</f>
        <v>平台</v>
      </c>
      <c r="H43" s="5" t="str">
        <f>IFERROR(__xludf.DUMMYFUNCTION("""COMPUTED_VALUE"""),"系統")</f>
        <v>系統</v>
      </c>
      <c r="I43" s="67" t="s">
        <v>148</v>
      </c>
      <c r="Q43" s="5"/>
      <c r="R43" s="5"/>
      <c r="S43" s="5"/>
      <c r="T43" s="5"/>
      <c r="U43" s="5"/>
      <c r="V43" s="5"/>
      <c r="W43" s="5"/>
      <c r="X43" s="5"/>
      <c r="Y43" s="5" t="str">
        <f>IFERROR(__xludf.DUMMYFUNCTION("""COMPUTED_VALUE"""),"Tsukuba")</f>
        <v>Tsukuba</v>
      </c>
      <c r="Z43" s="5" t="str">
        <f>IFERROR(__xludf.DUMMYFUNCTION("""COMPUTED_VALUE"""),"IB")</f>
        <v>IB</v>
      </c>
      <c r="AA43" s="5" t="str">
        <f>IFERROR(__xludf.DUMMYFUNCTION("""COMPUTED_VALUE"""),"Jintei")</f>
        <v>Jintei</v>
      </c>
      <c r="AB43" s="5" t="str">
        <f>IFERROR(__xludf.DUMMYFUNCTION("""COMPUTED_VALUE"""),"Test Driver")</f>
        <v>Test Driver</v>
      </c>
      <c r="AC43" s="5">
        <f>IFERROR(__xludf.DUMMYFUNCTION("""COMPUTED_VALUE"""),0.006944444444444444)</f>
        <v>0.006944444444</v>
      </c>
      <c r="AD43" s="5" t="str">
        <f>IFERROR(__xludf.DUMMYFUNCTION("""COMPUTED_VALUE"""),"BNR34")</f>
        <v>BNR34</v>
      </c>
      <c r="AE43" s="5"/>
      <c r="AF43" s="5" t="str">
        <f>IFERROR(__xludf.DUMMYFUNCTION("""COMPUTED_VALUE"""),"Sacc")</f>
        <v>Sacc</v>
      </c>
      <c r="AG43" s="14"/>
      <c r="AH43" s="14"/>
      <c r="AI43" s="14"/>
      <c r="AJ43" s="14"/>
      <c r="AK43" s="14"/>
      <c r="AL43" s="14"/>
      <c r="AM43" s="14"/>
      <c r="AN43" s="14"/>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c r="A44" s="5" t="str">
        <f>IFERROR(__xludf.DUMMYFUNCTION("""COMPUTED_VALUE"""),"Akina")</f>
        <v>Akina</v>
      </c>
      <c r="B44" s="5" t="str">
        <f>IFERROR(__xludf.DUMMYFUNCTION("""COMPUTED_VALUE"""),"DH")</f>
        <v>DH</v>
      </c>
      <c r="C44" s="5" t="str">
        <f>IFERROR(__xludf.DUMMYFUNCTION("""COMPUTED_VALUE"""),"Jintei ")</f>
        <v>Jintei </v>
      </c>
      <c r="D44" s="5" t="str">
        <f>IFERROR(__xludf.DUMMYFUNCTION("""COMPUTED_VALUE"""),"Lolidia")</f>
        <v>Lolidia</v>
      </c>
      <c r="E44" s="5">
        <f>IFERROR(__xludf.DUMMYFUNCTION("""COMPUTED_VALUE"""),0.0023936574074074073)</f>
        <v>0.002393657407</v>
      </c>
      <c r="F44" s="5" t="str">
        <f>IFERROR(__xludf.DUMMYFUNCTION("""COMPUTED_VALUE"""),"AE86T-V2")</f>
        <v>AE86T-V2</v>
      </c>
      <c r="G44" s="5" t="str">
        <f>IFERROR(__xludf.DUMMYFUNCTION("""COMPUTED_VALUE"""),"PCVR")</f>
        <v>PCVR</v>
      </c>
      <c r="H44" s="5" t="str">
        <f>IFERROR(__xludf.DUMMYFUNCTION("""COMPUTED_VALUE"""),"Sacc")</f>
        <v>Sacc</v>
      </c>
      <c r="I44" s="5" t="str">
        <f>IFERROR(__xludf.DUMMYFUNCTION("LET(
  車輛, I43,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J44" s="5" t="str">
        <f>IFERROR(__xludf.DUMMYFUNCTION("""COMPUTED_VALUE"""),"路線")</f>
        <v>路線</v>
      </c>
      <c r="K44" s="5" t="str">
        <f>IFERROR(__xludf.DUMMYFUNCTION("""COMPUTED_VALUE"""),"作者")</f>
        <v>作者</v>
      </c>
      <c r="L44" s="5" t="str">
        <f>IFERROR(__xludf.DUMMYFUNCTION("""COMPUTED_VALUE"""),"玩家")</f>
        <v>玩家</v>
      </c>
      <c r="M44" s="5" t="str">
        <f>IFERROR(__xludf.DUMMYFUNCTION("""COMPUTED_VALUE"""),"時間")</f>
        <v>時間</v>
      </c>
      <c r="N44" s="5" t="str">
        <f>IFERROR(__xludf.DUMMYFUNCTION("""COMPUTED_VALUE"""),"車輛")</f>
        <v>車輛</v>
      </c>
      <c r="O44" s="5" t="str">
        <f>IFERROR(__xludf.DUMMYFUNCTION("""COMPUTED_VALUE"""),"平台")</f>
        <v>平台</v>
      </c>
      <c r="P44" s="5" t="str">
        <f>IFERROR(__xludf.DUMMYFUNCTION("""COMPUTED_VALUE"""),"系統")</f>
        <v>系統</v>
      </c>
      <c r="Q44" s="67" t="s">
        <v>149</v>
      </c>
      <c r="Y44" s="5" t="str">
        <f>IFERROR(__xludf.DUMMYFUNCTION("""COMPUTED_VALUE"""),"Happogahara")</f>
        <v>Happogahara</v>
      </c>
      <c r="Z44" s="5" t="str">
        <f>IFERROR(__xludf.DUMMYFUNCTION("""COMPUTED_VALUE"""),"IB")</f>
        <v>IB</v>
      </c>
      <c r="AA44" s="5" t="str">
        <f>IFERROR(__xludf.DUMMYFUNCTION("""COMPUTED_VALUE"""),"Jintei")</f>
        <v>Jintei</v>
      </c>
      <c r="AB44" s="5" t="str">
        <f>IFERROR(__xludf.DUMMYFUNCTION("""COMPUTED_VALUE"""),"Test Driver")</f>
        <v>Test Driver</v>
      </c>
      <c r="AC44" s="5">
        <f>IFERROR(__xludf.DUMMYFUNCTION("""COMPUTED_VALUE"""),0.006944444444444444)</f>
        <v>0.006944444444</v>
      </c>
      <c r="AD44" s="5" t="str">
        <f>IFERROR(__xludf.DUMMYFUNCTION("""COMPUTED_VALUE"""),"BNR34")</f>
        <v>BNR34</v>
      </c>
      <c r="AE44" s="5"/>
      <c r="AF44" s="5" t="str">
        <f>IFERROR(__xludf.DUMMYFUNCTION("""COMPUTED_VALUE"""),"Sacc")</f>
        <v>Sacc</v>
      </c>
      <c r="AG44" s="70" t="s">
        <v>150</v>
      </c>
      <c r="AO44" s="67"/>
      <c r="AW44" s="67" t="s">
        <v>151</v>
      </c>
      <c r="BE44" s="67"/>
      <c r="BF44" s="67"/>
      <c r="BG44" s="67"/>
      <c r="BH44" s="67"/>
      <c r="BI44" s="67"/>
      <c r="BJ44" s="67"/>
      <c r="BK44" s="67"/>
      <c r="BL44" s="67"/>
      <c r="BM44" s="67"/>
      <c r="BN44" s="67"/>
      <c r="BO44" s="67"/>
    </row>
    <row r="45">
      <c r="A45" s="5" t="str">
        <f>IFERROR(__xludf.DUMMYFUNCTION("""COMPUTED_VALUE"""),"Akagi")</f>
        <v>Akagi</v>
      </c>
      <c r="B45" s="5" t="str">
        <f>IFERROR(__xludf.DUMMYFUNCTION("""COMPUTED_VALUE"""),"DH")</f>
        <v>DH</v>
      </c>
      <c r="C45" s="5" t="str">
        <f>IFERROR(__xludf.DUMMYFUNCTION("""COMPUTED_VALUE"""),"Jintei")</f>
        <v>Jintei</v>
      </c>
      <c r="D45" s="5" t="str">
        <f>IFERROR(__xludf.DUMMYFUNCTION("""COMPUTED_VALUE"""),"StarRiver Arts")</f>
        <v>StarRiver Arts</v>
      </c>
      <c r="E45" s="5">
        <f>IFERROR(__xludf.DUMMYFUNCTION("""COMPUTED_VALUE"""),0.0023354513888888886)</f>
        <v>0.002335451389</v>
      </c>
      <c r="F45" s="5" t="str">
        <f>IFERROR(__xludf.DUMMYFUNCTION("""COMPUTED_VALUE"""),"AE86T-V2")</f>
        <v>AE86T-V2</v>
      </c>
      <c r="G45" s="5" t="str">
        <f>IFERROR(__xludf.DUMMYFUNCTION("""COMPUTED_VALUE"""),"PC")</f>
        <v>PC</v>
      </c>
      <c r="H45" s="5" t="str">
        <f>IFERROR(__xludf.DUMMYFUNCTION("""COMPUTED_VALUE"""),"Sacc")</f>
        <v>Sacc</v>
      </c>
      <c r="I45" s="5" t="str">
        <f>IFERROR(__xludf.DUMMYFUNCTION("""COMPUTED_VALUE"""),"Akina")</f>
        <v>Akina</v>
      </c>
      <c r="J45" s="5" t="str">
        <f>IFERROR(__xludf.DUMMYFUNCTION("""COMPUTED_VALUE"""),"DH")</f>
        <v>DH</v>
      </c>
      <c r="K45" s="5" t="str">
        <f>IFERROR(__xludf.DUMMYFUNCTION("""COMPUTED_VALUE"""),"Jintei")</f>
        <v>Jintei</v>
      </c>
      <c r="L45" s="5" t="str">
        <f>IFERROR(__xludf.DUMMYFUNCTION("""COMPUTED_VALUE"""),"菲娜 希琉絲")</f>
        <v>菲娜 希琉絲</v>
      </c>
      <c r="M45" s="5">
        <f>IFERROR(__xludf.DUMMYFUNCTION("""COMPUTED_VALUE"""),0.0025020254629629633)</f>
        <v>0.002502025463</v>
      </c>
      <c r="N45" s="5" t="str">
        <f>IFERROR(__xludf.DUMMYFUNCTION("""COMPUTED_VALUE"""),"FD3S (RX7)(TT)")</f>
        <v>FD3S (RX7)(TT)</v>
      </c>
      <c r="O45" s="5" t="str">
        <f>IFERROR(__xludf.DUMMYFUNCTION("""COMPUTED_VALUE"""),"PCVR")</f>
        <v>PCVR</v>
      </c>
      <c r="P45" s="5" t="str">
        <f>IFERROR(__xludf.DUMMYFUNCTION("""COMPUTED_VALUE"""),"Sacc")</f>
        <v>Sacc</v>
      </c>
      <c r="Q45" s="5" t="str">
        <f>IFERROR(__xludf.DUMMYFUNCTION("LET(
  車輛, Q44,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45" s="5" t="str">
        <f>IFERROR(__xludf.DUMMYFUNCTION("""COMPUTED_VALUE"""),"路線")</f>
        <v>路線</v>
      </c>
      <c r="S45" s="5" t="str">
        <f>IFERROR(__xludf.DUMMYFUNCTION("""COMPUTED_VALUE"""),"作者")</f>
        <v>作者</v>
      </c>
      <c r="T45" s="5" t="str">
        <f>IFERROR(__xludf.DUMMYFUNCTION("""COMPUTED_VALUE"""),"玩家")</f>
        <v>玩家</v>
      </c>
      <c r="U45" s="5" t="str">
        <f>IFERROR(__xludf.DUMMYFUNCTION("""COMPUTED_VALUE"""),"時間")</f>
        <v>時間</v>
      </c>
      <c r="V45" s="5" t="str">
        <f>IFERROR(__xludf.DUMMYFUNCTION("""COMPUTED_VALUE"""),"車輛")</f>
        <v>車輛</v>
      </c>
      <c r="W45" s="5" t="str">
        <f>IFERROR(__xludf.DUMMYFUNCTION("""COMPUTED_VALUE"""),"平台")</f>
        <v>平台</v>
      </c>
      <c r="X45" s="5" t="str">
        <f>IFERROR(__xludf.DUMMYFUNCTION("""COMPUTED_VALUE"""),"系統")</f>
        <v>系統</v>
      </c>
      <c r="Y45" s="5" t="str">
        <f>IFERROR(__xludf.DUMMYFUNCTION("""COMPUTED_VALUE"""),"Happogahara")</f>
        <v>Happogahara</v>
      </c>
      <c r="Z45" s="5" t="str">
        <f>IFERROR(__xludf.DUMMYFUNCTION("""COMPUTED_VALUE"""),"OB")</f>
        <v>OB</v>
      </c>
      <c r="AA45" s="5" t="str">
        <f>IFERROR(__xludf.DUMMYFUNCTION("""COMPUTED_VALUE"""),"Jintei")</f>
        <v>Jintei</v>
      </c>
      <c r="AB45" s="5" t="str">
        <f>IFERROR(__xludf.DUMMYFUNCTION("""COMPUTED_VALUE"""),"Test Driver")</f>
        <v>Test Driver</v>
      </c>
      <c r="AC45" s="5">
        <f>IFERROR(__xludf.DUMMYFUNCTION("""COMPUTED_VALUE"""),0.006944444444444444)</f>
        <v>0.006944444444</v>
      </c>
      <c r="AD45" s="5" t="str">
        <f>IFERROR(__xludf.DUMMYFUNCTION("""COMPUTED_VALUE"""),"BNR34")</f>
        <v>BNR34</v>
      </c>
      <c r="AE45" s="5"/>
      <c r="AF45" s="5" t="str">
        <f>IFERROR(__xludf.DUMMYFUNCTION("""COMPUTED_VALUE"""),"Sacc")</f>
        <v>Sacc</v>
      </c>
      <c r="AG45" s="14" t="str">
        <f>IFERROR(__xludf.DUMMYFUNCTION("LET(
  車輛, AG44,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H45" s="14" t="str">
        <f>IFERROR(__xludf.DUMMYFUNCTION("""COMPUTED_VALUE"""),"路線")</f>
        <v>路線</v>
      </c>
      <c r="AI45" s="14" t="str">
        <f>IFERROR(__xludf.DUMMYFUNCTION("""COMPUTED_VALUE"""),"作者")</f>
        <v>作者</v>
      </c>
      <c r="AJ45" s="14" t="str">
        <f>IFERROR(__xludf.DUMMYFUNCTION("""COMPUTED_VALUE"""),"玩家")</f>
        <v>玩家</v>
      </c>
      <c r="AK45" s="14" t="str">
        <f>IFERROR(__xludf.DUMMYFUNCTION("""COMPUTED_VALUE"""),"時間")</f>
        <v>時間</v>
      </c>
      <c r="AL45" s="14" t="str">
        <f>IFERROR(__xludf.DUMMYFUNCTION("""COMPUTED_VALUE"""),"車輛")</f>
        <v>車輛</v>
      </c>
      <c r="AM45" s="14" t="str">
        <f>IFERROR(__xludf.DUMMYFUNCTION("""COMPUTED_VALUE"""),"平台")</f>
        <v>平台</v>
      </c>
      <c r="AN45" s="14" t="str">
        <f>IFERROR(__xludf.DUMMYFUNCTION("""COMPUTED_VALUE"""),"系統")</f>
        <v>系統</v>
      </c>
      <c r="AO45" s="5" t="str">
        <f>IFERROR(__xludf.DUMMYFUNCTION("LET(
  車輛, AO44,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P45" s="5" t="str">
        <f>IFERROR(__xludf.DUMMYFUNCTION("""COMPUTED_VALUE"""),"路線")</f>
        <v>路線</v>
      </c>
      <c r="AQ45" s="5" t="str">
        <f>IFERROR(__xludf.DUMMYFUNCTION("""COMPUTED_VALUE"""),"作者")</f>
        <v>作者</v>
      </c>
      <c r="AR45" s="5" t="str">
        <f>IFERROR(__xludf.DUMMYFUNCTION("""COMPUTED_VALUE"""),"玩家")</f>
        <v>玩家</v>
      </c>
      <c r="AS45" s="5" t="str">
        <f>IFERROR(__xludf.DUMMYFUNCTION("""COMPUTED_VALUE"""),"時間")</f>
        <v>時間</v>
      </c>
      <c r="AT45" s="5" t="str">
        <f>IFERROR(__xludf.DUMMYFUNCTION("""COMPUTED_VALUE"""),"車輛")</f>
        <v>車輛</v>
      </c>
      <c r="AU45" s="5" t="str">
        <f>IFERROR(__xludf.DUMMYFUNCTION("""COMPUTED_VALUE"""),"平台")</f>
        <v>平台</v>
      </c>
      <c r="AV45" s="5" t="str">
        <f>IFERROR(__xludf.DUMMYFUNCTION("""COMPUTED_VALUE"""),"系統")</f>
        <v>系統</v>
      </c>
      <c r="AW45" s="5" t="str">
        <f>IFERROR(__xludf.DUMMYFUNCTION("LET(
  車輛, AW44,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45" s="5" t="str">
        <f>IFERROR(__xludf.DUMMYFUNCTION("""COMPUTED_VALUE"""),"路線")</f>
        <v>路線</v>
      </c>
      <c r="AY45" s="5" t="str">
        <f>IFERROR(__xludf.DUMMYFUNCTION("""COMPUTED_VALUE"""),"作者")</f>
        <v>作者</v>
      </c>
      <c r="AZ45" s="5" t="str">
        <f>IFERROR(__xludf.DUMMYFUNCTION("""COMPUTED_VALUE"""),"玩家")</f>
        <v>玩家</v>
      </c>
      <c r="BA45" s="5" t="str">
        <f>IFERROR(__xludf.DUMMYFUNCTION("""COMPUTED_VALUE"""),"時間")</f>
        <v>時間</v>
      </c>
      <c r="BB45" s="5" t="str">
        <f>IFERROR(__xludf.DUMMYFUNCTION("""COMPUTED_VALUE"""),"車輛")</f>
        <v>車輛</v>
      </c>
      <c r="BC45" s="5" t="str">
        <f>IFERROR(__xludf.DUMMYFUNCTION("""COMPUTED_VALUE"""),"平台")</f>
        <v>平台</v>
      </c>
      <c r="BD45" s="5" t="str">
        <f>IFERROR(__xludf.DUMMYFUNCTION("""COMPUTED_VALUE"""),"系統")</f>
        <v>系統</v>
      </c>
      <c r="BE45" s="5"/>
      <c r="BF45" s="5"/>
      <c r="BG45" s="5"/>
      <c r="BH45" s="5"/>
      <c r="BI45" s="5"/>
      <c r="BJ45" s="5"/>
      <c r="BK45" s="5"/>
      <c r="BL45" s="5"/>
      <c r="BM45" s="5"/>
      <c r="BN45" s="5"/>
      <c r="BO45" s="5"/>
    </row>
    <row r="46">
      <c r="A46" s="5" t="str">
        <f>IFERROR(__xludf.DUMMYFUNCTION("""COMPUTED_VALUE"""),"Lake Akina")</f>
        <v>Lake Akina</v>
      </c>
      <c r="B46" s="5" t="str">
        <f>IFERROR(__xludf.DUMMYFUNCTION("""COMPUTED_VALUE"""),"CW")</f>
        <v>CW</v>
      </c>
      <c r="C46" s="5" t="str">
        <f>IFERROR(__xludf.DUMMYFUNCTION("""COMPUTED_VALUE"""),"Jintei")</f>
        <v>Jintei</v>
      </c>
      <c r="D46" s="5" t="str">
        <f>IFERROR(__xludf.DUMMYFUNCTION("""COMPUTED_VALUE"""),"StarRiver Arts")</f>
        <v>StarRiver Arts</v>
      </c>
      <c r="E46" s="5">
        <f>IFERROR(__xludf.DUMMYFUNCTION("""COMPUTED_VALUE"""),0.002519282407407407)</f>
        <v>0.002519282407</v>
      </c>
      <c r="F46" s="5" t="str">
        <f>IFERROR(__xludf.DUMMYFUNCTION("""COMPUTED_VALUE"""),"AE86T-V2")</f>
        <v>AE86T-V2</v>
      </c>
      <c r="G46" s="5" t="str">
        <f>IFERROR(__xludf.DUMMYFUNCTION("""COMPUTED_VALUE"""),"PC")</f>
        <v>PC</v>
      </c>
      <c r="H46" s="5" t="str">
        <f>IFERROR(__xludf.DUMMYFUNCTION("""COMPUTED_VALUE"""),"Sacc")</f>
        <v>Sacc</v>
      </c>
      <c r="I46" s="5" t="str">
        <f>IFERROR(__xludf.DUMMYFUNCTION("""COMPUTED_VALUE"""),"Sadamine")</f>
        <v>Sadamine</v>
      </c>
      <c r="J46" s="5" t="str">
        <f>IFERROR(__xludf.DUMMYFUNCTION("""COMPUTED_VALUE"""),"FCDH")</f>
        <v>FCDH</v>
      </c>
      <c r="K46" s="5" t="str">
        <f>IFERROR(__xludf.DUMMYFUNCTION("""COMPUTED_VALUE"""),"Jintei ")</f>
        <v>Jintei </v>
      </c>
      <c r="L46" s="5" t="str">
        <f>IFERROR(__xludf.DUMMYFUNCTION("""COMPUTED_VALUE"""),"StarRiver Arts")</f>
        <v>StarRiver Arts</v>
      </c>
      <c r="M46" s="5">
        <f>IFERROR(__xludf.DUMMYFUNCTION("""COMPUTED_VALUE"""),0.0025410879629629633)</f>
        <v>0.002541087963</v>
      </c>
      <c r="N46" s="5" t="str">
        <f>IFERROR(__xludf.DUMMYFUNCTION("""COMPUTED_VALUE"""),"FD3S (RX7)(TT)")</f>
        <v>FD3S (RX7)(TT)</v>
      </c>
      <c r="O46" s="5" t="str">
        <f>IFERROR(__xludf.DUMMYFUNCTION("""COMPUTED_VALUE"""),"PC")</f>
        <v>PC</v>
      </c>
      <c r="P46" s="5" t="str">
        <f>IFERROR(__xludf.DUMMYFUNCTION("""COMPUTED_VALUE"""),"Sacc")</f>
        <v>Sacc</v>
      </c>
      <c r="Q46" s="5" t="str">
        <f>IFERROR(__xludf.DUMMYFUNCTION("""COMPUTED_VALUE"""),"Tsuchisaka")</f>
        <v>Tsuchisaka</v>
      </c>
      <c r="R46" s="5" t="str">
        <f>IFERROR(__xludf.DUMMYFUNCTION("""COMPUTED_VALUE"""),"DH")</f>
        <v>DH</v>
      </c>
      <c r="S46" s="5" t="str">
        <f>IFERROR(__xludf.DUMMYFUNCTION("""COMPUTED_VALUE"""),"Jintei")</f>
        <v>Jintei</v>
      </c>
      <c r="T46" s="5" t="str">
        <f>IFERROR(__xludf.DUMMYFUNCTION("""COMPUTED_VALUE"""),"StarRiver Arts")</f>
        <v>StarRiver Arts</v>
      </c>
      <c r="U46" s="5">
        <f>IFERROR(__xludf.DUMMYFUNCTION("""COMPUTED_VALUE"""),0.001505787037037037)</f>
        <v>0.001505787037</v>
      </c>
      <c r="V46" s="5" t="str">
        <f>IFERROR(__xludf.DUMMYFUNCTION("""COMPUTED_VALUE"""),"EVOVI/CP9A")</f>
        <v>EVOVI/CP9A</v>
      </c>
      <c r="W46" s="5" t="str">
        <f>IFERROR(__xludf.DUMMYFUNCTION("""COMPUTED_VALUE"""),"PC")</f>
        <v>PC</v>
      </c>
      <c r="X46" s="5" t="str">
        <f>IFERROR(__xludf.DUMMYFUNCTION("""COMPUTED_VALUE"""),"Sacc")</f>
        <v>Sacc</v>
      </c>
      <c r="Y46" s="5" t="str">
        <f>IFERROR(__xludf.DUMMYFUNCTION("""COMPUTED_VALUE"""),"Happogahara")</f>
        <v>Happogahara</v>
      </c>
      <c r="Z46" s="5" t="str">
        <f>IFERROR(__xludf.DUMMYFUNCTION("""COMPUTED_VALUE"""),"Double")</f>
        <v>Double</v>
      </c>
      <c r="AA46" s="5" t="str">
        <f>IFERROR(__xludf.DUMMYFUNCTION("""COMPUTED_VALUE"""),"Jintei")</f>
        <v>Jintei</v>
      </c>
      <c r="AB46" s="5" t="str">
        <f>IFERROR(__xludf.DUMMYFUNCTION("""COMPUTED_VALUE"""),"Test Driver")</f>
        <v>Test Driver</v>
      </c>
      <c r="AC46" s="5">
        <f>IFERROR(__xludf.DUMMYFUNCTION("""COMPUTED_VALUE"""),0.006944444444444444)</f>
        <v>0.006944444444</v>
      </c>
      <c r="AD46" s="5" t="str">
        <f>IFERROR(__xludf.DUMMYFUNCTION("""COMPUTED_VALUE"""),"BNR34")</f>
        <v>BNR34</v>
      </c>
      <c r="AE46" s="5"/>
      <c r="AF46" s="5" t="str">
        <f>IFERROR(__xludf.DUMMYFUNCTION("""COMPUTED_VALUE"""),"Sacc")</f>
        <v>Sacc</v>
      </c>
      <c r="AG46" s="69" t="str">
        <f>IFERROR(__xludf.DUMMYFUNCTION("""COMPUTED_VALUE"""),"Silverstone")</f>
        <v>Silverstone</v>
      </c>
      <c r="AH46" s="69"/>
      <c r="AI46" s="69" t="str">
        <f>IFERROR(__xludf.DUMMYFUNCTION("""COMPUTED_VALUE"""),"Aiden1408")</f>
        <v>Aiden1408</v>
      </c>
      <c r="AJ46" s="69" t="str">
        <f>IFERROR(__xludf.DUMMYFUNCTION("""COMPUTED_VALUE"""),"不會玩遊戲的屑")</f>
        <v>不會玩遊戲的屑</v>
      </c>
      <c r="AK46" s="69">
        <f>IFERROR(__xludf.DUMMYFUNCTION("""COMPUTED_VALUE"""),0.0012483101851851852)</f>
        <v>0.001248310185</v>
      </c>
      <c r="AL46" s="69" t="str">
        <f>IFERROR(__xludf.DUMMYFUNCTION("""COMPUTED_VALUE"""),"amr25(AstonMartin)")</f>
        <v>amr25(AstonMartin)</v>
      </c>
      <c r="AM46" s="69" t="str">
        <f>IFERROR(__xludf.DUMMYFUNCTION("""COMPUTED_VALUE"""),"PCVR")</f>
        <v>PCVR</v>
      </c>
      <c r="AN46" s="69" t="str">
        <f>IFERROR(__xludf.DUMMYFUNCTION("""COMPUTED_VALUE"""),"CVS")</f>
        <v>CVS</v>
      </c>
      <c r="AO46" s="5" t="str">
        <f>IFERROR(__xludf.DUMMYFUNCTION("""COMPUTED_VALUE"""),"#N/A")</f>
        <v>#N/A</v>
      </c>
      <c r="AP46" s="5" t="str">
        <f>IFERROR(__xludf.DUMMYFUNCTION("""COMPUTED_VALUE"""),"#N/A")</f>
        <v>#N/A</v>
      </c>
      <c r="AQ46" s="5" t="str">
        <f>IFERROR(__xludf.DUMMYFUNCTION("""COMPUTED_VALUE"""),"#N/A")</f>
        <v>#N/A</v>
      </c>
      <c r="AR46" s="5" t="str">
        <f>IFERROR(__xludf.DUMMYFUNCTION("""COMPUTED_VALUE"""),"#N/A")</f>
        <v>#N/A</v>
      </c>
      <c r="AS46" s="5" t="str">
        <f>IFERROR(__xludf.DUMMYFUNCTION("""COMPUTED_VALUE"""),"#N/A")</f>
        <v>#N/A</v>
      </c>
      <c r="AT46" s="5" t="str">
        <f>IFERROR(__xludf.DUMMYFUNCTION("""COMPUTED_VALUE"""),"#N/A")</f>
        <v>#N/A</v>
      </c>
      <c r="AU46" s="5" t="str">
        <f>IFERROR(__xludf.DUMMYFUNCTION("""COMPUTED_VALUE"""),"#N/A")</f>
        <v>#N/A</v>
      </c>
      <c r="AV46" s="5" t="str">
        <f>IFERROR(__xludf.DUMMYFUNCTION("""COMPUTED_VALUE"""),"#N/A")</f>
        <v>#N/A</v>
      </c>
      <c r="AW46" s="5" t="str">
        <f>IFERROR(__xludf.DUMMYFUNCTION("""COMPUTED_VALUE"""),"StarSight")</f>
        <v>StarSight</v>
      </c>
      <c r="AX46" s="5" t="str">
        <f>IFERROR(__xludf.DUMMYFUNCTION("""COMPUTED_VALUE"""),"DH")</f>
        <v>DH</v>
      </c>
      <c r="AY46" s="5" t="str">
        <f>IFERROR(__xludf.DUMMYFUNCTION("""COMPUTED_VALUE"""),"StarRiver Arts")</f>
        <v>StarRiver Arts</v>
      </c>
      <c r="AZ46" s="5" t="str">
        <f>IFERROR(__xludf.DUMMYFUNCTION("""COMPUTED_VALUE"""),"Lolidia")</f>
        <v>Lolidia</v>
      </c>
      <c r="BA46" s="5">
        <f>IFERROR(__xludf.DUMMYFUNCTION("""COMPUTED_VALUE"""),0.0010182638888888889)</f>
        <v>0.001018263889</v>
      </c>
      <c r="BB46" s="5" t="str">
        <f>IFERROR(__xludf.DUMMYFUNCTION("""COMPUTED_VALUE"""),"EVO3")</f>
        <v>EVO3</v>
      </c>
      <c r="BC46" s="5" t="str">
        <f>IFERROR(__xludf.DUMMYFUNCTION("""COMPUTED_VALUE"""),"PCVR")</f>
        <v>PCVR</v>
      </c>
      <c r="BD46" s="5" t="str">
        <f>IFERROR(__xludf.DUMMYFUNCTION("""COMPUTED_VALUE"""),"CVS")</f>
        <v>CVS</v>
      </c>
      <c r="BE46" s="5"/>
      <c r="BF46" s="5"/>
      <c r="BG46" s="5"/>
      <c r="BH46" s="5"/>
      <c r="BI46" s="5"/>
      <c r="BJ46" s="5"/>
      <c r="BK46" s="5"/>
      <c r="BL46" s="5"/>
      <c r="BM46" s="5"/>
      <c r="BN46" s="5"/>
      <c r="BO46" s="5"/>
    </row>
    <row r="47">
      <c r="A47" s="5" t="str">
        <f>IFERROR(__xludf.DUMMYFUNCTION("""COMPUTED_VALUE"""),"Lake Akina")</f>
        <v>Lake Akina</v>
      </c>
      <c r="B47" s="5" t="str">
        <f>IFERROR(__xludf.DUMMYFUNCTION("""COMPUTED_VALUE"""),"CC")</f>
        <v>CC</v>
      </c>
      <c r="C47" s="5" t="str">
        <f>IFERROR(__xludf.DUMMYFUNCTION("""COMPUTED_VALUE"""),"Jintei")</f>
        <v>Jintei</v>
      </c>
      <c r="D47" s="5" t="str">
        <f>IFERROR(__xludf.DUMMYFUNCTION("""COMPUTED_VALUE"""),"StarRiver Arts")</f>
        <v>StarRiver Arts</v>
      </c>
      <c r="E47" s="5">
        <f>IFERROR(__xludf.DUMMYFUNCTION("""COMPUTED_VALUE"""),0.0030210300925925925)</f>
        <v>0.003021030093</v>
      </c>
      <c r="F47" s="5" t="str">
        <f>IFERROR(__xludf.DUMMYFUNCTION("""COMPUTED_VALUE"""),"AE86T-V2")</f>
        <v>AE86T-V2</v>
      </c>
      <c r="G47" s="5" t="str">
        <f>IFERROR(__xludf.DUMMYFUNCTION("""COMPUTED_VALUE"""),"PC")</f>
        <v>PC</v>
      </c>
      <c r="H47" s="5" t="str">
        <f>IFERROR(__xludf.DUMMYFUNCTION("""COMPUTED_VALUE"""),"Sacc")</f>
        <v>Sacc</v>
      </c>
      <c r="I47" s="5" t="str">
        <f>IFERROR(__xludf.DUMMYFUNCTION("""COMPUTED_VALUE"""),"Sadamine")</f>
        <v>Sadamine</v>
      </c>
      <c r="J47" s="5" t="str">
        <f>IFERROR(__xludf.DUMMYFUNCTION("""COMPUTED_VALUE"""),"OCUH")</f>
        <v>OCUH</v>
      </c>
      <c r="K47" s="5" t="str">
        <f>IFERROR(__xludf.DUMMYFUNCTION("""COMPUTED_VALUE"""),"Jintei")</f>
        <v>Jintei</v>
      </c>
      <c r="L47" s="5" t="str">
        <f>IFERROR(__xludf.DUMMYFUNCTION("""COMPUTED_VALUE"""),"StarRiver Arts")</f>
        <v>StarRiver Arts</v>
      </c>
      <c r="M47" s="5">
        <f>IFERROR(__xludf.DUMMYFUNCTION("""COMPUTED_VALUE"""),0.0021732291666666666)</f>
        <v>0.002173229167</v>
      </c>
      <c r="N47" s="5" t="str">
        <f>IFERROR(__xludf.DUMMYFUNCTION("""COMPUTED_VALUE"""),"FD3S (RX7)(TT)")</f>
        <v>FD3S (RX7)(TT)</v>
      </c>
      <c r="O47" s="5" t="str">
        <f>IFERROR(__xludf.DUMMYFUNCTION("""COMPUTED_VALUE"""),"PC")</f>
        <v>PC</v>
      </c>
      <c r="P47" s="5" t="str">
        <f>IFERROR(__xludf.DUMMYFUNCTION("""COMPUTED_VALUE"""),"Sacc")</f>
        <v>Sacc</v>
      </c>
      <c r="Q47" s="5" t="str">
        <f>IFERROR(__xludf.DUMMYFUNCTION("""COMPUTED_VALUE"""),"Tsuchisaka")</f>
        <v>Tsuchisaka</v>
      </c>
      <c r="R47" s="5" t="str">
        <f>IFERROR(__xludf.DUMMYFUNCTION("""COMPUTED_VALUE"""),"UH")</f>
        <v>UH</v>
      </c>
      <c r="S47" s="5" t="str">
        <f>IFERROR(__xludf.DUMMYFUNCTION("""COMPUTED_VALUE"""),"Jintei")</f>
        <v>Jintei</v>
      </c>
      <c r="T47" s="5" t="str">
        <f>IFERROR(__xludf.DUMMYFUNCTION("""COMPUTED_VALUE"""),"StarRiver Arts")</f>
        <v>StarRiver Arts</v>
      </c>
      <c r="U47" s="5">
        <f>IFERROR(__xludf.DUMMYFUNCTION("""COMPUTED_VALUE"""),0.0017542476851851853)</f>
        <v>0.001754247685</v>
      </c>
      <c r="V47" s="5" t="str">
        <f>IFERROR(__xludf.DUMMYFUNCTION("""COMPUTED_VALUE"""),"EVOVI/CP9A")</f>
        <v>EVOVI/CP9A</v>
      </c>
      <c r="W47" s="5" t="str">
        <f>IFERROR(__xludf.DUMMYFUNCTION("""COMPUTED_VALUE"""),"PC")</f>
        <v>PC</v>
      </c>
      <c r="X47" s="5" t="str">
        <f>IFERROR(__xludf.DUMMYFUNCTION("""COMPUTED_VALUE"""),"Sacc")</f>
        <v>Sacc</v>
      </c>
      <c r="Y47" s="5"/>
      <c r="Z47" s="5"/>
      <c r="AA47" s="5"/>
      <c r="AB47" s="5"/>
      <c r="AC47" s="5"/>
      <c r="AD47" s="5"/>
      <c r="AE47" s="5"/>
      <c r="AF47" s="5"/>
      <c r="AG47" s="14"/>
      <c r="AH47" s="14"/>
      <c r="AI47" s="14"/>
      <c r="AJ47" s="14"/>
      <c r="AK47" s="14"/>
      <c r="AL47" s="14"/>
      <c r="AM47" s="14"/>
      <c r="AN47" s="14"/>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c r="A48" s="5" t="str">
        <f>IFERROR(__xludf.DUMMYFUNCTION("""COMPUTED_VALUE"""),"Akina")</f>
        <v>Akina</v>
      </c>
      <c r="B48" s="5" t="str">
        <f>IFERROR(__xludf.DUMMYFUNCTION("""COMPUTED_VALUE"""),"UH")</f>
        <v>UH</v>
      </c>
      <c r="C48" s="5" t="str">
        <f>IFERROR(__xludf.DUMMYFUNCTION("""COMPUTED_VALUE"""),"Jintei")</f>
        <v>Jintei</v>
      </c>
      <c r="D48" s="5" t="str">
        <f>IFERROR(__xludf.DUMMYFUNCTION("""COMPUTED_VALUE"""),"Lolidia")</f>
        <v>Lolidia</v>
      </c>
      <c r="E48" s="5">
        <f>IFERROR(__xludf.DUMMYFUNCTION("""COMPUTED_VALUE"""),0.002610914351851852)</f>
        <v>0.002610914352</v>
      </c>
      <c r="F48" s="5" t="str">
        <f>IFERROR(__xludf.DUMMYFUNCTION("""COMPUTED_VALUE"""),"AE86T-V2")</f>
        <v>AE86T-V2</v>
      </c>
      <c r="G48" s="5" t="str">
        <f>IFERROR(__xludf.DUMMYFUNCTION("""COMPUTED_VALUE"""),"PCVR")</f>
        <v>PCVR</v>
      </c>
      <c r="H48" s="5" t="str">
        <f>IFERROR(__xludf.DUMMYFUNCTION("""COMPUTED_VALUE"""),"Sacc")</f>
        <v>Sacc</v>
      </c>
      <c r="I48" s="5" t="str">
        <f>IFERROR(__xludf.DUMMYFUNCTION("""COMPUTED_VALUE"""),"Sadamine")</f>
        <v>Sadamine</v>
      </c>
      <c r="J48" s="5" t="str">
        <f>IFERROR(__xludf.DUMMYFUNCTION("""COMPUTED_VALUE"""),"FCUH")</f>
        <v>FCUH</v>
      </c>
      <c r="K48" s="5" t="str">
        <f>IFERROR(__xludf.DUMMYFUNCTION("""COMPUTED_VALUE"""),"Jintei")</f>
        <v>Jintei</v>
      </c>
      <c r="L48" s="5" t="str">
        <f>IFERROR(__xludf.DUMMYFUNCTION("""COMPUTED_VALUE"""),"StarRiver Arts")</f>
        <v>StarRiver Arts</v>
      </c>
      <c r="M48" s="5">
        <f>IFERROR(__xludf.DUMMYFUNCTION("""COMPUTED_VALUE"""),0.002911076388888889)</f>
        <v>0.002911076389</v>
      </c>
      <c r="N48" s="5" t="str">
        <f>IFERROR(__xludf.DUMMYFUNCTION("""COMPUTED_VALUE"""),"FD3S (RX7)(TT)")</f>
        <v>FD3S (RX7)(TT)</v>
      </c>
      <c r="O48" s="5" t="str">
        <f>IFERROR(__xludf.DUMMYFUNCTION("""COMPUTED_VALUE"""),"PC")</f>
        <v>PC</v>
      </c>
      <c r="P48" s="5" t="str">
        <f>IFERROR(__xludf.DUMMYFUNCTION("""COMPUTED_VALUE"""),"Sacc")</f>
        <v>Sacc</v>
      </c>
      <c r="Q48" s="5" t="str">
        <f>IFERROR(__xludf.DUMMYFUNCTION("""COMPUTED_VALUE"""),"Tsuchisaka")</f>
        <v>Tsuchisaka</v>
      </c>
      <c r="R48" s="5" t="str">
        <f>IFERROR(__xludf.DUMMYFUNCTION("""COMPUTED_VALUE"""),"OB")</f>
        <v>OB</v>
      </c>
      <c r="S48" s="5" t="str">
        <f>IFERROR(__xludf.DUMMYFUNCTION("""COMPUTED_VALUE"""),"Jintei")</f>
        <v>Jintei</v>
      </c>
      <c r="T48" s="5" t="str">
        <f>IFERROR(__xludf.DUMMYFUNCTION("""COMPUTED_VALUE"""),"StarRiver Arts")</f>
        <v>StarRiver Arts</v>
      </c>
      <c r="U48" s="5">
        <f>IFERROR(__xludf.DUMMYFUNCTION("""COMPUTED_VALUE"""),0.00256693287037037)</f>
        <v>0.00256693287</v>
      </c>
      <c r="V48" s="5" t="str">
        <f>IFERROR(__xludf.DUMMYFUNCTION("""COMPUTED_VALUE"""),"EVOVI/CP9A")</f>
        <v>EVOVI/CP9A</v>
      </c>
      <c r="W48" s="5" t="str">
        <f>IFERROR(__xludf.DUMMYFUNCTION("""COMPUTED_VALUE"""),"PC")</f>
        <v>PC</v>
      </c>
      <c r="X48" s="5" t="str">
        <f>IFERROR(__xludf.DUMMYFUNCTION("""COMPUTED_VALUE"""),"Sacc")</f>
        <v>Sacc</v>
      </c>
      <c r="Y48" s="5"/>
      <c r="Z48" s="5"/>
      <c r="AA48" s="5"/>
      <c r="AB48" s="5"/>
      <c r="AC48" s="5"/>
      <c r="AD48" s="5"/>
      <c r="AE48" s="5"/>
      <c r="AF48" s="5"/>
      <c r="AG48" s="14"/>
      <c r="AH48" s="14"/>
      <c r="AI48" s="14"/>
      <c r="AJ48" s="14"/>
      <c r="AK48" s="14"/>
      <c r="AL48" s="14"/>
      <c r="AM48" s="14"/>
      <c r="AN48" s="14"/>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c r="A49" s="5" t="str">
        <f>IFERROR(__xludf.DUMMYFUNCTION("""COMPUTED_VALUE"""),"Tsubaki")</f>
        <v>Tsubaki</v>
      </c>
      <c r="B49" s="5" t="str">
        <f>IFERROR(__xludf.DUMMYFUNCTION("""COMPUTED_VALUE"""),"UH")</f>
        <v>UH</v>
      </c>
      <c r="C49" s="5" t="str">
        <f>IFERROR(__xludf.DUMMYFUNCTION("""COMPUTED_VALUE"""),"Jintei ")</f>
        <v>Jintei </v>
      </c>
      <c r="D49" s="5" t="str">
        <f>IFERROR(__xludf.DUMMYFUNCTION("""COMPUTED_VALUE"""),"StarRiver Arts")</f>
        <v>StarRiver Arts</v>
      </c>
      <c r="E49" s="5">
        <f>IFERROR(__xludf.DUMMYFUNCTION("""COMPUTED_VALUE"""),0.0033501157407407407)</f>
        <v>0.003350115741</v>
      </c>
      <c r="F49" s="5" t="str">
        <f>IFERROR(__xludf.DUMMYFUNCTION("""COMPUTED_VALUE"""),"AE86T-V2")</f>
        <v>AE86T-V2</v>
      </c>
      <c r="G49" s="5" t="str">
        <f>IFERROR(__xludf.DUMMYFUNCTION("""COMPUTED_VALUE"""),"PC")</f>
        <v>PC</v>
      </c>
      <c r="H49" s="5" t="str">
        <f>IFERROR(__xludf.DUMMYFUNCTION("""COMPUTED_VALUE"""),"Sacc")</f>
        <v>Sacc</v>
      </c>
      <c r="I49" s="5" t="str">
        <f>IFERROR(__xludf.DUMMYFUNCTION("""COMPUTED_VALUE"""),"Irohazaka")</f>
        <v>Irohazaka</v>
      </c>
      <c r="J49" s="5" t="str">
        <f>IFERROR(__xludf.DUMMYFUNCTION("""COMPUTED_VALUE"""),"DH")</f>
        <v>DH</v>
      </c>
      <c r="K49" s="5" t="str">
        <f>IFERROR(__xludf.DUMMYFUNCTION("""COMPUTED_VALUE"""),"Jintei ")</f>
        <v>Jintei </v>
      </c>
      <c r="L49" s="5" t="str">
        <f>IFERROR(__xludf.DUMMYFUNCTION("""COMPUTED_VALUE"""),"菲娜 希琉絲")</f>
        <v>菲娜 希琉絲</v>
      </c>
      <c r="M49" s="5">
        <f>IFERROR(__xludf.DUMMYFUNCTION("""COMPUTED_VALUE"""),0.0025714699074074073)</f>
        <v>0.002571469907</v>
      </c>
      <c r="N49" s="5" t="str">
        <f>IFERROR(__xludf.DUMMYFUNCTION("""COMPUTED_VALUE"""),"FD3S (RX7)(TT)")</f>
        <v>FD3S (RX7)(TT)</v>
      </c>
      <c r="O49" s="5" t="str">
        <f>IFERROR(__xludf.DUMMYFUNCTION("""COMPUTED_VALUE"""),"PCVR")</f>
        <v>PCVR</v>
      </c>
      <c r="P49" s="5" t="str">
        <f>IFERROR(__xludf.DUMMYFUNCTION("""COMPUTED_VALUE"""),"Sacc")</f>
        <v>Sacc</v>
      </c>
      <c r="Q49" s="5" t="str">
        <f>IFERROR(__xludf.DUMMYFUNCTION("""COMPUTED_VALUE"""),"Tsuchisaka")</f>
        <v>Tsuchisaka</v>
      </c>
      <c r="R49" s="5" t="str">
        <f>IFERROR(__xludf.DUMMYFUNCTION("""COMPUTED_VALUE"""),"IB")</f>
        <v>IB</v>
      </c>
      <c r="S49" s="5" t="str">
        <f>IFERROR(__xludf.DUMMYFUNCTION("""COMPUTED_VALUE"""),"Jintei")</f>
        <v>Jintei</v>
      </c>
      <c r="T49" s="5" t="str">
        <f>IFERROR(__xludf.DUMMYFUNCTION("""COMPUTED_VALUE"""),"StarRiver Arts")</f>
        <v>StarRiver Arts</v>
      </c>
      <c r="U49" s="5">
        <f>IFERROR(__xludf.DUMMYFUNCTION("""COMPUTED_VALUE"""),0.0027189351851851853)</f>
        <v>0.002718935185</v>
      </c>
      <c r="V49" s="5" t="str">
        <f>IFERROR(__xludf.DUMMYFUNCTION("""COMPUTED_VALUE"""),"EVOVI/CP9A")</f>
        <v>EVOVI/CP9A</v>
      </c>
      <c r="W49" s="5" t="str">
        <f>IFERROR(__xludf.DUMMYFUNCTION("""COMPUTED_VALUE"""),"PC")</f>
        <v>PC</v>
      </c>
      <c r="X49" s="5" t="str">
        <f>IFERROR(__xludf.DUMMYFUNCTION("""COMPUTED_VALUE"""),"Sacc")</f>
        <v>Sacc</v>
      </c>
      <c r="Y49" s="5"/>
      <c r="Z49" s="5"/>
      <c r="AA49" s="5"/>
      <c r="AB49" s="5"/>
      <c r="AC49" s="5"/>
      <c r="AD49" s="5"/>
      <c r="AE49" s="5"/>
      <c r="AF49" s="5"/>
      <c r="AG49" s="14"/>
      <c r="AH49" s="14"/>
      <c r="AI49" s="14"/>
      <c r="AJ49" s="14"/>
      <c r="AK49" s="14"/>
      <c r="AL49" s="14"/>
      <c r="AM49" s="14"/>
      <c r="AN49" s="14"/>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c r="A50" s="5" t="str">
        <f>IFERROR(__xludf.DUMMYFUNCTION("""COMPUTED_VALUE"""),"Akagi")</f>
        <v>Akagi</v>
      </c>
      <c r="B50" s="5" t="str">
        <f>IFERROR(__xludf.DUMMYFUNCTION("""COMPUTED_VALUE"""),"UH")</f>
        <v>UH</v>
      </c>
      <c r="C50" s="5" t="str">
        <f>IFERROR(__xludf.DUMMYFUNCTION("""COMPUTED_VALUE"""),"Jintei")</f>
        <v>Jintei</v>
      </c>
      <c r="D50" s="5" t="str">
        <f>IFERROR(__xludf.DUMMYFUNCTION("""COMPUTED_VALUE"""),"Test Driver")</f>
        <v>Test Driver</v>
      </c>
      <c r="E50" s="5">
        <f>IFERROR(__xludf.DUMMYFUNCTION("""COMPUTED_VALUE"""),0.006944444444444444)</f>
        <v>0.006944444444</v>
      </c>
      <c r="F50" s="5" t="str">
        <f>IFERROR(__xludf.DUMMYFUNCTION("""COMPUTED_VALUE"""),"AE86T-V2")</f>
        <v>AE86T-V2</v>
      </c>
      <c r="G50" s="5"/>
      <c r="H50" s="5" t="str">
        <f>IFERROR(__xludf.DUMMYFUNCTION("""COMPUTED_VALUE"""),"Sacc")</f>
        <v>Sacc</v>
      </c>
      <c r="I50" s="5" t="str">
        <f>IFERROR(__xludf.DUMMYFUNCTION("""COMPUTED_VALUE"""),"Akina")</f>
        <v>Akina</v>
      </c>
      <c r="J50" s="5" t="str">
        <f>IFERROR(__xludf.DUMMYFUNCTION("""COMPUTED_VALUE"""),"UH")</f>
        <v>UH</v>
      </c>
      <c r="K50" s="5" t="str">
        <f>IFERROR(__xludf.DUMMYFUNCTION("""COMPUTED_VALUE"""),"Jintei")</f>
        <v>Jintei</v>
      </c>
      <c r="L50" s="5" t="str">
        <f>IFERROR(__xludf.DUMMYFUNCTION("""COMPUTED_VALUE"""),"Test Driver")</f>
        <v>Test Driver</v>
      </c>
      <c r="M50" s="5">
        <f>IFERROR(__xludf.DUMMYFUNCTION("""COMPUTED_VALUE"""),0.006944444444444444)</f>
        <v>0.006944444444</v>
      </c>
      <c r="N50" s="5" t="str">
        <f>IFERROR(__xludf.DUMMYFUNCTION("""COMPUTED_VALUE"""),"FD3S (RX7)(TT)")</f>
        <v>FD3S (RX7)(TT)</v>
      </c>
      <c r="O50" s="5"/>
      <c r="P50" s="5" t="str">
        <f>IFERROR(__xludf.DUMMYFUNCTION("""COMPUTED_VALUE"""),"Sacc")</f>
        <v>Sacc</v>
      </c>
      <c r="Q50" s="5"/>
      <c r="R50" s="5"/>
      <c r="S50" s="5"/>
      <c r="T50" s="5"/>
      <c r="U50" s="5"/>
      <c r="V50" s="5"/>
      <c r="W50" s="5"/>
      <c r="X50" s="5"/>
      <c r="Y50" s="5"/>
      <c r="Z50" s="5"/>
      <c r="AA50" s="5"/>
      <c r="AB50" s="5"/>
      <c r="AC50" s="5"/>
      <c r="AD50" s="5"/>
      <c r="AE50" s="5"/>
      <c r="AF50" s="5"/>
      <c r="AG50" s="14"/>
      <c r="AH50" s="14"/>
      <c r="AI50" s="14"/>
      <c r="AJ50" s="14"/>
      <c r="AK50" s="14"/>
      <c r="AL50" s="14"/>
      <c r="AM50" s="14"/>
      <c r="AN50" s="14"/>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c r="A51" s="5" t="str">
        <f>IFERROR(__xludf.DUMMYFUNCTION("""COMPUTED_VALUE"""),"Shomaru")</f>
        <v>Shomaru</v>
      </c>
      <c r="B51" s="5" t="str">
        <f>IFERROR(__xludf.DUMMYFUNCTION("""COMPUTED_VALUE"""),"OB")</f>
        <v>OB</v>
      </c>
      <c r="C51" s="5" t="str">
        <f>IFERROR(__xludf.DUMMYFUNCTION("""COMPUTED_VALUE"""),"Jintei")</f>
        <v>Jintei</v>
      </c>
      <c r="D51" s="5" t="str">
        <f>IFERROR(__xludf.DUMMYFUNCTION("""COMPUTED_VALUE"""),"Test Driver")</f>
        <v>Test Driver</v>
      </c>
      <c r="E51" s="5">
        <f>IFERROR(__xludf.DUMMYFUNCTION("""COMPUTED_VALUE"""),0.006944444444444444)</f>
        <v>0.006944444444</v>
      </c>
      <c r="F51" s="5" t="str">
        <f>IFERROR(__xludf.DUMMYFUNCTION("""COMPUTED_VALUE"""),"AE86T-V2")</f>
        <v>AE86T-V2</v>
      </c>
      <c r="G51" s="5"/>
      <c r="H51" s="5" t="str">
        <f>IFERROR(__xludf.DUMMYFUNCTION("""COMPUTED_VALUE"""),"Sacc")</f>
        <v>Sacc</v>
      </c>
      <c r="I51" s="5" t="str">
        <f>IFERROR(__xludf.DUMMYFUNCTION("""COMPUTED_VALUE"""),"Sadamine")</f>
        <v>Sadamine</v>
      </c>
      <c r="J51" s="5" t="str">
        <f>IFERROR(__xludf.DUMMYFUNCTION("""COMPUTED_VALUE"""),"OCDH")</f>
        <v>OCDH</v>
      </c>
      <c r="K51" s="5" t="str">
        <f>IFERROR(__xludf.DUMMYFUNCTION("""COMPUTED_VALUE"""),"Jintei")</f>
        <v>Jintei</v>
      </c>
      <c r="L51" s="5" t="str">
        <f>IFERROR(__xludf.DUMMYFUNCTION("""COMPUTED_VALUE"""),"Test Driver")</f>
        <v>Test Driver</v>
      </c>
      <c r="M51" s="5">
        <f>IFERROR(__xludf.DUMMYFUNCTION("""COMPUTED_VALUE"""),0.006944444444444444)</f>
        <v>0.006944444444</v>
      </c>
      <c r="N51" s="5" t="str">
        <f>IFERROR(__xludf.DUMMYFUNCTION("""COMPUTED_VALUE"""),"FD3S (RX7)(TT)")</f>
        <v>FD3S (RX7)(TT)</v>
      </c>
      <c r="O51" s="5"/>
      <c r="P51" s="5" t="str">
        <f>IFERROR(__xludf.DUMMYFUNCTION("""COMPUTED_VALUE"""),"Sacc")</f>
        <v>Sacc</v>
      </c>
      <c r="Q51" s="5"/>
      <c r="R51" s="5"/>
      <c r="S51" s="5"/>
      <c r="T51" s="5"/>
      <c r="U51" s="5"/>
      <c r="V51" s="5"/>
      <c r="W51" s="5"/>
      <c r="X51" s="5"/>
      <c r="Y51" s="5"/>
      <c r="Z51" s="5"/>
      <c r="AA51" s="5"/>
      <c r="AB51" s="5"/>
      <c r="AC51" s="5"/>
      <c r="AD51" s="5"/>
      <c r="AE51" s="5"/>
      <c r="AF51" s="5"/>
      <c r="AG51" s="14"/>
      <c r="AH51" s="14"/>
      <c r="AI51" s="14"/>
      <c r="AJ51" s="14"/>
      <c r="AK51" s="14"/>
      <c r="AL51" s="14"/>
      <c r="AM51" s="14"/>
      <c r="AN51" s="14"/>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c r="A52" s="5" t="str">
        <f>IFERROR(__xludf.DUMMYFUNCTION("""COMPUTED_VALUE"""),"Shomaru")</f>
        <v>Shomaru</v>
      </c>
      <c r="B52" s="5" t="str">
        <f>IFERROR(__xludf.DUMMYFUNCTION("""COMPUTED_VALUE"""),"IB")</f>
        <v>IB</v>
      </c>
      <c r="C52" s="5" t="str">
        <f>IFERROR(__xludf.DUMMYFUNCTION("""COMPUTED_VALUE"""),"Jintei")</f>
        <v>Jintei</v>
      </c>
      <c r="D52" s="5" t="str">
        <f>IFERROR(__xludf.DUMMYFUNCTION("""COMPUTED_VALUE"""),"Test Driver")</f>
        <v>Test Driver</v>
      </c>
      <c r="E52" s="5">
        <f>IFERROR(__xludf.DUMMYFUNCTION("""COMPUTED_VALUE"""),0.006944444444444444)</f>
        <v>0.006944444444</v>
      </c>
      <c r="F52" s="5" t="str">
        <f>IFERROR(__xludf.DUMMYFUNCTION("""COMPUTED_VALUE"""),"AE86T-V2")</f>
        <v>AE86T-V2</v>
      </c>
      <c r="G52" s="5"/>
      <c r="H52" s="5" t="str">
        <f>IFERROR(__xludf.DUMMYFUNCTION("""COMPUTED_VALUE"""),"Sacc")</f>
        <v>Sacc</v>
      </c>
      <c r="I52" s="5"/>
      <c r="J52" s="5"/>
      <c r="K52" s="5"/>
      <c r="L52" s="5"/>
      <c r="M52" s="5"/>
      <c r="N52" s="5"/>
      <c r="O52" s="5"/>
      <c r="P52" s="5"/>
      <c r="Q52" s="5"/>
      <c r="R52" s="5"/>
      <c r="S52" s="5"/>
      <c r="T52" s="5"/>
      <c r="U52" s="5"/>
      <c r="V52" s="5"/>
      <c r="W52" s="5"/>
      <c r="X52" s="5"/>
      <c r="Y52" s="5"/>
      <c r="Z52" s="5"/>
      <c r="AA52" s="5"/>
      <c r="AB52" s="5"/>
      <c r="AC52" s="5"/>
      <c r="AD52" s="5"/>
      <c r="AE52" s="5"/>
      <c r="AF52" s="5"/>
      <c r="AG52" s="68" t="s">
        <v>152</v>
      </c>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c r="A53" s="5" t="str">
        <f>IFERROR(__xludf.DUMMYFUNCTION("""COMPUTED_VALUE"""),"Shomaru")</f>
        <v>Shomaru</v>
      </c>
      <c r="B53" s="5" t="str">
        <f>IFERROR(__xludf.DUMMYFUNCTION("""COMPUTED_VALUE"""),"Double")</f>
        <v>Double</v>
      </c>
      <c r="C53" s="5" t="str">
        <f>IFERROR(__xludf.DUMMYFUNCTION("""COMPUTED_VALUE"""),"Jintei")</f>
        <v>Jintei</v>
      </c>
      <c r="D53" s="5" t="str">
        <f>IFERROR(__xludf.DUMMYFUNCTION("""COMPUTED_VALUE"""),"Test Driver")</f>
        <v>Test Driver</v>
      </c>
      <c r="E53" s="5">
        <f>IFERROR(__xludf.DUMMYFUNCTION("""COMPUTED_VALUE"""),0.006944444444444444)</f>
        <v>0.006944444444</v>
      </c>
      <c r="F53" s="5" t="str">
        <f>IFERROR(__xludf.DUMMYFUNCTION("""COMPUTED_VALUE"""),"AE86T-V2")</f>
        <v>AE86T-V2</v>
      </c>
      <c r="G53" s="5"/>
      <c r="H53" s="5" t="str">
        <f>IFERROR(__xludf.DUMMYFUNCTION("""COMPUTED_VALUE"""),"Sacc")</f>
        <v>Sacc</v>
      </c>
      <c r="I53" s="5"/>
      <c r="J53" s="5"/>
      <c r="K53" s="5"/>
      <c r="L53" s="5"/>
      <c r="M53" s="5"/>
      <c r="N53" s="5"/>
      <c r="O53" s="5"/>
      <c r="P53" s="5"/>
      <c r="Q53" s="5"/>
      <c r="R53" s="5"/>
      <c r="S53" s="5"/>
      <c r="T53" s="5"/>
      <c r="U53" s="5"/>
      <c r="V53" s="5"/>
      <c r="W53" s="5"/>
      <c r="X53" s="5"/>
      <c r="Y53" s="5"/>
      <c r="Z53" s="5"/>
      <c r="AA53" s="5"/>
      <c r="AB53" s="5"/>
      <c r="AC53" s="5"/>
      <c r="AD53" s="5"/>
      <c r="AE53" s="5"/>
      <c r="AF53" s="5"/>
      <c r="AG53" s="14" t="str">
        <f>IFERROR(__xludf.DUMMYFUNCTION("LET(
  車輛, AG52,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H53" s="14" t="str">
        <f>IFERROR(__xludf.DUMMYFUNCTION("""COMPUTED_VALUE"""),"路線")</f>
        <v>路線</v>
      </c>
      <c r="AI53" s="14" t="str">
        <f>IFERROR(__xludf.DUMMYFUNCTION("""COMPUTED_VALUE"""),"作者")</f>
        <v>作者</v>
      </c>
      <c r="AJ53" s="14" t="str">
        <f>IFERROR(__xludf.DUMMYFUNCTION("""COMPUTED_VALUE"""),"玩家")</f>
        <v>玩家</v>
      </c>
      <c r="AK53" s="14" t="str">
        <f>IFERROR(__xludf.DUMMYFUNCTION("""COMPUTED_VALUE"""),"時間")</f>
        <v>時間</v>
      </c>
      <c r="AL53" s="14" t="str">
        <f>IFERROR(__xludf.DUMMYFUNCTION("""COMPUTED_VALUE"""),"車輛")</f>
        <v>車輛</v>
      </c>
      <c r="AM53" s="14" t="str">
        <f>IFERROR(__xludf.DUMMYFUNCTION("""COMPUTED_VALUE"""),"平台")</f>
        <v>平台</v>
      </c>
      <c r="AN53" s="14" t="str">
        <f>IFERROR(__xludf.DUMMYFUNCTION("""COMPUTED_VALUE"""),"系統")</f>
        <v>系統</v>
      </c>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c r="A54" s="5" t="str">
        <f>IFERROR(__xludf.DUMMYFUNCTION("""COMPUTED_VALUE"""),"AkinaUN")</f>
        <v>AkinaUN</v>
      </c>
      <c r="B54" s="5" t="str">
        <f>IFERROR(__xludf.DUMMYFUNCTION("""COMPUTED_VALUE"""),"UH")</f>
        <v>UH</v>
      </c>
      <c r="C54" s="5" t="str">
        <f>IFERROR(__xludf.DUMMYFUNCTION("""COMPUTED_VALUE"""),"Jintei")</f>
        <v>Jintei</v>
      </c>
      <c r="D54" s="5" t="str">
        <f>IFERROR(__xludf.DUMMYFUNCTION("""COMPUTED_VALUE"""),"Test Driver")</f>
        <v>Test Driver</v>
      </c>
      <c r="E54" s="5">
        <f>IFERROR(__xludf.DUMMYFUNCTION("""COMPUTED_VALUE"""),0.006944444444444444)</f>
        <v>0.006944444444</v>
      </c>
      <c r="F54" s="5" t="str">
        <f>IFERROR(__xludf.DUMMYFUNCTION("""COMPUTED_VALUE"""),"AE86T-V2")</f>
        <v>AE86T-V2</v>
      </c>
      <c r="G54" s="5"/>
      <c r="H54" s="5" t="str">
        <f>IFERROR(__xludf.DUMMYFUNCTION("""COMPUTED_VALUE"""),"Sacc")</f>
        <v>Sacc</v>
      </c>
      <c r="I54" s="5"/>
      <c r="J54" s="5"/>
      <c r="K54" s="5"/>
      <c r="L54" s="5"/>
      <c r="M54" s="5"/>
      <c r="N54" s="5"/>
      <c r="O54" s="5"/>
      <c r="P54" s="5"/>
      <c r="Q54" s="67" t="s">
        <v>153</v>
      </c>
      <c r="Y54" s="67" t="s">
        <v>154</v>
      </c>
      <c r="AG54" s="69" t="str">
        <f>IFERROR(__xludf.DUMMYFUNCTION("""COMPUTED_VALUE"""),"Silverstone")</f>
        <v>Silverstone</v>
      </c>
      <c r="AH54" s="69"/>
      <c r="AI54" s="69" t="str">
        <f>IFERROR(__xludf.DUMMYFUNCTION("""COMPUTED_VALUE"""),"Aiden1408")</f>
        <v>Aiden1408</v>
      </c>
      <c r="AJ54" s="69" t="str">
        <f>IFERROR(__xludf.DUMMYFUNCTION("""COMPUTED_VALUE"""),"windnight5")</f>
        <v>windnight5</v>
      </c>
      <c r="AK54" s="69">
        <f>IFERROR(__xludf.DUMMYFUNCTION("""COMPUTED_VALUE"""),9.09050925925926E-4)</f>
        <v>0.0009090509259</v>
      </c>
      <c r="AL54" s="69" t="str">
        <f>IFERROR(__xludf.DUMMYFUNCTION("""COMPUTED_VALUE"""),"mcl39(McLaren)")</f>
        <v>mcl39(McLaren)</v>
      </c>
      <c r="AM54" s="69" t="str">
        <f>IFERROR(__xludf.DUMMYFUNCTION("""COMPUTED_VALUE"""),"PCVR")</f>
        <v>PCVR</v>
      </c>
      <c r="AN54" s="69" t="str">
        <f>IFERROR(__xludf.DUMMYFUNCTION("""COMPUTED_VALUE"""),"CVS")</f>
        <v>CVS</v>
      </c>
      <c r="AO54" s="5"/>
      <c r="AP54" s="5"/>
      <c r="AQ54" s="5"/>
      <c r="AR54" s="5"/>
      <c r="AS54" s="5"/>
      <c r="AT54" s="5"/>
      <c r="AU54" s="5"/>
      <c r="AV54" s="5"/>
      <c r="AW54" s="67" t="s">
        <v>155</v>
      </c>
      <c r="BE54" s="67"/>
      <c r="BF54" s="67"/>
      <c r="BG54" s="67"/>
      <c r="BH54" s="67"/>
      <c r="BI54" s="67"/>
      <c r="BJ54" s="67"/>
      <c r="BK54" s="67"/>
      <c r="BL54" s="67"/>
      <c r="BM54" s="67"/>
      <c r="BN54" s="67"/>
      <c r="BO54" s="67"/>
    </row>
    <row r="55">
      <c r="A55" s="5"/>
      <c r="B55" s="5"/>
      <c r="C55" s="5"/>
      <c r="D55" s="5"/>
      <c r="E55" s="5"/>
      <c r="F55" s="5"/>
      <c r="G55" s="5"/>
      <c r="H55" s="5"/>
      <c r="I55" s="5"/>
      <c r="J55" s="5"/>
      <c r="K55" s="5"/>
      <c r="L55" s="5"/>
      <c r="M55" s="5"/>
      <c r="N55" s="5"/>
      <c r="O55" s="5"/>
      <c r="P55" s="5"/>
      <c r="Q55" s="5" t="str">
        <f>IFERROR(__xludf.DUMMYFUNCTION("LET(
  車輛, Q54,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55" s="5" t="str">
        <f>IFERROR(__xludf.DUMMYFUNCTION("""COMPUTED_VALUE"""),"路線")</f>
        <v>路線</v>
      </c>
      <c r="S55" s="5" t="str">
        <f>IFERROR(__xludf.DUMMYFUNCTION("""COMPUTED_VALUE"""),"作者")</f>
        <v>作者</v>
      </c>
      <c r="T55" s="5" t="str">
        <f>IFERROR(__xludf.DUMMYFUNCTION("""COMPUTED_VALUE"""),"玩家")</f>
        <v>玩家</v>
      </c>
      <c r="U55" s="5" t="str">
        <f>IFERROR(__xludf.DUMMYFUNCTION("""COMPUTED_VALUE"""),"時間")</f>
        <v>時間</v>
      </c>
      <c r="V55" s="5" t="str">
        <f>IFERROR(__xludf.DUMMYFUNCTION("""COMPUTED_VALUE"""),"車輛")</f>
        <v>車輛</v>
      </c>
      <c r="W55" s="5" t="str">
        <f>IFERROR(__xludf.DUMMYFUNCTION("""COMPUTED_VALUE"""),"平台")</f>
        <v>平台</v>
      </c>
      <c r="X55" s="5" t="str">
        <f>IFERROR(__xludf.DUMMYFUNCTION("""COMPUTED_VALUE"""),"系統")</f>
        <v>系統</v>
      </c>
      <c r="Y55" s="5" t="str">
        <f>IFERROR(__xludf.DUMMYFUNCTION("LET(
  車輛, Y54,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55" s="5" t="str">
        <f>IFERROR(__xludf.DUMMYFUNCTION("""COMPUTED_VALUE"""),"路線")</f>
        <v>路線</v>
      </c>
      <c r="AA55" s="5" t="str">
        <f>IFERROR(__xludf.DUMMYFUNCTION("""COMPUTED_VALUE"""),"作者")</f>
        <v>作者</v>
      </c>
      <c r="AB55" s="5" t="str">
        <f>IFERROR(__xludf.DUMMYFUNCTION("""COMPUTED_VALUE"""),"玩家")</f>
        <v>玩家</v>
      </c>
      <c r="AC55" s="5" t="str">
        <f>IFERROR(__xludf.DUMMYFUNCTION("""COMPUTED_VALUE"""),"時間")</f>
        <v>時間</v>
      </c>
      <c r="AD55" s="5" t="str">
        <f>IFERROR(__xludf.DUMMYFUNCTION("""COMPUTED_VALUE"""),"車輛")</f>
        <v>車輛</v>
      </c>
      <c r="AE55" s="5" t="str">
        <f>IFERROR(__xludf.DUMMYFUNCTION("""COMPUTED_VALUE"""),"平台")</f>
        <v>平台</v>
      </c>
      <c r="AF55" s="5" t="str">
        <f>IFERROR(__xludf.DUMMYFUNCTION("""COMPUTED_VALUE"""),"系統")</f>
        <v>系統</v>
      </c>
      <c r="AG55" s="14" t="str">
        <f>IFERROR(__xludf.DUMMYFUNCTION("""COMPUTED_VALUE"""),"LasVegas")</f>
        <v>LasVegas</v>
      </c>
      <c r="AH55" s="14"/>
      <c r="AI55" s="14" t="str">
        <f>IFERROR(__xludf.DUMMYFUNCTION("""COMPUTED_VALUE"""),"Aiden1408")</f>
        <v>Aiden1408</v>
      </c>
      <c r="AJ55" s="14" t="str">
        <f>IFERROR(__xludf.DUMMYFUNCTION("""COMPUTED_VALUE"""),"VRCGPaul")</f>
        <v>VRCGPaul</v>
      </c>
      <c r="AK55" s="14">
        <f>IFERROR(__xludf.DUMMYFUNCTION("""COMPUTED_VALUE"""),0.0010448842592592593)</f>
        <v>0.001044884259</v>
      </c>
      <c r="AL55" s="14" t="str">
        <f>IFERROR(__xludf.DUMMYFUNCTION("""COMPUTED_VALUE"""),"mcl39(McLaren)")</f>
        <v>mcl39(McLaren)</v>
      </c>
      <c r="AM55" s="14" t="str">
        <f>IFERROR(__xludf.DUMMYFUNCTION("""COMPUTED_VALUE"""),"PCVR")</f>
        <v>PCVR</v>
      </c>
      <c r="AN55" s="14" t="str">
        <f>IFERROR(__xludf.DUMMYFUNCTION("""COMPUTED_VALUE"""),"CVS")</f>
        <v>CVS</v>
      </c>
      <c r="AO55" s="5"/>
      <c r="AP55" s="5"/>
      <c r="AQ55" s="5"/>
      <c r="AR55" s="5"/>
      <c r="AS55" s="5"/>
      <c r="AT55" s="5"/>
      <c r="AU55" s="5"/>
      <c r="AV55" s="5"/>
      <c r="AW55" s="5" t="str">
        <f>IFERROR(__xludf.DUMMYFUNCTION("LET(
  車輛, AW54,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55" s="5" t="str">
        <f>IFERROR(__xludf.DUMMYFUNCTION("""COMPUTED_VALUE"""),"路線")</f>
        <v>路線</v>
      </c>
      <c r="AY55" s="5" t="str">
        <f>IFERROR(__xludf.DUMMYFUNCTION("""COMPUTED_VALUE"""),"作者")</f>
        <v>作者</v>
      </c>
      <c r="AZ55" s="5" t="str">
        <f>IFERROR(__xludf.DUMMYFUNCTION("""COMPUTED_VALUE"""),"玩家")</f>
        <v>玩家</v>
      </c>
      <c r="BA55" s="5" t="str">
        <f>IFERROR(__xludf.DUMMYFUNCTION("""COMPUTED_VALUE"""),"時間")</f>
        <v>時間</v>
      </c>
      <c r="BB55" s="5" t="str">
        <f>IFERROR(__xludf.DUMMYFUNCTION("""COMPUTED_VALUE"""),"車輛")</f>
        <v>車輛</v>
      </c>
      <c r="BC55" s="5" t="str">
        <f>IFERROR(__xludf.DUMMYFUNCTION("""COMPUTED_VALUE"""),"平台")</f>
        <v>平台</v>
      </c>
      <c r="BD55" s="5" t="str">
        <f>IFERROR(__xludf.DUMMYFUNCTION("""COMPUTED_VALUE"""),"系統")</f>
        <v>系統</v>
      </c>
      <c r="BE55" s="5"/>
      <c r="BF55" s="5"/>
      <c r="BG55" s="5"/>
      <c r="BH55" s="5"/>
      <c r="BI55" s="5"/>
      <c r="BJ55" s="5"/>
      <c r="BK55" s="5"/>
      <c r="BL55" s="5"/>
      <c r="BM55" s="5"/>
      <c r="BN55" s="5"/>
      <c r="BO55" s="5"/>
    </row>
    <row r="56">
      <c r="A56" s="5"/>
      <c r="B56" s="5"/>
      <c r="C56" s="5"/>
      <c r="D56" s="5"/>
      <c r="E56" s="5"/>
      <c r="F56" s="5"/>
      <c r="G56" s="5"/>
      <c r="H56" s="5"/>
      <c r="I56" s="5"/>
      <c r="J56" s="5"/>
      <c r="K56" s="5"/>
      <c r="L56" s="5"/>
      <c r="M56" s="5"/>
      <c r="N56" s="5"/>
      <c r="O56" s="5"/>
      <c r="P56" s="5"/>
      <c r="Q56" s="5" t="str">
        <f>IFERROR(__xludf.DUMMYFUNCTION("""COMPUTED_VALUE"""),"Myogi (ASV)")</f>
        <v>Myogi (ASV)</v>
      </c>
      <c r="R56" s="5" t="str">
        <f>IFERROR(__xludf.DUMMYFUNCTION("""COMPUTED_VALUE"""),"DH")</f>
        <v>DH</v>
      </c>
      <c r="S56" s="5" t="str">
        <f>IFERROR(__xludf.DUMMYFUNCTION("""COMPUTED_VALUE"""),"Jintei")</f>
        <v>Jintei</v>
      </c>
      <c r="T56" s="5" t="str">
        <f>IFERROR(__xludf.DUMMYFUNCTION("""COMPUTED_VALUE"""),"~Antidote~")</f>
        <v>~Antidote~</v>
      </c>
      <c r="U56" s="5">
        <f>IFERROR(__xludf.DUMMYFUNCTION("""COMPUTED_VALUE"""),0.002233321759259259)</f>
        <v>0.002233321759</v>
      </c>
      <c r="V56" s="5" t="str">
        <f>IFERROR(__xludf.DUMMYFUNCTION("""COMPUTED_VALUE"""),"EVOVII/CT9A")</f>
        <v>EVOVII/CT9A</v>
      </c>
      <c r="W56" s="5" t="str">
        <f>IFERROR(__xludf.DUMMYFUNCTION("""COMPUTED_VALUE"""),"PCVR")</f>
        <v>PCVR</v>
      </c>
      <c r="X56" s="5" t="str">
        <f>IFERROR(__xludf.DUMMYFUNCTION("""COMPUTED_VALUE"""),"Sacc")</f>
        <v>Sacc</v>
      </c>
      <c r="Y56" s="5" t="str">
        <f>IFERROR(__xludf.DUMMYFUNCTION("""COMPUTED_VALUE"""),"Gunsai")</f>
        <v>Gunsai</v>
      </c>
      <c r="Z56" s="5" t="str">
        <f>IFERROR(__xludf.DUMMYFUNCTION("""COMPUTED_VALUE"""),"C-A")</f>
        <v>C-A</v>
      </c>
      <c r="AA56" s="5" t="str">
        <f>IFERROR(__xludf.DUMMYFUNCTION("""COMPUTED_VALUE"""),"Jintei")</f>
        <v>Jintei</v>
      </c>
      <c r="AB56" s="5" t="str">
        <f>IFERROR(__xludf.DUMMYFUNCTION("""COMPUTED_VALUE"""),"LinWu_05")</f>
        <v>LinWu_05</v>
      </c>
      <c r="AC56" s="5">
        <f>IFERROR(__xludf.DUMMYFUNCTION("""COMPUTED_VALUE"""),0.0013942708333333333)</f>
        <v>0.001394270833</v>
      </c>
      <c r="AD56" s="5" t="str">
        <f>IFERROR(__xludf.DUMMYFUNCTION("""COMPUTED_VALUE"""),"MCR R34")</f>
        <v>MCR R34</v>
      </c>
      <c r="AE56" s="5" t="str">
        <f>IFERROR(__xludf.DUMMYFUNCTION("""COMPUTED_VALUE"""),"PC")</f>
        <v>PC</v>
      </c>
      <c r="AF56" s="5" t="str">
        <f>IFERROR(__xludf.DUMMYFUNCTION("""COMPUTED_VALUE"""),"Sacc")</f>
        <v>Sacc</v>
      </c>
      <c r="AG56" s="14" t="str">
        <f>IFERROR(__xludf.DUMMYFUNCTION("""COMPUTED_VALUE"""),"Monaco")</f>
        <v>Monaco</v>
      </c>
      <c r="AH56" s="14"/>
      <c r="AI56" s="14" t="str">
        <f>IFERROR(__xludf.DUMMYFUNCTION("""COMPUTED_VALUE"""),"Aiden1408")</f>
        <v>Aiden1408</v>
      </c>
      <c r="AJ56" s="14" t="str">
        <f>IFERROR(__xludf.DUMMYFUNCTION("""COMPUTED_VALUE"""),"ねぎたま")</f>
        <v>ねぎたま</v>
      </c>
      <c r="AK56" s="14">
        <f>IFERROR(__xludf.DUMMYFUNCTION("""COMPUTED_VALUE"""),7.236226851851852E-4)</f>
        <v>0.0007236226852</v>
      </c>
      <c r="AL56" s="14" t="str">
        <f>IFERROR(__xludf.DUMMYFUNCTION("""COMPUTED_VALUE"""),"mcl39(McLaren)")</f>
        <v>mcl39(McLaren)</v>
      </c>
      <c r="AM56" s="14" t="str">
        <f>IFERROR(__xludf.DUMMYFUNCTION("""COMPUTED_VALUE"""),"PCVR")</f>
        <v>PCVR</v>
      </c>
      <c r="AN56" s="14" t="str">
        <f>IFERROR(__xludf.DUMMYFUNCTION("""COMPUTED_VALUE"""),"CVS")</f>
        <v>CVS</v>
      </c>
      <c r="AO56" s="5"/>
      <c r="AP56" s="5"/>
      <c r="AQ56" s="5"/>
      <c r="AR56" s="5"/>
      <c r="AS56" s="5"/>
      <c r="AT56" s="5"/>
      <c r="AU56" s="5"/>
      <c r="AV56" s="5"/>
      <c r="AW56" s="5" t="str">
        <f>IFERROR(__xludf.DUMMYFUNCTION("""COMPUTED_VALUE"""),"StarSight")</f>
        <v>StarSight</v>
      </c>
      <c r="AX56" s="5" t="str">
        <f>IFERROR(__xludf.DUMMYFUNCTION("""COMPUTED_VALUE"""),"DH")</f>
        <v>DH</v>
      </c>
      <c r="AY56" s="5" t="str">
        <f>IFERROR(__xludf.DUMMYFUNCTION("""COMPUTED_VALUE"""),"StarRiver Arts")</f>
        <v>StarRiver Arts</v>
      </c>
      <c r="AZ56" s="5" t="str">
        <f>IFERROR(__xludf.DUMMYFUNCTION("""COMPUTED_VALUE"""),"Yangtao")</f>
        <v>Yangtao</v>
      </c>
      <c r="BA56" s="5">
        <f>IFERROR(__xludf.DUMMYFUNCTION("""COMPUTED_VALUE"""),0.0011427430555555555)</f>
        <v>0.001142743056</v>
      </c>
      <c r="BB56" s="5" t="str">
        <f>IFERROR(__xludf.DUMMYFUNCTION("""COMPUTED_VALUE"""),"LapinTuned")</f>
        <v>LapinTuned</v>
      </c>
      <c r="BC56" s="5" t="str">
        <f>IFERROR(__xludf.DUMMYFUNCTION("""COMPUTED_VALUE"""),"PCVR")</f>
        <v>PCVR</v>
      </c>
      <c r="BD56" s="5" t="str">
        <f>IFERROR(__xludf.DUMMYFUNCTION("""COMPUTED_VALUE"""),"CVS")</f>
        <v>CVS</v>
      </c>
      <c r="BE56" s="5"/>
      <c r="BF56" s="5"/>
      <c r="BG56" s="5"/>
      <c r="BH56" s="5"/>
      <c r="BI56" s="5"/>
      <c r="BJ56" s="5"/>
      <c r="BK56" s="5"/>
      <c r="BL56" s="5"/>
      <c r="BM56" s="5"/>
      <c r="BN56" s="5"/>
      <c r="BO56" s="5"/>
    </row>
    <row r="57">
      <c r="A57" s="5"/>
      <c r="B57" s="5"/>
      <c r="C57" s="5"/>
      <c r="D57" s="5"/>
      <c r="E57" s="5"/>
      <c r="F57" s="5"/>
      <c r="G57" s="5"/>
      <c r="H57" s="5"/>
      <c r="I57" s="68" t="s">
        <v>156</v>
      </c>
      <c r="Q57" s="5" t="str">
        <f>IFERROR(__xludf.DUMMYFUNCTION("""COMPUTED_VALUE"""),"Myogi (ASV)")</f>
        <v>Myogi (ASV)</v>
      </c>
      <c r="R57" s="5" t="str">
        <f>IFERROR(__xludf.DUMMYFUNCTION("""COMPUTED_VALUE"""),"UH")</f>
        <v>UH</v>
      </c>
      <c r="S57" s="5" t="str">
        <f>IFERROR(__xludf.DUMMYFUNCTION("""COMPUTED_VALUE"""),"Jintei")</f>
        <v>Jintei</v>
      </c>
      <c r="T57" s="5" t="str">
        <f>IFERROR(__xludf.DUMMYFUNCTION("""COMPUTED_VALUE"""),"StarRiver Arts")</f>
        <v>StarRiver Arts</v>
      </c>
      <c r="U57" s="5">
        <f>IFERROR(__xludf.DUMMYFUNCTION("""COMPUTED_VALUE"""),0.002464525462962963)</f>
        <v>0.002464525463</v>
      </c>
      <c r="V57" s="5" t="str">
        <f>IFERROR(__xludf.DUMMYFUNCTION("""COMPUTED_VALUE"""),"EVOVII/CT9A")</f>
        <v>EVOVII/CT9A</v>
      </c>
      <c r="W57" s="5" t="str">
        <f>IFERROR(__xludf.DUMMYFUNCTION("""COMPUTED_VALUE"""),"PC")</f>
        <v>PC</v>
      </c>
      <c r="X57" s="5" t="str">
        <f>IFERROR(__xludf.DUMMYFUNCTION("""COMPUTED_VALUE"""),"Sacc")</f>
        <v>Sacc</v>
      </c>
      <c r="Y57" s="5" t="str">
        <f>IFERROR(__xludf.DUMMYFUNCTION("""COMPUTED_VALUE"""),"Gunsai")</f>
        <v>Gunsai</v>
      </c>
      <c r="Z57" s="5" t="str">
        <f>IFERROR(__xludf.DUMMYFUNCTION("""COMPUTED_VALUE"""),"FC")</f>
        <v>FC</v>
      </c>
      <c r="AA57" s="5" t="str">
        <f>IFERROR(__xludf.DUMMYFUNCTION("""COMPUTED_VALUE"""),"Jintei")</f>
        <v>Jintei</v>
      </c>
      <c r="AB57" s="5" t="str">
        <f>IFERROR(__xludf.DUMMYFUNCTION("""COMPUTED_VALUE"""),"LinWu_05")</f>
        <v>LinWu_05</v>
      </c>
      <c r="AC57" s="5">
        <f>IFERROR(__xludf.DUMMYFUNCTION("""COMPUTED_VALUE"""),0.002279583333333333)</f>
        <v>0.002279583333</v>
      </c>
      <c r="AD57" s="5" t="str">
        <f>IFERROR(__xludf.DUMMYFUNCTION("""COMPUTED_VALUE"""),"MCR R34")</f>
        <v>MCR R34</v>
      </c>
      <c r="AE57" s="5" t="str">
        <f>IFERROR(__xludf.DUMMYFUNCTION("""COMPUTED_VALUE"""),"PC")</f>
        <v>PC</v>
      </c>
      <c r="AF57" s="5" t="str">
        <f>IFERROR(__xludf.DUMMYFUNCTION("""COMPUTED_VALUE"""),"Sacc")</f>
        <v>Sacc</v>
      </c>
      <c r="AG57" s="14"/>
      <c r="AH57" s="14"/>
      <c r="AI57" s="14"/>
      <c r="AJ57" s="14"/>
      <c r="AK57" s="14"/>
      <c r="AL57" s="14"/>
      <c r="AM57" s="14"/>
      <c r="AN57" s="14"/>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c r="A58" s="5"/>
      <c r="B58" s="5"/>
      <c r="C58" s="5"/>
      <c r="D58" s="5"/>
      <c r="E58" s="5"/>
      <c r="F58" s="5"/>
      <c r="G58" s="5"/>
      <c r="H58" s="5"/>
      <c r="I58" s="69" t="str">
        <f>IFERROR(__xludf.DUMMYFUNCTION("LET(
  車輛, I57,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J58" s="14" t="str">
        <f>IFERROR(__xludf.DUMMYFUNCTION("""COMPUTED_VALUE"""),"路線")</f>
        <v>路線</v>
      </c>
      <c r="K58" s="14" t="str">
        <f>IFERROR(__xludf.DUMMYFUNCTION("""COMPUTED_VALUE"""),"作者")</f>
        <v>作者</v>
      </c>
      <c r="L58" s="14" t="str">
        <f>IFERROR(__xludf.DUMMYFUNCTION("""COMPUTED_VALUE"""),"玩家")</f>
        <v>玩家</v>
      </c>
      <c r="M58" s="14" t="str">
        <f>IFERROR(__xludf.DUMMYFUNCTION("""COMPUTED_VALUE"""),"時間")</f>
        <v>時間</v>
      </c>
      <c r="N58" s="14" t="str">
        <f>IFERROR(__xludf.DUMMYFUNCTION("""COMPUTED_VALUE"""),"車輛")</f>
        <v>車輛</v>
      </c>
      <c r="O58" s="14" t="str">
        <f>IFERROR(__xludf.DUMMYFUNCTION("""COMPUTED_VALUE"""),"平台")</f>
        <v>平台</v>
      </c>
      <c r="P58" s="14" t="str">
        <f>IFERROR(__xludf.DUMMYFUNCTION("""COMPUTED_VALUE"""),"系統")</f>
        <v>系統</v>
      </c>
      <c r="Q58" s="5" t="str">
        <f>IFERROR(__xludf.DUMMYFUNCTION("""COMPUTED_VALUE"""),"Tsuchisaka Snow")</f>
        <v>Tsuchisaka Snow</v>
      </c>
      <c r="R58" s="5" t="str">
        <f>IFERROR(__xludf.DUMMYFUNCTION("""COMPUTED_VALUE"""),"OB")</f>
        <v>OB</v>
      </c>
      <c r="S58" s="5" t="str">
        <f>IFERROR(__xludf.DUMMYFUNCTION("""COMPUTED_VALUE"""),"Jintei")</f>
        <v>Jintei</v>
      </c>
      <c r="T58" s="5" t="str">
        <f>IFERROR(__xludf.DUMMYFUNCTION("""COMPUTED_VALUE"""),"Test Driver")</f>
        <v>Test Driver</v>
      </c>
      <c r="U58" s="5">
        <f>IFERROR(__xludf.DUMMYFUNCTION("""COMPUTED_VALUE"""),0.006944444444444444)</f>
        <v>0.006944444444</v>
      </c>
      <c r="V58" s="5" t="str">
        <f>IFERROR(__xludf.DUMMYFUNCTION("""COMPUTED_VALUE"""),"EVOVII/CT9A")</f>
        <v>EVOVII/CT9A</v>
      </c>
      <c r="W58" s="5"/>
      <c r="X58" s="5" t="str">
        <f>IFERROR(__xludf.DUMMYFUNCTION("""COMPUTED_VALUE"""),"Sacc")</f>
        <v>Sacc</v>
      </c>
      <c r="Y58" s="5" t="str">
        <f>IFERROR(__xludf.DUMMYFUNCTION("""COMPUTED_VALUE"""),"GunsaiCP")</f>
        <v>GunsaiCP</v>
      </c>
      <c r="Z58" s="5" t="str">
        <f>IFERROR(__xludf.DUMMYFUNCTION("""COMPUTED_VALUE"""),"C-A")</f>
        <v>C-A</v>
      </c>
      <c r="AA58" s="5" t="str">
        <f>IFERROR(__xludf.DUMMYFUNCTION("""COMPUTED_VALUE"""),"Jintei")</f>
        <v>Jintei</v>
      </c>
      <c r="AB58" s="5" t="str">
        <f>IFERROR(__xludf.DUMMYFUNCTION("""COMPUTED_VALUE"""),"LinWu_05")</f>
        <v>LinWu_05</v>
      </c>
      <c r="AC58" s="5">
        <f>IFERROR(__xludf.DUMMYFUNCTION("""COMPUTED_VALUE"""),5.876851851851852E-4)</f>
        <v>0.0005876851852</v>
      </c>
      <c r="AD58" s="5" t="str">
        <f>IFERROR(__xludf.DUMMYFUNCTION("""COMPUTED_VALUE"""),"MCR R34")</f>
        <v>MCR R34</v>
      </c>
      <c r="AE58" s="5" t="str">
        <f>IFERROR(__xludf.DUMMYFUNCTION("""COMPUTED_VALUE"""),"PC")</f>
        <v>PC</v>
      </c>
      <c r="AF58" s="5" t="str">
        <f>IFERROR(__xludf.DUMMYFUNCTION("""COMPUTED_VALUE"""),"Sacc")</f>
        <v>Sacc</v>
      </c>
      <c r="AG58" s="14"/>
      <c r="AH58" s="14"/>
      <c r="AI58" s="14"/>
      <c r="AJ58" s="14"/>
      <c r="AK58" s="14"/>
      <c r="AL58" s="14"/>
      <c r="AM58" s="14"/>
      <c r="AN58" s="14"/>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c r="A59" s="5"/>
      <c r="B59" s="5"/>
      <c r="C59" s="5"/>
      <c r="D59" s="5"/>
      <c r="E59" s="5"/>
      <c r="F59" s="5"/>
      <c r="G59" s="5"/>
      <c r="H59" s="5"/>
      <c r="I59" s="14" t="str">
        <f>IFERROR(__xludf.DUMMYFUNCTION("""COMPUTED_VALUE"""),"Sadamine")</f>
        <v>Sadamine</v>
      </c>
      <c r="J59" s="14" t="str">
        <f>IFERROR(__xludf.DUMMYFUNCTION("""COMPUTED_VALUE"""),"FCDH")</f>
        <v>FCDH</v>
      </c>
      <c r="K59" s="14" t="str">
        <f>IFERROR(__xludf.DUMMYFUNCTION("""COMPUTED_VALUE"""),"Jintei")</f>
        <v>Jintei</v>
      </c>
      <c r="L59" s="14" t="str">
        <f>IFERROR(__xludf.DUMMYFUNCTION("""COMPUTED_VALUE"""),"Lolidia")</f>
        <v>Lolidia</v>
      </c>
      <c r="M59" s="14">
        <f>IFERROR(__xludf.DUMMYFUNCTION("""COMPUTED_VALUE"""),0.002249224537037037)</f>
        <v>0.002249224537</v>
      </c>
      <c r="N59" s="14" t="str">
        <f>IFERROR(__xludf.DUMMYFUNCTION("""COMPUTED_VALUE"""),"FD3S (RX7)(ST)")</f>
        <v>FD3S (RX7)(ST)</v>
      </c>
      <c r="O59" s="14" t="str">
        <f>IFERROR(__xludf.DUMMYFUNCTION("""COMPUTED_VALUE"""),"PCVR")</f>
        <v>PCVR</v>
      </c>
      <c r="P59" s="14" t="str">
        <f>IFERROR(__xludf.DUMMYFUNCTION("""COMPUTED_VALUE"""),"Sacc")</f>
        <v>Sacc</v>
      </c>
      <c r="Q59" s="5" t="str">
        <f>IFERROR(__xludf.DUMMYFUNCTION("""COMPUTED_VALUE"""),"Tsuchisaka Snow")</f>
        <v>Tsuchisaka Snow</v>
      </c>
      <c r="R59" s="5" t="str">
        <f>IFERROR(__xludf.DUMMYFUNCTION("""COMPUTED_VALUE"""),"IB")</f>
        <v>IB</v>
      </c>
      <c r="S59" s="5" t="str">
        <f>IFERROR(__xludf.DUMMYFUNCTION("""COMPUTED_VALUE"""),"Jintei")</f>
        <v>Jintei</v>
      </c>
      <c r="T59" s="5" t="str">
        <f>IFERROR(__xludf.DUMMYFUNCTION("""COMPUTED_VALUE"""),"Test Driver")</f>
        <v>Test Driver</v>
      </c>
      <c r="U59" s="5">
        <f>IFERROR(__xludf.DUMMYFUNCTION("""COMPUTED_VALUE"""),0.006944444444444444)</f>
        <v>0.006944444444</v>
      </c>
      <c r="V59" s="5" t="str">
        <f>IFERROR(__xludf.DUMMYFUNCTION("""COMPUTED_VALUE"""),"EVOVII/CT9A")</f>
        <v>EVOVII/CT9A</v>
      </c>
      <c r="W59" s="5"/>
      <c r="X59" s="5" t="str">
        <f>IFERROR(__xludf.DUMMYFUNCTION("""COMPUTED_VALUE"""),"Sacc")</f>
        <v>Sacc</v>
      </c>
      <c r="Y59" s="5" t="str">
        <f>IFERROR(__xludf.DUMMYFUNCTION("""COMPUTED_VALUE"""),"GunsaiCP")</f>
        <v>GunsaiCP</v>
      </c>
      <c r="Z59" s="5" t="str">
        <f>IFERROR(__xludf.DUMMYFUNCTION("""COMPUTED_VALUE"""),"FC")</f>
        <v>FC</v>
      </c>
      <c r="AA59" s="5" t="str">
        <f>IFERROR(__xludf.DUMMYFUNCTION("""COMPUTED_VALUE"""),"Jintei")</f>
        <v>Jintei</v>
      </c>
      <c r="AB59" s="5" t="str">
        <f>IFERROR(__xludf.DUMMYFUNCTION("""COMPUTED_VALUE"""),"LinWu_05")</f>
        <v>LinWu_05</v>
      </c>
      <c r="AC59" s="5">
        <f>IFERROR(__xludf.DUMMYFUNCTION("""COMPUTED_VALUE"""),0.0019977430555555556)</f>
        <v>0.001997743056</v>
      </c>
      <c r="AD59" s="5" t="str">
        <f>IFERROR(__xludf.DUMMYFUNCTION("""COMPUTED_VALUE"""),"MCR R34")</f>
        <v>MCR R34</v>
      </c>
      <c r="AE59" s="5" t="str">
        <f>IFERROR(__xludf.DUMMYFUNCTION("""COMPUTED_VALUE"""),"PC")</f>
        <v>PC</v>
      </c>
      <c r="AF59" s="5" t="str">
        <f>IFERROR(__xludf.DUMMYFUNCTION("""COMPUTED_VALUE"""),"Sacc")</f>
        <v>Sacc</v>
      </c>
      <c r="AG59" s="14"/>
      <c r="AH59" s="14"/>
      <c r="AI59" s="14"/>
      <c r="AJ59" s="14"/>
      <c r="AK59" s="14"/>
      <c r="AL59" s="14"/>
      <c r="AM59" s="14"/>
      <c r="AN59" s="14"/>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c r="A60" s="5"/>
      <c r="B60" s="5"/>
      <c r="C60" s="5"/>
      <c r="D60" s="5"/>
      <c r="E60" s="5"/>
      <c r="F60" s="5"/>
      <c r="G60" s="5"/>
      <c r="H60" s="5"/>
      <c r="I60" s="14" t="str">
        <f>IFERROR(__xludf.DUMMYFUNCTION("""COMPUTED_VALUE"""),"Akina")</f>
        <v>Akina</v>
      </c>
      <c r="J60" s="14" t="str">
        <f>IFERROR(__xludf.DUMMYFUNCTION("""COMPUTED_VALUE"""),"UH")</f>
        <v>UH</v>
      </c>
      <c r="K60" s="14" t="str">
        <f>IFERROR(__xludf.DUMMYFUNCTION("""COMPUTED_VALUE"""),"Jintei")</f>
        <v>Jintei</v>
      </c>
      <c r="L60" s="14" t="str">
        <f>IFERROR(__xludf.DUMMYFUNCTION("""COMPUTED_VALUE"""),"Test Driver")</f>
        <v>Test Driver</v>
      </c>
      <c r="M60" s="14">
        <f>IFERROR(__xludf.DUMMYFUNCTION("""COMPUTED_VALUE"""),0.006944444444444444)</f>
        <v>0.006944444444</v>
      </c>
      <c r="N60" s="14" t="str">
        <f>IFERROR(__xludf.DUMMYFUNCTION("""COMPUTED_VALUE"""),"FD3S (RX7)(ST)")</f>
        <v>FD3S (RX7)(ST)</v>
      </c>
      <c r="O60" s="14"/>
      <c r="P60" s="14" t="str">
        <f>IFERROR(__xludf.DUMMYFUNCTION("""COMPUTED_VALUE"""),"Sacc")</f>
        <v>Sacc</v>
      </c>
      <c r="Q60" s="5"/>
      <c r="R60" s="5"/>
      <c r="S60" s="5"/>
      <c r="T60" s="5"/>
      <c r="U60" s="5"/>
      <c r="V60" s="5"/>
      <c r="W60" s="5"/>
      <c r="X60" s="5"/>
      <c r="Y60" s="5" t="str">
        <f>IFERROR(__xludf.DUMMYFUNCTION("""COMPUTED_VALUE"""),"Gunsai")</f>
        <v>Gunsai</v>
      </c>
      <c r="Z60" s="5" t="str">
        <f>IFERROR(__xludf.DUMMYFUNCTION("""COMPUTED_VALUE"""),"C-B")</f>
        <v>C-B</v>
      </c>
      <c r="AA60" s="5" t="str">
        <f>IFERROR(__xludf.DUMMYFUNCTION("""COMPUTED_VALUE"""),"Jintei")</f>
        <v>Jintei</v>
      </c>
      <c r="AB60" s="5" t="str">
        <f>IFERROR(__xludf.DUMMYFUNCTION("""COMPUTED_VALUE"""),"Test Driver")</f>
        <v>Test Driver</v>
      </c>
      <c r="AC60" s="5">
        <f>IFERROR(__xludf.DUMMYFUNCTION("""COMPUTED_VALUE"""),0.006944444444444444)</f>
        <v>0.006944444444</v>
      </c>
      <c r="AD60" s="5" t="str">
        <f>IFERROR(__xludf.DUMMYFUNCTION("""COMPUTED_VALUE"""),"MCR R34")</f>
        <v>MCR R34</v>
      </c>
      <c r="AE60" s="5"/>
      <c r="AF60" s="5" t="str">
        <f>IFERROR(__xludf.DUMMYFUNCTION("""COMPUTED_VALUE"""),"Sacc")</f>
        <v>Sacc</v>
      </c>
      <c r="AG60" s="14"/>
      <c r="AH60" s="14"/>
      <c r="AI60" s="14"/>
      <c r="AJ60" s="14"/>
      <c r="AK60" s="14"/>
      <c r="AL60" s="14"/>
      <c r="AM60" s="14"/>
      <c r="AN60" s="14"/>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c r="A61" s="67" t="s">
        <v>157</v>
      </c>
      <c r="I61" s="14" t="str">
        <f>IFERROR(__xludf.DUMMYFUNCTION("""COMPUTED_VALUE"""),"Akina")</f>
        <v>Akina</v>
      </c>
      <c r="J61" s="14" t="str">
        <f>IFERROR(__xludf.DUMMYFUNCTION("""COMPUTED_VALUE"""),"DH")</f>
        <v>DH</v>
      </c>
      <c r="K61" s="14" t="str">
        <f>IFERROR(__xludf.DUMMYFUNCTION("""COMPUTED_VALUE"""),"Jintei")</f>
        <v>Jintei</v>
      </c>
      <c r="L61" s="14" t="str">
        <f>IFERROR(__xludf.DUMMYFUNCTION("""COMPUTED_VALUE"""),"Test Driver")</f>
        <v>Test Driver</v>
      </c>
      <c r="M61" s="14">
        <f>IFERROR(__xludf.DUMMYFUNCTION("""COMPUTED_VALUE"""),0.006944444444444444)</f>
        <v>0.006944444444</v>
      </c>
      <c r="N61" s="14" t="str">
        <f>IFERROR(__xludf.DUMMYFUNCTION("""COMPUTED_VALUE"""),"FD3S (RX7)(ST)")</f>
        <v>FD3S (RX7)(ST)</v>
      </c>
      <c r="O61" s="14"/>
      <c r="P61" s="14" t="str">
        <f>IFERROR(__xludf.DUMMYFUNCTION("""COMPUTED_VALUE"""),"Sacc")</f>
        <v>Sacc</v>
      </c>
      <c r="Q61" s="5"/>
      <c r="R61" s="5"/>
      <c r="S61" s="5"/>
      <c r="T61" s="5"/>
      <c r="U61" s="5"/>
      <c r="V61" s="5"/>
      <c r="W61" s="5"/>
      <c r="X61" s="5"/>
      <c r="Y61" s="67" t="s">
        <v>158</v>
      </c>
      <c r="AG61" s="5"/>
      <c r="AH61" s="14"/>
      <c r="AI61" s="14"/>
      <c r="AJ61" s="14"/>
      <c r="AK61" s="14"/>
      <c r="AL61" s="14"/>
      <c r="AM61" s="14"/>
      <c r="AN61" s="14"/>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c r="A62" s="5" t="str">
        <f>IFERROR(__xludf.DUMMYFUNCTION("LET(
  車輛, A61,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B62" s="5" t="str">
        <f>IFERROR(__xludf.DUMMYFUNCTION("""COMPUTED_VALUE"""),"路線")</f>
        <v>路線</v>
      </c>
      <c r="C62" s="5" t="str">
        <f>IFERROR(__xludf.DUMMYFUNCTION("""COMPUTED_VALUE"""),"作者")</f>
        <v>作者</v>
      </c>
      <c r="D62" s="5" t="str">
        <f>IFERROR(__xludf.DUMMYFUNCTION("""COMPUTED_VALUE"""),"玩家")</f>
        <v>玩家</v>
      </c>
      <c r="E62" s="5" t="str">
        <f>IFERROR(__xludf.DUMMYFUNCTION("""COMPUTED_VALUE"""),"時間")</f>
        <v>時間</v>
      </c>
      <c r="F62" s="5" t="str">
        <f>IFERROR(__xludf.DUMMYFUNCTION("""COMPUTED_VALUE"""),"車輛")</f>
        <v>車輛</v>
      </c>
      <c r="G62" s="5" t="str">
        <f>IFERROR(__xludf.DUMMYFUNCTION("""COMPUTED_VALUE"""),"平台")</f>
        <v>平台</v>
      </c>
      <c r="H62" s="5" t="str">
        <f>IFERROR(__xludf.DUMMYFUNCTION("""COMPUTED_VALUE"""),"系統")</f>
        <v>系統</v>
      </c>
      <c r="I62" s="14" t="str">
        <f>IFERROR(__xludf.DUMMYFUNCTION("""COMPUTED_VALUE"""),"Akagi")</f>
        <v>Akagi</v>
      </c>
      <c r="J62" s="14" t="str">
        <f>IFERROR(__xludf.DUMMYFUNCTION("""COMPUTED_VALUE"""),"DH")</f>
        <v>DH</v>
      </c>
      <c r="K62" s="14" t="str">
        <f>IFERROR(__xludf.DUMMYFUNCTION("""COMPUTED_VALUE"""),"Jintei")</f>
        <v>Jintei</v>
      </c>
      <c r="L62" s="14" t="str">
        <f>IFERROR(__xludf.DUMMYFUNCTION("""COMPUTED_VALUE"""),"Test Driver")</f>
        <v>Test Driver</v>
      </c>
      <c r="M62" s="14">
        <f>IFERROR(__xludf.DUMMYFUNCTION("""COMPUTED_VALUE"""),0.006944444444444444)</f>
        <v>0.006944444444</v>
      </c>
      <c r="N62" s="14" t="str">
        <f>IFERROR(__xludf.DUMMYFUNCTION("""COMPUTED_VALUE"""),"FD3S (RX7)(ST)")</f>
        <v>FD3S (RX7)(ST)</v>
      </c>
      <c r="O62" s="14"/>
      <c r="P62" s="14" t="str">
        <f>IFERROR(__xludf.DUMMYFUNCTION("""COMPUTED_VALUE"""),"Sacc")</f>
        <v>Sacc</v>
      </c>
      <c r="Q62" s="67" t="s">
        <v>159</v>
      </c>
      <c r="Y62" s="5" t="str">
        <f>IFERROR(__xludf.DUMMYFUNCTION("LET(
  車輛, Y61,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62" s="5" t="str">
        <f>IFERROR(__xludf.DUMMYFUNCTION("""COMPUTED_VALUE"""),"路線")</f>
        <v>路線</v>
      </c>
      <c r="AA62" s="5" t="str">
        <f>IFERROR(__xludf.DUMMYFUNCTION("""COMPUTED_VALUE"""),"作者")</f>
        <v>作者</v>
      </c>
      <c r="AB62" s="5" t="str">
        <f>IFERROR(__xludf.DUMMYFUNCTION("""COMPUTED_VALUE"""),"玩家")</f>
        <v>玩家</v>
      </c>
      <c r="AC62" s="5" t="str">
        <f>IFERROR(__xludf.DUMMYFUNCTION("""COMPUTED_VALUE"""),"時間")</f>
        <v>時間</v>
      </c>
      <c r="AD62" s="5" t="str">
        <f>IFERROR(__xludf.DUMMYFUNCTION("""COMPUTED_VALUE"""),"車輛")</f>
        <v>車輛</v>
      </c>
      <c r="AE62" s="5" t="str">
        <f>IFERROR(__xludf.DUMMYFUNCTION("""COMPUTED_VALUE"""),"平台")</f>
        <v>平台</v>
      </c>
      <c r="AF62" s="5" t="str">
        <f>IFERROR(__xludf.DUMMYFUNCTION("""COMPUTED_VALUE"""),"系統")</f>
        <v>系統</v>
      </c>
      <c r="AG62" s="5"/>
      <c r="AH62" s="14"/>
      <c r="AI62" s="14"/>
      <c r="AJ62" s="14"/>
      <c r="AK62" s="14"/>
      <c r="AL62" s="14"/>
      <c r="AM62" s="14"/>
      <c r="AN62" s="14"/>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c r="A63" s="5" t="str">
        <f>IFERROR(__xludf.DUMMYFUNCTION("""COMPUTED_VALUE"""),"Akina")</f>
        <v>Akina</v>
      </c>
      <c r="B63" s="5" t="str">
        <f>IFERROR(__xludf.DUMMYFUNCTION("""COMPUTED_VALUE"""),"DH")</f>
        <v>DH</v>
      </c>
      <c r="C63" s="5" t="str">
        <f>IFERROR(__xludf.DUMMYFUNCTION("""COMPUTED_VALUE"""),"Jintei")</f>
        <v>Jintei</v>
      </c>
      <c r="D63" s="5" t="str">
        <f>IFERROR(__xludf.DUMMYFUNCTION("""COMPUTED_VALUE"""),"StarRiver Arts")</f>
        <v>StarRiver Arts</v>
      </c>
      <c r="E63" s="5">
        <f>IFERROR(__xludf.DUMMYFUNCTION("""COMPUTED_VALUE"""),0.0027644675925925927)</f>
        <v>0.002764467593</v>
      </c>
      <c r="F63" s="5" t="str">
        <f>IFERROR(__xludf.DUMMYFUNCTION("""COMPUTED_VALUE"""),"AE86L-V2")</f>
        <v>AE86L-V2</v>
      </c>
      <c r="G63" s="5" t="str">
        <f>IFERROR(__xludf.DUMMYFUNCTION("""COMPUTED_VALUE"""),"PC")</f>
        <v>PC</v>
      </c>
      <c r="H63" s="5" t="str">
        <f>IFERROR(__xludf.DUMMYFUNCTION("""COMPUTED_VALUE"""),"Sacc")</f>
        <v>Sacc</v>
      </c>
      <c r="I63" s="14" t="str">
        <f>IFERROR(__xludf.DUMMYFUNCTION("""COMPUTED_VALUE"""),"Akagi")</f>
        <v>Akagi</v>
      </c>
      <c r="J63" s="14" t="str">
        <f>IFERROR(__xludf.DUMMYFUNCTION("""COMPUTED_VALUE"""),"UH")</f>
        <v>UH</v>
      </c>
      <c r="K63" s="14" t="str">
        <f>IFERROR(__xludf.DUMMYFUNCTION("""COMPUTED_VALUE"""),"Jintei")</f>
        <v>Jintei</v>
      </c>
      <c r="L63" s="14" t="str">
        <f>IFERROR(__xludf.DUMMYFUNCTION("""COMPUTED_VALUE"""),"Test Driver")</f>
        <v>Test Driver</v>
      </c>
      <c r="M63" s="14">
        <f>IFERROR(__xludf.DUMMYFUNCTION("""COMPUTED_VALUE"""),0.006944444444444444)</f>
        <v>0.006944444444</v>
      </c>
      <c r="N63" s="14" t="str">
        <f>IFERROR(__xludf.DUMMYFUNCTION("""COMPUTED_VALUE"""),"FD3S (RX7)(ST)")</f>
        <v>FD3S (RX7)(ST)</v>
      </c>
      <c r="O63" s="14"/>
      <c r="P63" s="14" t="str">
        <f>IFERROR(__xludf.DUMMYFUNCTION("""COMPUTED_VALUE"""),"Sacc")</f>
        <v>Sacc</v>
      </c>
      <c r="Q63" s="5" t="str">
        <f>IFERROR(__xludf.DUMMYFUNCTION("LET(
  車輛, Q62,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63" s="5" t="str">
        <f>IFERROR(__xludf.DUMMYFUNCTION("""COMPUTED_VALUE"""),"路線")</f>
        <v>路線</v>
      </c>
      <c r="S63" s="5" t="str">
        <f>IFERROR(__xludf.DUMMYFUNCTION("""COMPUTED_VALUE"""),"作者")</f>
        <v>作者</v>
      </c>
      <c r="T63" s="5" t="str">
        <f>IFERROR(__xludf.DUMMYFUNCTION("""COMPUTED_VALUE"""),"玩家")</f>
        <v>玩家</v>
      </c>
      <c r="U63" s="5" t="str">
        <f>IFERROR(__xludf.DUMMYFUNCTION("""COMPUTED_VALUE"""),"時間")</f>
        <v>時間</v>
      </c>
      <c r="V63" s="5" t="str">
        <f>IFERROR(__xludf.DUMMYFUNCTION("""COMPUTED_VALUE"""),"車輛")</f>
        <v>車輛</v>
      </c>
      <c r="W63" s="5" t="str">
        <f>IFERROR(__xludf.DUMMYFUNCTION("""COMPUTED_VALUE"""),"平台")</f>
        <v>平台</v>
      </c>
      <c r="X63" s="5" t="str">
        <f>IFERROR(__xludf.DUMMYFUNCTION("""COMPUTED_VALUE"""),"系統")</f>
        <v>系統</v>
      </c>
      <c r="Y63" s="5" t="str">
        <f>IFERROR(__xludf.DUMMYFUNCTION("""COMPUTED_VALUE"""),"Usui V1")</f>
        <v>Usui V1</v>
      </c>
      <c r="Z63" s="5" t="str">
        <f>IFERROR(__xludf.DUMMYFUNCTION("""COMPUTED_VALUE"""),"CW")</f>
        <v>CW</v>
      </c>
      <c r="AA63" s="5" t="str">
        <f>IFERROR(__xludf.DUMMYFUNCTION("""COMPUTED_VALUE"""),"Jintei")</f>
        <v>Jintei</v>
      </c>
      <c r="AB63" s="5" t="str">
        <f>IFERROR(__xludf.DUMMYFUNCTION("""COMPUTED_VALUE"""),"StarRiver Arts")</f>
        <v>StarRiver Arts</v>
      </c>
      <c r="AC63" s="5">
        <f>IFERROR(__xludf.DUMMYFUNCTION("""COMPUTED_VALUE"""),0.0026026273148148146)</f>
        <v>0.002602627315</v>
      </c>
      <c r="AD63" s="5" t="str">
        <f>IFERROR(__xludf.DUMMYFUNCTION("""COMPUTED_VALUE"""),"ER34 (R34 23GT Turbo)")</f>
        <v>ER34 (R34 23GT Turbo)</v>
      </c>
      <c r="AE63" s="5" t="str">
        <f>IFERROR(__xludf.DUMMYFUNCTION("""COMPUTED_VALUE"""),"PC")</f>
        <v>PC</v>
      </c>
      <c r="AF63" s="5" t="str">
        <f>IFERROR(__xludf.DUMMYFUNCTION("""COMPUTED_VALUE"""),"Sacc")</f>
        <v>Sacc</v>
      </c>
      <c r="AG63" s="5"/>
      <c r="AH63" s="14"/>
      <c r="AI63" s="14"/>
      <c r="AJ63" s="14"/>
      <c r="AK63" s="14"/>
      <c r="AL63" s="14"/>
      <c r="AM63" s="14"/>
      <c r="AN63" s="14"/>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c r="A64" s="5" t="str">
        <f>IFERROR(__xludf.DUMMYFUNCTION("""COMPUTED_VALUE"""),"Akina")</f>
        <v>Akina</v>
      </c>
      <c r="B64" s="5" t="str">
        <f>IFERROR(__xludf.DUMMYFUNCTION("""COMPUTED_VALUE"""),"UH")</f>
        <v>UH</v>
      </c>
      <c r="C64" s="5" t="str">
        <f>IFERROR(__xludf.DUMMYFUNCTION("""COMPUTED_VALUE"""),"Jintei")</f>
        <v>Jintei</v>
      </c>
      <c r="D64" s="5" t="str">
        <f>IFERROR(__xludf.DUMMYFUNCTION("""COMPUTED_VALUE"""),"Test Driver")</f>
        <v>Test Driver</v>
      </c>
      <c r="E64" s="5">
        <f>IFERROR(__xludf.DUMMYFUNCTION("""COMPUTED_VALUE"""),0.006944444444444444)</f>
        <v>0.006944444444</v>
      </c>
      <c r="F64" s="5" t="str">
        <f>IFERROR(__xludf.DUMMYFUNCTION("""COMPUTED_VALUE"""),"AE86L-V2")</f>
        <v>AE86L-V2</v>
      </c>
      <c r="G64" s="5"/>
      <c r="H64" s="5" t="str">
        <f>IFERROR(__xludf.DUMMYFUNCTION("""COMPUTED_VALUE"""),"Sacc")</f>
        <v>Sacc</v>
      </c>
      <c r="I64" s="14" t="str">
        <f>IFERROR(__xludf.DUMMYFUNCTION("""COMPUTED_VALUE"""),"Sadamine")</f>
        <v>Sadamine</v>
      </c>
      <c r="J64" s="14" t="str">
        <f>IFERROR(__xludf.DUMMYFUNCTION("""COMPUTED_VALUE"""),"FCUH")</f>
        <v>FCUH</v>
      </c>
      <c r="K64" s="14" t="str">
        <f>IFERROR(__xludf.DUMMYFUNCTION("""COMPUTED_VALUE"""),"Jintei")</f>
        <v>Jintei</v>
      </c>
      <c r="L64" s="14" t="str">
        <f>IFERROR(__xludf.DUMMYFUNCTION("""COMPUTED_VALUE"""),"Test Driver")</f>
        <v>Test Driver</v>
      </c>
      <c r="M64" s="14">
        <f>IFERROR(__xludf.DUMMYFUNCTION("""COMPUTED_VALUE"""),0.006944444444444444)</f>
        <v>0.006944444444</v>
      </c>
      <c r="N64" s="14" t="str">
        <f>IFERROR(__xludf.DUMMYFUNCTION("""COMPUTED_VALUE"""),"FD3S (RX7)(ST)")</f>
        <v>FD3S (RX7)(ST)</v>
      </c>
      <c r="O64" s="14"/>
      <c r="P64" s="14" t="str">
        <f>IFERROR(__xludf.DUMMYFUNCTION("""COMPUTED_VALUE"""),"Sacc")</f>
        <v>Sacc</v>
      </c>
      <c r="Q64" s="5" t="str">
        <f>IFERROR(__xludf.DUMMYFUNCTION("""COMPUTED_VALUE"""),"Nagoya")</f>
        <v>Nagoya</v>
      </c>
      <c r="R64" s="5"/>
      <c r="S64" s="5" t="str">
        <f>IFERROR(__xludf.DUMMYFUNCTION("""COMPUTED_VALUE"""),"Jintei")</f>
        <v>Jintei</v>
      </c>
      <c r="T64" s="5" t="str">
        <f>IFERROR(__xludf.DUMMYFUNCTION("""COMPUTED_VALUE"""),"LinWu_05")</f>
        <v>LinWu_05</v>
      </c>
      <c r="U64" s="5">
        <f>IFERROR(__xludf.DUMMYFUNCTION("""COMPUTED_VALUE"""),0.0024359606481481485)</f>
        <v>0.002435960648</v>
      </c>
      <c r="V64" s="5" t="str">
        <f>IFERROR(__xludf.DUMMYFUNCTION("""COMPUTED_VALUE"""),"EVOX/CZ4A")</f>
        <v>EVOX/CZ4A</v>
      </c>
      <c r="W64" s="5" t="str">
        <f>IFERROR(__xludf.DUMMYFUNCTION("""COMPUTED_VALUE"""),"PC")</f>
        <v>PC</v>
      </c>
      <c r="X64" s="5" t="str">
        <f>IFERROR(__xludf.DUMMYFUNCTION("""COMPUTED_VALUE"""),"Sacc")</f>
        <v>Sacc</v>
      </c>
      <c r="Y64" s="5" t="str">
        <f>IFERROR(__xludf.DUMMYFUNCTION("""COMPUTED_VALUE"""),"Usui V1")</f>
        <v>Usui V1</v>
      </c>
      <c r="Z64" s="5" t="str">
        <f>IFERROR(__xludf.DUMMYFUNCTION("""COMPUTED_VALUE"""),"CC")</f>
        <v>CC</v>
      </c>
      <c r="AA64" s="5" t="str">
        <f>IFERROR(__xludf.DUMMYFUNCTION("""COMPUTED_VALUE"""),"Jintei")</f>
        <v>Jintei</v>
      </c>
      <c r="AB64" s="5" t="str">
        <f>IFERROR(__xludf.DUMMYFUNCTION("""COMPUTED_VALUE"""),"Test Driver")</f>
        <v>Test Driver</v>
      </c>
      <c r="AC64" s="5">
        <f>IFERROR(__xludf.DUMMYFUNCTION("""COMPUTED_VALUE"""),0.006944444444444444)</f>
        <v>0.006944444444</v>
      </c>
      <c r="AD64" s="5" t="str">
        <f>IFERROR(__xludf.DUMMYFUNCTION("""COMPUTED_VALUE"""),"ER34 (R34 23GT Turbo)")</f>
        <v>ER34 (R34 23GT Turbo)</v>
      </c>
      <c r="AE64" s="5"/>
      <c r="AF64" s="5" t="str">
        <f>IFERROR(__xludf.DUMMYFUNCTION("""COMPUTED_VALUE"""),"Sacc")</f>
        <v>Sacc</v>
      </c>
      <c r="AG64" s="5"/>
      <c r="AH64" s="14"/>
      <c r="AI64" s="14"/>
      <c r="AJ64" s="14"/>
      <c r="AK64" s="14"/>
      <c r="AL64" s="14"/>
      <c r="AM64" s="14"/>
      <c r="AN64" s="14"/>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c r="A65" s="5" t="str">
        <f>IFERROR(__xludf.DUMMYFUNCTION("""COMPUTED_VALUE"""),"Akagi")</f>
        <v>Akagi</v>
      </c>
      <c r="B65" s="5" t="str">
        <f>IFERROR(__xludf.DUMMYFUNCTION("""COMPUTED_VALUE"""),"DH")</f>
        <v>DH</v>
      </c>
      <c r="C65" s="5" t="str">
        <f>IFERROR(__xludf.DUMMYFUNCTION("""COMPUTED_VALUE"""),"Jintei")</f>
        <v>Jintei</v>
      </c>
      <c r="D65" s="5" t="str">
        <f>IFERROR(__xludf.DUMMYFUNCTION("""COMPUTED_VALUE"""),"Test Driver")</f>
        <v>Test Driver</v>
      </c>
      <c r="E65" s="5">
        <f>IFERROR(__xludf.DUMMYFUNCTION("""COMPUTED_VALUE"""),0.006944444444444444)</f>
        <v>0.006944444444</v>
      </c>
      <c r="F65" s="5" t="str">
        <f>IFERROR(__xludf.DUMMYFUNCTION("""COMPUTED_VALUE"""),"AE86L-V2")</f>
        <v>AE86L-V2</v>
      </c>
      <c r="G65" s="5"/>
      <c r="H65" s="5" t="str">
        <f>IFERROR(__xludf.DUMMYFUNCTION("""COMPUTED_VALUE"""),"Sacc")</f>
        <v>Sacc</v>
      </c>
      <c r="I65" s="14" t="str">
        <f>IFERROR(__xludf.DUMMYFUNCTION("""COMPUTED_VALUE"""),"Sadamine")</f>
        <v>Sadamine</v>
      </c>
      <c r="J65" s="14" t="str">
        <f>IFERROR(__xludf.DUMMYFUNCTION("""COMPUTED_VALUE"""),"OCUH")</f>
        <v>OCUH</v>
      </c>
      <c r="K65" s="14" t="str">
        <f>IFERROR(__xludf.DUMMYFUNCTION("""COMPUTED_VALUE"""),"Jintei")</f>
        <v>Jintei</v>
      </c>
      <c r="L65" s="14" t="str">
        <f>IFERROR(__xludf.DUMMYFUNCTION("""COMPUTED_VALUE"""),"Test Driver")</f>
        <v>Test Driver</v>
      </c>
      <c r="M65" s="14">
        <f>IFERROR(__xludf.DUMMYFUNCTION("""COMPUTED_VALUE"""),0.006944444444444444)</f>
        <v>0.006944444444</v>
      </c>
      <c r="N65" s="14" t="str">
        <f>IFERROR(__xludf.DUMMYFUNCTION("""COMPUTED_VALUE"""),"FD3S (RX7)(ST)")</f>
        <v>FD3S (RX7)(ST)</v>
      </c>
      <c r="O65" s="14"/>
      <c r="P65" s="14" t="str">
        <f>IFERROR(__xludf.DUMMYFUNCTION("""COMPUTED_VALUE"""),"Sacc")</f>
        <v>Sacc</v>
      </c>
      <c r="Q65" s="5" t="str">
        <f>IFERROR(__xludf.DUMMYFUNCTION("""COMPUTED_VALUE"""),"Usui V2")</f>
        <v>Usui V2</v>
      </c>
      <c r="R65" s="5" t="str">
        <f>IFERROR(__xludf.DUMMYFUNCTION("""COMPUTED_VALUE"""),"CC")</f>
        <v>CC</v>
      </c>
      <c r="S65" s="5" t="str">
        <f>IFERROR(__xludf.DUMMYFUNCTION("""COMPUTED_VALUE"""),"Jintei")</f>
        <v>Jintei</v>
      </c>
      <c r="T65" s="5" t="str">
        <f>IFERROR(__xludf.DUMMYFUNCTION("""COMPUTED_VALUE"""),"StarRiver Arts")</f>
        <v>StarRiver Arts</v>
      </c>
      <c r="U65" s="5">
        <f>IFERROR(__xludf.DUMMYFUNCTION("""COMPUTED_VALUE"""),0.0025381944444444445)</f>
        <v>0.002538194444</v>
      </c>
      <c r="V65" s="5" t="str">
        <f>IFERROR(__xludf.DUMMYFUNCTION("""COMPUTED_VALUE"""),"EVOX/CZ4A")</f>
        <v>EVOX/CZ4A</v>
      </c>
      <c r="W65" s="5" t="str">
        <f>IFERROR(__xludf.DUMMYFUNCTION("""COMPUTED_VALUE"""),"PC")</f>
        <v>PC</v>
      </c>
      <c r="X65" s="5" t="str">
        <f>IFERROR(__xludf.DUMMYFUNCTION("""COMPUTED_VALUE"""),"Sacc")</f>
        <v>Sacc</v>
      </c>
      <c r="Y65" s="5" t="str">
        <f>IFERROR(__xludf.DUMMYFUNCTION("""COMPUTED_VALUE"""),"Tsuchisaka Snow")</f>
        <v>Tsuchisaka Snow</v>
      </c>
      <c r="Z65" s="5" t="str">
        <f>IFERROR(__xludf.DUMMYFUNCTION("""COMPUTED_VALUE"""),"OB")</f>
        <v>OB</v>
      </c>
      <c r="AA65" s="5" t="str">
        <f>IFERROR(__xludf.DUMMYFUNCTION("""COMPUTED_VALUE"""),"Jintei")</f>
        <v>Jintei</v>
      </c>
      <c r="AB65" s="5" t="str">
        <f>IFERROR(__xludf.DUMMYFUNCTION("""COMPUTED_VALUE"""),"Test Driver")</f>
        <v>Test Driver</v>
      </c>
      <c r="AC65" s="5">
        <f>IFERROR(__xludf.DUMMYFUNCTION("""COMPUTED_VALUE"""),0.006944444444444444)</f>
        <v>0.006944444444</v>
      </c>
      <c r="AD65" s="5" t="str">
        <f>IFERROR(__xludf.DUMMYFUNCTION("""COMPUTED_VALUE"""),"ER34 (R34 23GT Turbo)")</f>
        <v>ER34 (R34 23GT Turbo)</v>
      </c>
      <c r="AE65" s="5"/>
      <c r="AF65" s="5" t="str">
        <f>IFERROR(__xludf.DUMMYFUNCTION("""COMPUTED_VALUE"""),"Sacc")</f>
        <v>Sacc</v>
      </c>
      <c r="AG65" s="5"/>
      <c r="AH65" s="14"/>
      <c r="AI65" s="14"/>
      <c r="AJ65" s="14"/>
      <c r="AK65" s="14"/>
      <c r="AL65" s="14"/>
      <c r="AM65" s="14"/>
      <c r="AN65" s="14"/>
      <c r="AO65" s="5"/>
      <c r="AP65" s="5"/>
      <c r="AQ65" s="5"/>
      <c r="AR65" s="5"/>
      <c r="AS65" s="5"/>
      <c r="AT65" s="5"/>
      <c r="AU65" s="5"/>
      <c r="AV65" s="5"/>
      <c r="AW65" s="67" t="s">
        <v>160</v>
      </c>
      <c r="BE65" s="67"/>
      <c r="BF65" s="67"/>
      <c r="BG65" s="67"/>
      <c r="BH65" s="67"/>
      <c r="BI65" s="67"/>
      <c r="BJ65" s="67"/>
      <c r="BK65" s="67"/>
      <c r="BL65" s="67"/>
      <c r="BM65" s="67"/>
      <c r="BN65" s="67"/>
      <c r="BO65" s="67"/>
    </row>
    <row r="66">
      <c r="A66" s="5" t="str">
        <f>IFERROR(__xludf.DUMMYFUNCTION("""COMPUTED_VALUE"""),"Akagi")</f>
        <v>Akagi</v>
      </c>
      <c r="B66" s="5" t="str">
        <f>IFERROR(__xludf.DUMMYFUNCTION("""COMPUTED_VALUE"""),"UH")</f>
        <v>UH</v>
      </c>
      <c r="C66" s="5" t="str">
        <f>IFERROR(__xludf.DUMMYFUNCTION("""COMPUTED_VALUE"""),"Jintei")</f>
        <v>Jintei</v>
      </c>
      <c r="D66" s="5" t="str">
        <f>IFERROR(__xludf.DUMMYFUNCTION("""COMPUTED_VALUE"""),"Test Driver")</f>
        <v>Test Driver</v>
      </c>
      <c r="E66" s="5">
        <f>IFERROR(__xludf.DUMMYFUNCTION("""COMPUTED_VALUE"""),0.006944444444444444)</f>
        <v>0.006944444444</v>
      </c>
      <c r="F66" s="5" t="str">
        <f>IFERROR(__xludf.DUMMYFUNCTION("""COMPUTED_VALUE"""),"AE86L-V2")</f>
        <v>AE86L-V2</v>
      </c>
      <c r="G66" s="5"/>
      <c r="H66" s="5" t="str">
        <f>IFERROR(__xludf.DUMMYFUNCTION("""COMPUTED_VALUE"""),"Sacc")</f>
        <v>Sacc</v>
      </c>
      <c r="I66" s="14" t="str">
        <f>IFERROR(__xludf.DUMMYFUNCTION("""COMPUTED_VALUE"""),"Sadamine")</f>
        <v>Sadamine</v>
      </c>
      <c r="J66" s="14" t="str">
        <f>IFERROR(__xludf.DUMMYFUNCTION("""COMPUTED_VALUE"""),"OCDH")</f>
        <v>OCDH</v>
      </c>
      <c r="K66" s="14" t="str">
        <f>IFERROR(__xludf.DUMMYFUNCTION("""COMPUTED_VALUE"""),"Jintei")</f>
        <v>Jintei</v>
      </c>
      <c r="L66" s="14" t="str">
        <f>IFERROR(__xludf.DUMMYFUNCTION("""COMPUTED_VALUE"""),"Test Driver")</f>
        <v>Test Driver</v>
      </c>
      <c r="M66" s="14">
        <f>IFERROR(__xludf.DUMMYFUNCTION("""COMPUTED_VALUE"""),0.006944444444444444)</f>
        <v>0.006944444444</v>
      </c>
      <c r="N66" s="14" t="str">
        <f>IFERROR(__xludf.DUMMYFUNCTION("""COMPUTED_VALUE"""),"FD3S (RX7)(ST)")</f>
        <v>FD3S (RX7)(ST)</v>
      </c>
      <c r="O66" s="14"/>
      <c r="P66" s="14" t="str">
        <f>IFERROR(__xludf.DUMMYFUNCTION("""COMPUTED_VALUE"""),"Sacc")</f>
        <v>Sacc</v>
      </c>
      <c r="Q66" s="5" t="str">
        <f>IFERROR(__xludf.DUMMYFUNCTION("""COMPUTED_VALUE"""),"Usui V2")</f>
        <v>Usui V2</v>
      </c>
      <c r="R66" s="5" t="str">
        <f>IFERROR(__xludf.DUMMYFUNCTION("""COMPUTED_VALUE"""),"CW")</f>
        <v>CW</v>
      </c>
      <c r="S66" s="5" t="str">
        <f>IFERROR(__xludf.DUMMYFUNCTION("""COMPUTED_VALUE"""),"Jintei")</f>
        <v>Jintei</v>
      </c>
      <c r="T66" s="5" t="str">
        <f>IFERROR(__xludf.DUMMYFUNCTION("""COMPUTED_VALUE"""),"Test Driver")</f>
        <v>Test Driver</v>
      </c>
      <c r="U66" s="5">
        <f>IFERROR(__xludf.DUMMYFUNCTION("""COMPUTED_VALUE"""),0.006944444444444444)</f>
        <v>0.006944444444</v>
      </c>
      <c r="V66" s="5" t="str">
        <f>IFERROR(__xludf.DUMMYFUNCTION("""COMPUTED_VALUE"""),"EVOX/CZ4A")</f>
        <v>EVOX/CZ4A</v>
      </c>
      <c r="W66" s="5"/>
      <c r="X66" s="5" t="str">
        <f>IFERROR(__xludf.DUMMYFUNCTION("""COMPUTED_VALUE"""),"Sacc")</f>
        <v>Sacc</v>
      </c>
      <c r="Y66" s="5" t="str">
        <f>IFERROR(__xludf.DUMMYFUNCTION("""COMPUTED_VALUE"""),"Tsuchisaka Snow")</f>
        <v>Tsuchisaka Snow</v>
      </c>
      <c r="Z66" s="5" t="str">
        <f>IFERROR(__xludf.DUMMYFUNCTION("""COMPUTED_VALUE"""),"IB")</f>
        <v>IB</v>
      </c>
      <c r="AA66" s="5" t="str">
        <f>IFERROR(__xludf.DUMMYFUNCTION("""COMPUTED_VALUE"""),"Jintei")</f>
        <v>Jintei</v>
      </c>
      <c r="AB66" s="5" t="str">
        <f>IFERROR(__xludf.DUMMYFUNCTION("""COMPUTED_VALUE"""),"Test Driver")</f>
        <v>Test Driver</v>
      </c>
      <c r="AC66" s="5">
        <f>IFERROR(__xludf.DUMMYFUNCTION("""COMPUTED_VALUE"""),0.006944444444444444)</f>
        <v>0.006944444444</v>
      </c>
      <c r="AD66" s="5" t="str">
        <f>IFERROR(__xludf.DUMMYFUNCTION("""COMPUTED_VALUE"""),"ER34 (R34 23GT Turbo)")</f>
        <v>ER34 (R34 23GT Turbo)</v>
      </c>
      <c r="AE66" s="5"/>
      <c r="AF66" s="5" t="str">
        <f>IFERROR(__xludf.DUMMYFUNCTION("""COMPUTED_VALUE"""),"Sacc")</f>
        <v>Sacc</v>
      </c>
      <c r="AG66" s="14"/>
      <c r="AH66" s="14"/>
      <c r="AI66" s="14"/>
      <c r="AJ66" s="14"/>
      <c r="AK66" s="14"/>
      <c r="AL66" s="14"/>
      <c r="AM66" s="14"/>
      <c r="AN66" s="14"/>
      <c r="AO66" s="5"/>
      <c r="AP66" s="5"/>
      <c r="AQ66" s="5"/>
      <c r="AR66" s="5"/>
      <c r="AS66" s="5"/>
      <c r="AT66" s="5"/>
      <c r="AU66" s="5"/>
      <c r="AV66" s="5"/>
      <c r="AW66" s="5" t="str">
        <f>IFERROR(__xludf.DUMMYFUNCTION("LET(
  車輛, AW65,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66" s="5" t="str">
        <f>IFERROR(__xludf.DUMMYFUNCTION("""COMPUTED_VALUE"""),"路線")</f>
        <v>路線</v>
      </c>
      <c r="AY66" s="5" t="str">
        <f>IFERROR(__xludf.DUMMYFUNCTION("""COMPUTED_VALUE"""),"作者")</f>
        <v>作者</v>
      </c>
      <c r="AZ66" s="5" t="str">
        <f>IFERROR(__xludf.DUMMYFUNCTION("""COMPUTED_VALUE"""),"玩家")</f>
        <v>玩家</v>
      </c>
      <c r="BA66" s="5" t="str">
        <f>IFERROR(__xludf.DUMMYFUNCTION("""COMPUTED_VALUE"""),"時間")</f>
        <v>時間</v>
      </c>
      <c r="BB66" s="5" t="str">
        <f>IFERROR(__xludf.DUMMYFUNCTION("""COMPUTED_VALUE"""),"車輛")</f>
        <v>車輛</v>
      </c>
      <c r="BC66" s="5" t="str">
        <f>IFERROR(__xludf.DUMMYFUNCTION("""COMPUTED_VALUE"""),"平台")</f>
        <v>平台</v>
      </c>
      <c r="BD66" s="5" t="str">
        <f>IFERROR(__xludf.DUMMYFUNCTION("""COMPUTED_VALUE"""),"系統")</f>
        <v>系統</v>
      </c>
      <c r="BE66" s="5"/>
      <c r="BF66" s="5"/>
      <c r="BG66" s="5"/>
      <c r="BH66" s="5"/>
      <c r="BI66" s="5"/>
      <c r="BJ66" s="5"/>
      <c r="BK66" s="5"/>
      <c r="BL66" s="5"/>
      <c r="BM66" s="5"/>
      <c r="BN66" s="5"/>
      <c r="BO66" s="5"/>
    </row>
    <row r="67">
      <c r="A67" s="5" t="str">
        <f>IFERROR(__xludf.DUMMYFUNCTION("""COMPUTED_VALUE"""),"Shomaru")</f>
        <v>Shomaru</v>
      </c>
      <c r="B67" s="5" t="str">
        <f>IFERROR(__xludf.DUMMYFUNCTION("""COMPUTED_VALUE"""),"OB")</f>
        <v>OB</v>
      </c>
      <c r="C67" s="5" t="str">
        <f>IFERROR(__xludf.DUMMYFUNCTION("""COMPUTED_VALUE"""),"Jintei")</f>
        <v>Jintei</v>
      </c>
      <c r="D67" s="5" t="str">
        <f>IFERROR(__xludf.DUMMYFUNCTION("""COMPUTED_VALUE"""),"Test Driver")</f>
        <v>Test Driver</v>
      </c>
      <c r="E67" s="5">
        <f>IFERROR(__xludf.DUMMYFUNCTION("""COMPUTED_VALUE"""),0.006944444444444444)</f>
        <v>0.006944444444</v>
      </c>
      <c r="F67" s="5" t="str">
        <f>IFERROR(__xludf.DUMMYFUNCTION("""COMPUTED_VALUE"""),"AE86L-V2")</f>
        <v>AE86L-V2</v>
      </c>
      <c r="G67" s="5"/>
      <c r="H67" s="5" t="str">
        <f>IFERROR(__xludf.DUMMYFUNCTION("""COMPUTED_VALUE"""),"Sacc")</f>
        <v>Sacc</v>
      </c>
      <c r="I67" s="14"/>
      <c r="J67" s="14"/>
      <c r="K67" s="14"/>
      <c r="L67" s="14"/>
      <c r="M67" s="14"/>
      <c r="N67" s="14"/>
      <c r="O67" s="14"/>
      <c r="P67" s="14"/>
      <c r="Q67" s="5" t="str">
        <f>IFERROR(__xludf.DUMMYFUNCTION("""COMPUTED_VALUE"""),"Fukuoka")</f>
        <v>Fukuoka</v>
      </c>
      <c r="R67" s="5"/>
      <c r="S67" s="5" t="str">
        <f>IFERROR(__xludf.DUMMYFUNCTION("""COMPUTED_VALUE"""),"Jintei")</f>
        <v>Jintei</v>
      </c>
      <c r="T67" s="5" t="str">
        <f>IFERROR(__xludf.DUMMYFUNCTION("""COMPUTED_VALUE"""),"Test Driver")</f>
        <v>Test Driver</v>
      </c>
      <c r="U67" s="5">
        <f>IFERROR(__xludf.DUMMYFUNCTION("""COMPUTED_VALUE"""),0.006944444444444444)</f>
        <v>0.006944444444</v>
      </c>
      <c r="V67" s="5" t="str">
        <f>IFERROR(__xludf.DUMMYFUNCTION("""COMPUTED_VALUE"""),"EVOX/CZ4A")</f>
        <v>EVOX/CZ4A</v>
      </c>
      <c r="W67" s="5"/>
      <c r="X67" s="5" t="str">
        <f>IFERROR(__xludf.DUMMYFUNCTION("""COMPUTED_VALUE"""),"Sacc")</f>
        <v>Sacc</v>
      </c>
      <c r="Y67" s="5" t="str">
        <f>IFERROR(__xludf.DUMMYFUNCTION("""COMPUTED_VALUE"""),"Momiji")</f>
        <v>Momiji</v>
      </c>
      <c r="Z67" s="5" t="str">
        <f>IFERROR(__xludf.DUMMYFUNCTION("""COMPUTED_VALUE"""),"DH")</f>
        <v>DH</v>
      </c>
      <c r="AA67" s="5" t="str">
        <f>IFERROR(__xludf.DUMMYFUNCTION("""COMPUTED_VALUE"""),"Jintei")</f>
        <v>Jintei</v>
      </c>
      <c r="AB67" s="5" t="str">
        <f>IFERROR(__xludf.DUMMYFUNCTION("""COMPUTED_VALUE"""),"Test Driver")</f>
        <v>Test Driver</v>
      </c>
      <c r="AC67" s="5">
        <f>IFERROR(__xludf.DUMMYFUNCTION("""COMPUTED_VALUE"""),0.006944444444444444)</f>
        <v>0.006944444444</v>
      </c>
      <c r="AD67" s="5" t="str">
        <f>IFERROR(__xludf.DUMMYFUNCTION("""COMPUTED_VALUE"""),"ER34 (R34 23GT Turbo)")</f>
        <v>ER34 (R34 23GT Turbo)</v>
      </c>
      <c r="AE67" s="5"/>
      <c r="AF67" s="5" t="str">
        <f>IFERROR(__xludf.DUMMYFUNCTION("""COMPUTED_VALUE"""),"Sacc")</f>
        <v>Sacc</v>
      </c>
      <c r="AG67" s="14"/>
      <c r="AH67" s="14"/>
      <c r="AI67" s="14"/>
      <c r="AJ67" s="14"/>
      <c r="AK67" s="14"/>
      <c r="AL67" s="14"/>
      <c r="AM67" s="14"/>
      <c r="AN67" s="14"/>
      <c r="AO67" s="5"/>
      <c r="AP67" s="5"/>
      <c r="AQ67" s="5"/>
      <c r="AR67" s="5"/>
      <c r="AS67" s="5"/>
      <c r="AT67" s="5"/>
      <c r="AU67" s="5"/>
      <c r="AV67" s="5"/>
      <c r="AW67" s="5" t="str">
        <f>IFERROR(__xludf.DUMMYFUNCTION("""COMPUTED_VALUE"""),"StarSight")</f>
        <v>StarSight</v>
      </c>
      <c r="AX67" s="5" t="str">
        <f>IFERROR(__xludf.DUMMYFUNCTION("""COMPUTED_VALUE"""),"DH")</f>
        <v>DH</v>
      </c>
      <c r="AY67" s="5" t="str">
        <f>IFERROR(__xludf.DUMMYFUNCTION("""COMPUTED_VALUE"""),"StarRiver Arts")</f>
        <v>StarRiver Arts</v>
      </c>
      <c r="AZ67" s="5" t="str">
        <f>IFERROR(__xludf.DUMMYFUNCTION("""COMPUTED_VALUE"""),"Light_Spirit")</f>
        <v>Light_Spirit</v>
      </c>
      <c r="BA67" s="5">
        <f>IFERROR(__xludf.DUMMYFUNCTION("""COMPUTED_VALUE"""),0.0010786226851851853)</f>
        <v>0.001078622685</v>
      </c>
      <c r="BB67" s="5" t="str">
        <f>IFERROR(__xludf.DUMMYFUNCTION("""COMPUTED_VALUE"""),"Macchiato")</f>
        <v>Macchiato</v>
      </c>
      <c r="BC67" s="5" t="str">
        <f>IFERROR(__xludf.DUMMYFUNCTION("""COMPUTED_VALUE"""),"PCVR")</f>
        <v>PCVR</v>
      </c>
      <c r="BD67" s="5" t="str">
        <f>IFERROR(__xludf.DUMMYFUNCTION("""COMPUTED_VALUE"""),"CVS")</f>
        <v>CVS</v>
      </c>
      <c r="BE67" s="5"/>
      <c r="BF67" s="5"/>
      <c r="BG67" s="5"/>
      <c r="BH67" s="5"/>
      <c r="BI67" s="5"/>
      <c r="BJ67" s="5"/>
      <c r="BK67" s="5"/>
      <c r="BL67" s="5"/>
      <c r="BM67" s="5"/>
      <c r="BN67" s="5"/>
      <c r="BO67" s="5"/>
    </row>
    <row r="68">
      <c r="A68" s="5" t="str">
        <f>IFERROR(__xludf.DUMMYFUNCTION("""COMPUTED_VALUE"""),"Shomaru")</f>
        <v>Shomaru</v>
      </c>
      <c r="B68" s="5" t="str">
        <f>IFERROR(__xludf.DUMMYFUNCTION("""COMPUTED_VALUE"""),"IB")</f>
        <v>IB</v>
      </c>
      <c r="C68" s="5" t="str">
        <f>IFERROR(__xludf.DUMMYFUNCTION("""COMPUTED_VALUE"""),"Jintei")</f>
        <v>Jintei</v>
      </c>
      <c r="D68" s="5" t="str">
        <f>IFERROR(__xludf.DUMMYFUNCTION("""COMPUTED_VALUE"""),"Test Driver")</f>
        <v>Test Driver</v>
      </c>
      <c r="E68" s="5">
        <f>IFERROR(__xludf.DUMMYFUNCTION("""COMPUTED_VALUE"""),0.006944444444444444)</f>
        <v>0.006944444444</v>
      </c>
      <c r="F68" s="5" t="str">
        <f>IFERROR(__xludf.DUMMYFUNCTION("""COMPUTED_VALUE"""),"AE86L-V2")</f>
        <v>AE86L-V2</v>
      </c>
      <c r="G68" s="5"/>
      <c r="H68" s="5" t="str">
        <f>IFERROR(__xludf.DUMMYFUNCTION("""COMPUTED_VALUE"""),"Sacc")</f>
        <v>Sacc</v>
      </c>
      <c r="I68" s="14"/>
      <c r="J68" s="14"/>
      <c r="K68" s="14"/>
      <c r="L68" s="14"/>
      <c r="M68" s="14"/>
      <c r="N68" s="14"/>
      <c r="O68" s="14"/>
      <c r="P68" s="14"/>
      <c r="Q68" s="5"/>
      <c r="R68" s="5"/>
      <c r="S68" s="5"/>
      <c r="T68" s="5"/>
      <c r="U68" s="5"/>
      <c r="V68" s="5"/>
      <c r="W68" s="5"/>
      <c r="X68" s="5"/>
      <c r="Y68" s="5" t="str">
        <f>IFERROR(__xludf.DUMMYFUNCTION("""COMPUTED_VALUE"""),"Momiji")</f>
        <v>Momiji</v>
      </c>
      <c r="Z68" s="5" t="str">
        <f>IFERROR(__xludf.DUMMYFUNCTION("""COMPUTED_VALUE"""),"UH")</f>
        <v>UH</v>
      </c>
      <c r="AA68" s="5" t="str">
        <f>IFERROR(__xludf.DUMMYFUNCTION("""COMPUTED_VALUE"""),"Jintei")</f>
        <v>Jintei</v>
      </c>
      <c r="AB68" s="5" t="str">
        <f>IFERROR(__xludf.DUMMYFUNCTION("""COMPUTED_VALUE"""),"Test Driver")</f>
        <v>Test Driver</v>
      </c>
      <c r="AC68" s="5">
        <f>IFERROR(__xludf.DUMMYFUNCTION("""COMPUTED_VALUE"""),0.006944444444444444)</f>
        <v>0.006944444444</v>
      </c>
      <c r="AD68" s="5" t="str">
        <f>IFERROR(__xludf.DUMMYFUNCTION("""COMPUTED_VALUE"""),"ER34 (R34 23GT Turbo)")</f>
        <v>ER34 (R34 23GT Turbo)</v>
      </c>
      <c r="AE68" s="5"/>
      <c r="AF68" s="5" t="str">
        <f>IFERROR(__xludf.DUMMYFUNCTION("""COMPUTED_VALUE"""),"Sacc")</f>
        <v>Sacc</v>
      </c>
      <c r="AG68" s="14"/>
      <c r="AH68" s="14"/>
      <c r="AI68" s="14"/>
      <c r="AJ68" s="14"/>
      <c r="AK68" s="14"/>
      <c r="AL68" s="14"/>
      <c r="AM68" s="14"/>
      <c r="AN68" s="14"/>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c r="A69" s="5" t="str">
        <f>IFERROR(__xludf.DUMMYFUNCTION("""COMPUTED_VALUE"""),"Shomaru")</f>
        <v>Shomaru</v>
      </c>
      <c r="B69" s="5" t="str">
        <f>IFERROR(__xludf.DUMMYFUNCTION("""COMPUTED_VALUE"""),"Double")</f>
        <v>Double</v>
      </c>
      <c r="C69" s="5" t="str">
        <f>IFERROR(__xludf.DUMMYFUNCTION("""COMPUTED_VALUE"""),"Jintei")</f>
        <v>Jintei</v>
      </c>
      <c r="D69" s="5" t="str">
        <f>IFERROR(__xludf.DUMMYFUNCTION("""COMPUTED_VALUE"""),"Test Driver")</f>
        <v>Test Driver</v>
      </c>
      <c r="E69" s="5">
        <f>IFERROR(__xludf.DUMMYFUNCTION("""COMPUTED_VALUE"""),0.006944444444444444)</f>
        <v>0.006944444444</v>
      </c>
      <c r="F69" s="5" t="str">
        <f>IFERROR(__xludf.DUMMYFUNCTION("""COMPUTED_VALUE"""),"AE86L-V2")</f>
        <v>AE86L-V2</v>
      </c>
      <c r="G69" s="5"/>
      <c r="H69" s="5" t="str">
        <f>IFERROR(__xludf.DUMMYFUNCTION("""COMPUTED_VALUE"""),"Sacc")</f>
        <v>Sacc</v>
      </c>
      <c r="I69" s="14"/>
      <c r="J69" s="14"/>
      <c r="K69" s="14"/>
      <c r="L69" s="14"/>
      <c r="M69" s="14"/>
      <c r="N69" s="14"/>
      <c r="O69" s="14"/>
      <c r="P69" s="14"/>
      <c r="Q69" s="5"/>
      <c r="R69" s="5"/>
      <c r="S69" s="5"/>
      <c r="T69" s="5"/>
      <c r="U69" s="5"/>
      <c r="V69" s="5"/>
      <c r="W69" s="5"/>
      <c r="X69" s="5"/>
      <c r="Y69" s="5"/>
      <c r="Z69" s="5"/>
      <c r="AA69" s="5"/>
      <c r="AB69" s="5"/>
      <c r="AC69" s="5"/>
      <c r="AD69" s="5"/>
      <c r="AE69" s="5"/>
      <c r="AF69" s="5"/>
      <c r="AG69" s="14"/>
      <c r="AH69" s="14"/>
      <c r="AI69" s="14"/>
      <c r="AJ69" s="70"/>
      <c r="AK69" s="14"/>
      <c r="AL69" s="14"/>
      <c r="AM69" s="14"/>
      <c r="AN69" s="14"/>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c r="A70" s="5"/>
      <c r="B70" s="5"/>
      <c r="C70" s="5"/>
      <c r="D70" s="5"/>
      <c r="E70" s="5"/>
      <c r="F70" s="5"/>
      <c r="G70" s="5"/>
      <c r="H70" s="5"/>
      <c r="I70" s="71" t="s">
        <v>161</v>
      </c>
      <c r="Q70" s="5"/>
      <c r="R70" s="5"/>
      <c r="S70" s="5"/>
      <c r="T70" s="5"/>
      <c r="U70" s="5"/>
      <c r="V70" s="5"/>
      <c r="W70" s="5"/>
      <c r="X70" s="5"/>
      <c r="Y70" s="67" t="s">
        <v>162</v>
      </c>
      <c r="AG70" s="14"/>
      <c r="AH70" s="14"/>
      <c r="AI70" s="14"/>
      <c r="AJ70" s="14"/>
      <c r="AK70" s="14"/>
      <c r="AL70" s="14"/>
      <c r="AM70" s="14"/>
      <c r="AN70" s="14"/>
      <c r="AO70" s="5"/>
      <c r="AP70" s="5"/>
      <c r="AQ70" s="5"/>
      <c r="AR70" s="5"/>
      <c r="AS70" s="5"/>
      <c r="AT70" s="5"/>
      <c r="AU70" s="5"/>
      <c r="AV70" s="5"/>
      <c r="AW70" s="67" t="s">
        <v>163</v>
      </c>
      <c r="BE70" s="67"/>
      <c r="BF70" s="67"/>
      <c r="BG70" s="67"/>
      <c r="BH70" s="67"/>
      <c r="BI70" s="67"/>
      <c r="BJ70" s="67"/>
      <c r="BK70" s="67"/>
      <c r="BL70" s="67"/>
      <c r="BM70" s="67"/>
      <c r="BN70" s="67"/>
      <c r="BO70" s="67"/>
    </row>
    <row r="71">
      <c r="A71" s="5"/>
      <c r="B71" s="5"/>
      <c r="C71" s="5"/>
      <c r="D71" s="5"/>
      <c r="E71" s="5"/>
      <c r="F71" s="5"/>
      <c r="G71" s="5"/>
      <c r="H71" s="5"/>
      <c r="I71" s="14" t="str">
        <f>IFERROR(__xludf.DUMMYFUNCTION("LET(
  車輛, I70,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J71" s="14" t="str">
        <f>IFERROR(__xludf.DUMMYFUNCTION("""COMPUTED_VALUE"""),"路線")</f>
        <v>路線</v>
      </c>
      <c r="K71" s="14" t="str">
        <f>IFERROR(__xludf.DUMMYFUNCTION("""COMPUTED_VALUE"""),"作者")</f>
        <v>作者</v>
      </c>
      <c r="L71" s="14" t="str">
        <f>IFERROR(__xludf.DUMMYFUNCTION("""COMPUTED_VALUE"""),"玩家")</f>
        <v>玩家</v>
      </c>
      <c r="M71" s="14" t="str">
        <f>IFERROR(__xludf.DUMMYFUNCTION("""COMPUTED_VALUE"""),"時間")</f>
        <v>時間</v>
      </c>
      <c r="N71" s="14" t="str">
        <f>IFERROR(__xludf.DUMMYFUNCTION("""COMPUTED_VALUE"""),"車輛")</f>
        <v>車輛</v>
      </c>
      <c r="O71" s="14" t="str">
        <f>IFERROR(__xludf.DUMMYFUNCTION("""COMPUTED_VALUE"""),"平台")</f>
        <v>平台</v>
      </c>
      <c r="P71" s="14" t="str">
        <f>IFERROR(__xludf.DUMMYFUNCTION("""COMPUTED_VALUE"""),"系統")</f>
        <v>系統</v>
      </c>
      <c r="Q71" s="67" t="s">
        <v>159</v>
      </c>
      <c r="Y71" s="5" t="str">
        <f>IFERROR(__xludf.DUMMYFUNCTION("LET(
  車輛, Y70,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71" s="5" t="str">
        <f>IFERROR(__xludf.DUMMYFUNCTION("""COMPUTED_VALUE"""),"路線")</f>
        <v>路線</v>
      </c>
      <c r="AA71" s="5" t="str">
        <f>IFERROR(__xludf.DUMMYFUNCTION("""COMPUTED_VALUE"""),"作者")</f>
        <v>作者</v>
      </c>
      <c r="AB71" s="5" t="str">
        <f>IFERROR(__xludf.DUMMYFUNCTION("""COMPUTED_VALUE"""),"玩家")</f>
        <v>玩家</v>
      </c>
      <c r="AC71" s="5" t="str">
        <f>IFERROR(__xludf.DUMMYFUNCTION("""COMPUTED_VALUE"""),"時間")</f>
        <v>時間</v>
      </c>
      <c r="AD71" s="5" t="str">
        <f>IFERROR(__xludf.DUMMYFUNCTION("""COMPUTED_VALUE"""),"車輛")</f>
        <v>車輛</v>
      </c>
      <c r="AE71" s="5" t="str">
        <f>IFERROR(__xludf.DUMMYFUNCTION("""COMPUTED_VALUE"""),"平台")</f>
        <v>平台</v>
      </c>
      <c r="AF71" s="5" t="str">
        <f>IFERROR(__xludf.DUMMYFUNCTION("""COMPUTED_VALUE"""),"系統")</f>
        <v>系統</v>
      </c>
      <c r="AG71" s="14"/>
      <c r="AH71" s="14"/>
      <c r="AI71" s="14"/>
      <c r="AJ71" s="14"/>
      <c r="AK71" s="14"/>
      <c r="AL71" s="14"/>
      <c r="AM71" s="14"/>
      <c r="AN71" s="70"/>
      <c r="AO71" s="5"/>
      <c r="AP71" s="5"/>
      <c r="AQ71" s="5"/>
      <c r="AR71" s="5"/>
      <c r="AS71" s="5"/>
      <c r="AT71" s="5"/>
      <c r="AU71" s="5"/>
      <c r="AV71" s="5"/>
      <c r="AW71" s="5" t="str">
        <f>IFERROR(__xludf.DUMMYFUNCTION("LET(
  車輛, AW70,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71" s="5" t="str">
        <f>IFERROR(__xludf.DUMMYFUNCTION("""COMPUTED_VALUE"""),"路線")</f>
        <v>路線</v>
      </c>
      <c r="AY71" s="5" t="str">
        <f>IFERROR(__xludf.DUMMYFUNCTION("""COMPUTED_VALUE"""),"作者")</f>
        <v>作者</v>
      </c>
      <c r="AZ71" s="5" t="str">
        <f>IFERROR(__xludf.DUMMYFUNCTION("""COMPUTED_VALUE"""),"玩家")</f>
        <v>玩家</v>
      </c>
      <c r="BA71" s="5" t="str">
        <f>IFERROR(__xludf.DUMMYFUNCTION("""COMPUTED_VALUE"""),"時間")</f>
        <v>時間</v>
      </c>
      <c r="BB71" s="5" t="str">
        <f>IFERROR(__xludf.DUMMYFUNCTION("""COMPUTED_VALUE"""),"車輛")</f>
        <v>車輛</v>
      </c>
      <c r="BC71" s="5" t="str">
        <f>IFERROR(__xludf.DUMMYFUNCTION("""COMPUTED_VALUE"""),"平台")</f>
        <v>平台</v>
      </c>
      <c r="BD71" s="5" t="str">
        <f>IFERROR(__xludf.DUMMYFUNCTION("""COMPUTED_VALUE"""),"系統")</f>
        <v>系統</v>
      </c>
      <c r="BE71" s="5"/>
      <c r="BF71" s="5"/>
      <c r="BG71" s="5"/>
      <c r="BH71" s="5"/>
      <c r="BI71" s="5"/>
      <c r="BJ71" s="5"/>
      <c r="BK71" s="5"/>
      <c r="BL71" s="5"/>
      <c r="BM71" s="5"/>
      <c r="BN71" s="5"/>
      <c r="BO71" s="5"/>
    </row>
    <row r="72">
      <c r="A72" s="5"/>
      <c r="B72" s="5"/>
      <c r="C72" s="5"/>
      <c r="D72" s="5"/>
      <c r="E72" s="5"/>
      <c r="F72" s="5"/>
      <c r="G72" s="5"/>
      <c r="H72" s="5"/>
      <c r="I72" s="14" t="str">
        <f>IFERROR(__xludf.DUMMYFUNCTION("""COMPUTED_VALUE"""),"Momiji")</f>
        <v>Momiji</v>
      </c>
      <c r="J72" s="14" t="str">
        <f>IFERROR(__xludf.DUMMYFUNCTION("""COMPUTED_VALUE"""),"DH")</f>
        <v>DH</v>
      </c>
      <c r="K72" s="14" t="str">
        <f>IFERROR(__xludf.DUMMYFUNCTION("""COMPUTED_VALUE"""),"Jintei")</f>
        <v>Jintei</v>
      </c>
      <c r="L72" s="14" t="str">
        <f>IFERROR(__xludf.DUMMYFUNCTION("""COMPUTED_VALUE"""),"LinWu_05")</f>
        <v>LinWu_05</v>
      </c>
      <c r="M72" s="14">
        <f>IFERROR(__xludf.DUMMYFUNCTION("""COMPUTED_VALUE"""),0.0024261226851851852)</f>
        <v>0.002426122685</v>
      </c>
      <c r="N72" s="14" t="str">
        <f>IFERROR(__xludf.DUMMYFUNCTION("""COMPUTED_VALUE"""),"NA6CE (Mx5 Roadster)")</f>
        <v>NA6CE (Mx5 Roadster)</v>
      </c>
      <c r="O72" s="14" t="str">
        <f>IFERROR(__xludf.DUMMYFUNCTION("""COMPUTED_VALUE"""),"PC")</f>
        <v>PC</v>
      </c>
      <c r="P72" s="14" t="str">
        <f>IFERROR(__xludf.DUMMYFUNCTION("""COMPUTED_VALUE"""),"Sacc")</f>
        <v>Sacc</v>
      </c>
      <c r="Q72" s="5" t="str">
        <f>IFERROR(__xludf.DUMMYFUNCTION("LET(
  車輛, Q71,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72" s="5" t="str">
        <f>IFERROR(__xludf.DUMMYFUNCTION("""COMPUTED_VALUE"""),"路線")</f>
        <v>路線</v>
      </c>
      <c r="S72" s="5" t="str">
        <f>IFERROR(__xludf.DUMMYFUNCTION("""COMPUTED_VALUE"""),"作者")</f>
        <v>作者</v>
      </c>
      <c r="T72" s="5" t="str">
        <f>IFERROR(__xludf.DUMMYFUNCTION("""COMPUTED_VALUE"""),"玩家")</f>
        <v>玩家</v>
      </c>
      <c r="U72" s="5" t="str">
        <f>IFERROR(__xludf.DUMMYFUNCTION("""COMPUTED_VALUE"""),"時間")</f>
        <v>時間</v>
      </c>
      <c r="V72" s="5" t="str">
        <f>IFERROR(__xludf.DUMMYFUNCTION("""COMPUTED_VALUE"""),"車輛")</f>
        <v>車輛</v>
      </c>
      <c r="W72" s="5" t="str">
        <f>IFERROR(__xludf.DUMMYFUNCTION("""COMPUTED_VALUE"""),"平台")</f>
        <v>平台</v>
      </c>
      <c r="X72" s="5" t="str">
        <f>IFERROR(__xludf.DUMMYFUNCTION("""COMPUTED_VALUE"""),"系統")</f>
        <v>系統</v>
      </c>
      <c r="Y72" s="5" t="str">
        <f>IFERROR(__xludf.DUMMYFUNCTION("""COMPUTED_VALUE"""),"Fukuoka")</f>
        <v>Fukuoka</v>
      </c>
      <c r="Z72" s="5"/>
      <c r="AA72" s="5" t="str">
        <f>IFERROR(__xludf.DUMMYFUNCTION("""COMPUTED_VALUE"""),"Jintei")</f>
        <v>Jintei</v>
      </c>
      <c r="AB72" s="5" t="str">
        <f>IFERROR(__xludf.DUMMYFUNCTION("""COMPUTED_VALUE"""),"LinWu_05")</f>
        <v>LinWu_05</v>
      </c>
      <c r="AC72" s="5">
        <f>IFERROR(__xludf.DUMMYFUNCTION("""COMPUTED_VALUE"""),0.0027285879629629626)</f>
        <v>0.002728587963</v>
      </c>
      <c r="AD72" s="5" t="str">
        <f>IFERROR(__xludf.DUMMYFUNCTION("""COMPUTED_VALUE"""),"R35")</f>
        <v>R35</v>
      </c>
      <c r="AE72" s="5" t="str">
        <f>IFERROR(__xludf.DUMMYFUNCTION("""COMPUTED_VALUE"""),"PC")</f>
        <v>PC</v>
      </c>
      <c r="AF72" s="5" t="str">
        <f>IFERROR(__xludf.DUMMYFUNCTION("""COMPUTED_VALUE"""),"Sacc")</f>
        <v>Sacc</v>
      </c>
      <c r="AG72" s="14"/>
      <c r="AH72" s="14"/>
      <c r="AI72" s="14"/>
      <c r="AJ72" s="14"/>
      <c r="AK72" s="14"/>
      <c r="AL72" s="14"/>
      <c r="AM72" s="14"/>
      <c r="AN72" s="14"/>
      <c r="AO72" s="5"/>
      <c r="AP72" s="5"/>
      <c r="AQ72" s="5"/>
      <c r="AR72" s="5"/>
      <c r="AS72" s="5"/>
      <c r="AT72" s="5"/>
      <c r="AU72" s="5"/>
      <c r="AV72" s="5"/>
      <c r="AW72" s="5" t="str">
        <f>IFERROR(__xludf.DUMMYFUNCTION("""COMPUTED_VALUE"""),"StarSight")</f>
        <v>StarSight</v>
      </c>
      <c r="AX72" s="5" t="str">
        <f>IFERROR(__xludf.DUMMYFUNCTION("""COMPUTED_VALUE"""),"DH")</f>
        <v>DH</v>
      </c>
      <c r="AY72" s="5" t="str">
        <f>IFERROR(__xludf.DUMMYFUNCTION("""COMPUTED_VALUE"""),"StarRiver Arts")</f>
        <v>StarRiver Arts</v>
      </c>
      <c r="AZ72" s="5" t="str">
        <f>IFERROR(__xludf.DUMMYFUNCTION("""COMPUTED_VALUE"""),"richardyukiko")</f>
        <v>richardyukiko</v>
      </c>
      <c r="BA72" s="5">
        <f>IFERROR(__xludf.DUMMYFUNCTION("""COMPUTED_VALUE"""),0.0028493402777777775)</f>
        <v>0.002849340278</v>
      </c>
      <c r="BB72" s="5" t="str">
        <f>IFERROR(__xludf.DUMMYFUNCTION("""COMPUTED_VALUE"""),"Stinger")</f>
        <v>Stinger</v>
      </c>
      <c r="BC72" s="5" t="str">
        <f>IFERROR(__xludf.DUMMYFUNCTION("""COMPUTED_VALUE"""),"PC")</f>
        <v>PC</v>
      </c>
      <c r="BD72" s="5" t="str">
        <f>IFERROR(__xludf.DUMMYFUNCTION("""COMPUTED_VALUE"""),"CVS")</f>
        <v>CVS</v>
      </c>
      <c r="BE72" s="5"/>
      <c r="BF72" s="5"/>
      <c r="BG72" s="5"/>
      <c r="BH72" s="5"/>
      <c r="BI72" s="5"/>
      <c r="BJ72" s="5"/>
      <c r="BK72" s="5"/>
      <c r="BL72" s="5"/>
      <c r="BM72" s="5"/>
      <c r="BN72" s="5"/>
      <c r="BO72" s="5"/>
    </row>
    <row r="73">
      <c r="A73" s="5"/>
      <c r="B73" s="5"/>
      <c r="C73" s="5"/>
      <c r="D73" s="5"/>
      <c r="E73" s="5"/>
      <c r="F73" s="5"/>
      <c r="G73" s="5"/>
      <c r="H73" s="5"/>
      <c r="I73" s="14" t="str">
        <f>IFERROR(__xludf.DUMMYFUNCTION("""COMPUTED_VALUE"""),"Momiji")</f>
        <v>Momiji</v>
      </c>
      <c r="J73" s="14" t="str">
        <f>IFERROR(__xludf.DUMMYFUNCTION("""COMPUTED_VALUE"""),"UH")</f>
        <v>UH</v>
      </c>
      <c r="K73" s="14" t="str">
        <f>IFERROR(__xludf.DUMMYFUNCTION("""COMPUTED_VALUE"""),"Jintei")</f>
        <v>Jintei</v>
      </c>
      <c r="L73" s="14" t="str">
        <f>IFERROR(__xludf.DUMMYFUNCTION("""COMPUTED_VALUE"""),"LinWu_05")</f>
        <v>LinWu_05</v>
      </c>
      <c r="M73" s="14">
        <f>IFERROR(__xludf.DUMMYFUNCTION("""COMPUTED_VALUE"""),0.002460648148148148)</f>
        <v>0.002460648148</v>
      </c>
      <c r="N73" s="14" t="str">
        <f>IFERROR(__xludf.DUMMYFUNCTION("""COMPUTED_VALUE"""),"NA6CE (Mx5 Roadster)")</f>
        <v>NA6CE (Mx5 Roadster)</v>
      </c>
      <c r="O73" s="14" t="str">
        <f>IFERROR(__xludf.DUMMYFUNCTION("""COMPUTED_VALUE"""),"PC")</f>
        <v>PC</v>
      </c>
      <c r="P73" s="14" t="str">
        <f>IFERROR(__xludf.DUMMYFUNCTION("""COMPUTED_VALUE"""),"Sacc")</f>
        <v>Sacc</v>
      </c>
      <c r="Q73" s="5" t="str">
        <f>IFERROR(__xludf.DUMMYFUNCTION("""COMPUTED_VALUE"""),"Nagoya")</f>
        <v>Nagoya</v>
      </c>
      <c r="R73" s="5"/>
      <c r="S73" s="5" t="str">
        <f>IFERROR(__xludf.DUMMYFUNCTION("""COMPUTED_VALUE"""),"Jintei")</f>
        <v>Jintei</v>
      </c>
      <c r="T73" s="5" t="str">
        <f>IFERROR(__xludf.DUMMYFUNCTION("""COMPUTED_VALUE"""),"LinWu_05")</f>
        <v>LinWu_05</v>
      </c>
      <c r="U73" s="5">
        <f>IFERROR(__xludf.DUMMYFUNCTION("""COMPUTED_VALUE"""),0.0024359606481481485)</f>
        <v>0.002435960648</v>
      </c>
      <c r="V73" s="5" t="str">
        <f>IFERROR(__xludf.DUMMYFUNCTION("""COMPUTED_VALUE"""),"EVOX/CZ4A")</f>
        <v>EVOX/CZ4A</v>
      </c>
      <c r="W73" s="5" t="str">
        <f>IFERROR(__xludf.DUMMYFUNCTION("""COMPUTED_VALUE"""),"PC")</f>
        <v>PC</v>
      </c>
      <c r="X73" s="5" t="str">
        <f>IFERROR(__xludf.DUMMYFUNCTION("""COMPUTED_VALUE"""),"Sacc")</f>
        <v>Sacc</v>
      </c>
      <c r="Y73" s="5" t="str">
        <f>IFERROR(__xludf.DUMMYFUNCTION("""COMPUTED_VALUE"""),"Nurburgring")</f>
        <v>Nurburgring</v>
      </c>
      <c r="Z73" s="5" t="str">
        <f>IFERROR(__xludf.DUMMYFUNCTION("""COMPUTED_VALUE"""),"Nord")</f>
        <v>Nord</v>
      </c>
      <c r="AA73" s="5" t="str">
        <f>IFERROR(__xludf.DUMMYFUNCTION("""COMPUTED_VALUE"""),"Aiden1408")</f>
        <v>Aiden1408</v>
      </c>
      <c r="AB73" s="5" t="str">
        <f>IFERROR(__xludf.DUMMYFUNCTION("""COMPUTED_VALUE"""),"StarRiver Arts")</f>
        <v>StarRiver Arts</v>
      </c>
      <c r="AC73" s="5">
        <f>IFERROR(__xludf.DUMMYFUNCTION("""COMPUTED_VALUE"""),0.0062355324074074075)</f>
        <v>0.006235532407</v>
      </c>
      <c r="AD73" s="5" t="str">
        <f>IFERROR(__xludf.DUMMYFUNCTION("""COMPUTED_VALUE"""),"R35")</f>
        <v>R35</v>
      </c>
      <c r="AE73" s="5" t="str">
        <f>IFERROR(__xludf.DUMMYFUNCTION("""COMPUTED_VALUE"""),"PC")</f>
        <v>PC</v>
      </c>
      <c r="AF73" s="5" t="str">
        <f>IFERROR(__xludf.DUMMYFUNCTION("""COMPUTED_VALUE"""),"CVS")</f>
        <v>CVS</v>
      </c>
      <c r="AG73" s="14"/>
      <c r="AH73" s="14"/>
      <c r="AI73" s="14"/>
      <c r="AJ73" s="14"/>
      <c r="AK73" s="14"/>
      <c r="AL73" s="14"/>
      <c r="AM73" s="14"/>
      <c r="AN73" s="14"/>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c r="A74" s="67" t="s">
        <v>164</v>
      </c>
      <c r="I74" s="14" t="str">
        <f>IFERROR(__xludf.DUMMYFUNCTION("""COMPUTED_VALUE"""),"Usui V1")</f>
        <v>Usui V1</v>
      </c>
      <c r="J74" s="14" t="str">
        <f>IFERROR(__xludf.DUMMYFUNCTION("""COMPUTED_VALUE"""),"CW")</f>
        <v>CW</v>
      </c>
      <c r="K74" s="14" t="str">
        <f>IFERROR(__xludf.DUMMYFUNCTION("""COMPUTED_VALUE"""),"Jintei")</f>
        <v>Jintei</v>
      </c>
      <c r="L74" s="14" t="str">
        <f>IFERROR(__xludf.DUMMYFUNCTION("""COMPUTED_VALUE"""),"Sakanakokokoko")</f>
        <v>Sakanakokokoko</v>
      </c>
      <c r="M74" s="14">
        <f>IFERROR(__xludf.DUMMYFUNCTION("""COMPUTED_VALUE"""),0.002955243055555555)</f>
        <v>0.002955243056</v>
      </c>
      <c r="N74" s="14" t="str">
        <f>IFERROR(__xludf.DUMMYFUNCTION("""COMPUTED_VALUE"""),"NA6CE (Mx5 Roadster)")</f>
        <v>NA6CE (Mx5 Roadster)</v>
      </c>
      <c r="O74" s="14" t="str">
        <f>IFERROR(__xludf.DUMMYFUNCTION("""COMPUTED_VALUE"""),"PC")</f>
        <v>PC</v>
      </c>
      <c r="P74" s="14" t="str">
        <f>IFERROR(__xludf.DUMMYFUNCTION("""COMPUTED_VALUE"""),"Sacc")</f>
        <v>Sacc</v>
      </c>
      <c r="Q74" s="5" t="str">
        <f>IFERROR(__xludf.DUMMYFUNCTION("""COMPUTED_VALUE"""),"Usui V2")</f>
        <v>Usui V2</v>
      </c>
      <c r="R74" s="5" t="str">
        <f>IFERROR(__xludf.DUMMYFUNCTION("""COMPUTED_VALUE"""),"CC")</f>
        <v>CC</v>
      </c>
      <c r="S74" s="5" t="str">
        <f>IFERROR(__xludf.DUMMYFUNCTION("""COMPUTED_VALUE"""),"Jintei")</f>
        <v>Jintei</v>
      </c>
      <c r="T74" s="5" t="str">
        <f>IFERROR(__xludf.DUMMYFUNCTION("""COMPUTED_VALUE"""),"StarRiver Arts")</f>
        <v>StarRiver Arts</v>
      </c>
      <c r="U74" s="5">
        <f>IFERROR(__xludf.DUMMYFUNCTION("""COMPUTED_VALUE"""),0.0025381944444444445)</f>
        <v>0.002538194444</v>
      </c>
      <c r="V74" s="5" t="str">
        <f>IFERROR(__xludf.DUMMYFUNCTION("""COMPUTED_VALUE"""),"EVOX/CZ4A")</f>
        <v>EVOX/CZ4A</v>
      </c>
      <c r="W74" s="5" t="str">
        <f>IFERROR(__xludf.DUMMYFUNCTION("""COMPUTED_VALUE"""),"PC")</f>
        <v>PC</v>
      </c>
      <c r="X74" s="5" t="str">
        <f>IFERROR(__xludf.DUMMYFUNCTION("""COMPUTED_VALUE"""),"Sacc")</f>
        <v>Sacc</v>
      </c>
      <c r="Y74" s="5" t="str">
        <f>IFERROR(__xludf.DUMMYFUNCTION("""COMPUTED_VALUE"""),"Nurburgring")</f>
        <v>Nurburgring</v>
      </c>
      <c r="Z74" s="5" t="str">
        <f>IFERROR(__xludf.DUMMYFUNCTION("""COMPUTED_VALUE"""),"GP")</f>
        <v>GP</v>
      </c>
      <c r="AA74" s="5" t="str">
        <f>IFERROR(__xludf.DUMMYFUNCTION("""COMPUTED_VALUE"""),"Aiden1408")</f>
        <v>Aiden1408</v>
      </c>
      <c r="AB74" s="5" t="str">
        <f>IFERROR(__xludf.DUMMYFUNCTION("""COMPUTED_VALUE"""),"StarRiver Arts")</f>
        <v>StarRiver Arts</v>
      </c>
      <c r="AC74" s="5">
        <f>IFERROR(__xludf.DUMMYFUNCTION("""COMPUTED_VALUE"""),0.0016525810185185185)</f>
        <v>0.001652581019</v>
      </c>
      <c r="AD74" s="5" t="str">
        <f>IFERROR(__xludf.DUMMYFUNCTION("""COMPUTED_VALUE"""),"R35")</f>
        <v>R35</v>
      </c>
      <c r="AE74" s="5" t="str">
        <f>IFERROR(__xludf.DUMMYFUNCTION("""COMPUTED_VALUE"""),"PC")</f>
        <v>PC</v>
      </c>
      <c r="AF74" s="5" t="str">
        <f>IFERROR(__xludf.DUMMYFUNCTION("""COMPUTED_VALUE"""),"CVS")</f>
        <v>CVS</v>
      </c>
      <c r="AG74" s="14"/>
      <c r="AH74" s="14"/>
      <c r="AI74" s="14"/>
      <c r="AJ74" s="14"/>
      <c r="AK74" s="14"/>
      <c r="AL74" s="14"/>
      <c r="AM74" s="14"/>
      <c r="AN74" s="14"/>
      <c r="AO74" s="5"/>
      <c r="AP74" s="5"/>
      <c r="AQ74" s="5"/>
      <c r="AR74" s="5"/>
      <c r="AS74" s="5"/>
      <c r="AT74" s="5"/>
      <c r="AU74" s="5"/>
      <c r="AV74" s="5"/>
      <c r="AW74" s="67" t="s">
        <v>165</v>
      </c>
      <c r="BE74" s="67"/>
      <c r="BF74" s="67"/>
      <c r="BG74" s="67"/>
      <c r="BH74" s="67"/>
      <c r="BI74" s="67"/>
      <c r="BJ74" s="67"/>
      <c r="BK74" s="67"/>
      <c r="BL74" s="67"/>
      <c r="BM74" s="67"/>
      <c r="BN74" s="67"/>
      <c r="BO74" s="67"/>
    </row>
    <row r="75">
      <c r="A75" s="5" t="str">
        <f>IFERROR(__xludf.DUMMYFUNCTION("LET(
  車輛, A74,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B75" s="5" t="str">
        <f>IFERROR(__xludf.DUMMYFUNCTION("""COMPUTED_VALUE"""),"路線")</f>
        <v>路線</v>
      </c>
      <c r="C75" s="5" t="str">
        <f>IFERROR(__xludf.DUMMYFUNCTION("""COMPUTED_VALUE"""),"作者")</f>
        <v>作者</v>
      </c>
      <c r="D75" s="5" t="str">
        <f>IFERROR(__xludf.DUMMYFUNCTION("""COMPUTED_VALUE"""),"玩家")</f>
        <v>玩家</v>
      </c>
      <c r="E75" s="5" t="str">
        <f>IFERROR(__xludf.DUMMYFUNCTION("""COMPUTED_VALUE"""),"時間")</f>
        <v>時間</v>
      </c>
      <c r="F75" s="5" t="str">
        <f>IFERROR(__xludf.DUMMYFUNCTION("""COMPUTED_VALUE"""),"車輛")</f>
        <v>車輛</v>
      </c>
      <c r="G75" s="5" t="str">
        <f>IFERROR(__xludf.DUMMYFUNCTION("""COMPUTED_VALUE"""),"平台")</f>
        <v>平台</v>
      </c>
      <c r="H75" s="5" t="str">
        <f>IFERROR(__xludf.DUMMYFUNCTION("""COMPUTED_VALUE"""),"系統")</f>
        <v>系統</v>
      </c>
      <c r="I75" s="14" t="str">
        <f>IFERROR(__xludf.DUMMYFUNCTION("""COMPUTED_VALUE"""),"Usui V1")</f>
        <v>Usui V1</v>
      </c>
      <c r="J75" s="14" t="str">
        <f>IFERROR(__xludf.DUMMYFUNCTION("""COMPUTED_VALUE"""),"CC")</f>
        <v>CC</v>
      </c>
      <c r="K75" s="14" t="str">
        <f>IFERROR(__xludf.DUMMYFUNCTION("""COMPUTED_VALUE"""),"Jintei")</f>
        <v>Jintei</v>
      </c>
      <c r="L75" s="14" t="str">
        <f>IFERROR(__xludf.DUMMYFUNCTION("""COMPUTED_VALUE"""),"Test Driver")</f>
        <v>Test Driver</v>
      </c>
      <c r="M75" s="14">
        <f>IFERROR(__xludf.DUMMYFUNCTION("""COMPUTED_VALUE"""),0.006944444444444444)</f>
        <v>0.006944444444</v>
      </c>
      <c r="N75" s="14" t="str">
        <f>IFERROR(__xludf.DUMMYFUNCTION("""COMPUTED_VALUE"""),"NA6CE (Mx5 Roadster)")</f>
        <v>NA6CE (Mx5 Roadster)</v>
      </c>
      <c r="O75" s="14"/>
      <c r="P75" s="14" t="str">
        <f>IFERROR(__xludf.DUMMYFUNCTION("""COMPUTED_VALUE"""),"Sacc")</f>
        <v>Sacc</v>
      </c>
      <c r="Q75" s="5" t="str">
        <f>IFERROR(__xludf.DUMMYFUNCTION("""COMPUTED_VALUE"""),"Usui V2")</f>
        <v>Usui V2</v>
      </c>
      <c r="R75" s="5" t="str">
        <f>IFERROR(__xludf.DUMMYFUNCTION("""COMPUTED_VALUE"""),"CW")</f>
        <v>CW</v>
      </c>
      <c r="S75" s="5" t="str">
        <f>IFERROR(__xludf.DUMMYFUNCTION("""COMPUTED_VALUE"""),"Jintei")</f>
        <v>Jintei</v>
      </c>
      <c r="T75" s="5" t="str">
        <f>IFERROR(__xludf.DUMMYFUNCTION("""COMPUTED_VALUE"""),"Test Driver")</f>
        <v>Test Driver</v>
      </c>
      <c r="U75" s="5">
        <f>IFERROR(__xludf.DUMMYFUNCTION("""COMPUTED_VALUE"""),0.006944444444444444)</f>
        <v>0.006944444444</v>
      </c>
      <c r="V75" s="5" t="str">
        <f>IFERROR(__xludf.DUMMYFUNCTION("""COMPUTED_VALUE"""),"EVOX/CZ4A")</f>
        <v>EVOX/CZ4A</v>
      </c>
      <c r="W75" s="5"/>
      <c r="X75" s="5" t="str">
        <f>IFERROR(__xludf.DUMMYFUNCTION("""COMPUTED_VALUE"""),"Sacc")</f>
        <v>Sacc</v>
      </c>
      <c r="Y75" s="5" t="str">
        <f>IFERROR(__xludf.DUMMYFUNCTION("""COMPUTED_VALUE"""),"Hakone")</f>
        <v>Hakone</v>
      </c>
      <c r="Z75" s="5" t="str">
        <f>IFERROR(__xludf.DUMMYFUNCTION("""COMPUTED_VALUE"""),"DH")</f>
        <v>DH</v>
      </c>
      <c r="AA75" s="5" t="str">
        <f>IFERROR(__xludf.DUMMYFUNCTION("""COMPUTED_VALUE"""),"Jintei")</f>
        <v>Jintei</v>
      </c>
      <c r="AB75" s="5" t="str">
        <f>IFERROR(__xludf.DUMMYFUNCTION("""COMPUTED_VALUE"""),"Test Driver")</f>
        <v>Test Driver</v>
      </c>
      <c r="AC75" s="5">
        <f>IFERROR(__xludf.DUMMYFUNCTION("""COMPUTED_VALUE"""),0.006944444444444444)</f>
        <v>0.006944444444</v>
      </c>
      <c r="AD75" s="5" t="str">
        <f>IFERROR(__xludf.DUMMYFUNCTION("""COMPUTED_VALUE"""),"R35")</f>
        <v>R35</v>
      </c>
      <c r="AE75" s="5"/>
      <c r="AF75" s="5" t="str">
        <f>IFERROR(__xludf.DUMMYFUNCTION("""COMPUTED_VALUE"""),"Sacc")</f>
        <v>Sacc</v>
      </c>
      <c r="AG75" s="14"/>
      <c r="AH75" s="14"/>
      <c r="AI75" s="14"/>
      <c r="AJ75" s="14"/>
      <c r="AK75" s="14"/>
      <c r="AL75" s="14"/>
      <c r="AM75" s="14"/>
      <c r="AN75" s="14"/>
      <c r="AO75" s="5"/>
      <c r="AP75" s="5"/>
      <c r="AQ75" s="5"/>
      <c r="AR75" s="5"/>
      <c r="AS75" s="5"/>
      <c r="AT75" s="5"/>
      <c r="AU75" s="5"/>
      <c r="AV75" s="5"/>
      <c r="AW75" s="5" t="str">
        <f>IFERROR(__xludf.DUMMYFUNCTION("LET(
  車輛, AW74,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AX75" s="5" t="str">
        <f>IFERROR(__xludf.DUMMYFUNCTION("""COMPUTED_VALUE"""),"路線")</f>
        <v>路線</v>
      </c>
      <c r="AY75" s="5" t="str">
        <f>IFERROR(__xludf.DUMMYFUNCTION("""COMPUTED_VALUE"""),"作者")</f>
        <v>作者</v>
      </c>
      <c r="AZ75" s="5" t="str">
        <f>IFERROR(__xludf.DUMMYFUNCTION("""COMPUTED_VALUE"""),"玩家")</f>
        <v>玩家</v>
      </c>
      <c r="BA75" s="5" t="str">
        <f>IFERROR(__xludf.DUMMYFUNCTION("""COMPUTED_VALUE"""),"時間")</f>
        <v>時間</v>
      </c>
      <c r="BB75" s="5" t="str">
        <f>IFERROR(__xludf.DUMMYFUNCTION("""COMPUTED_VALUE"""),"車輛")</f>
        <v>車輛</v>
      </c>
      <c r="BC75" s="5" t="str">
        <f>IFERROR(__xludf.DUMMYFUNCTION("""COMPUTED_VALUE"""),"平台")</f>
        <v>平台</v>
      </c>
      <c r="BD75" s="5" t="str">
        <f>IFERROR(__xludf.DUMMYFUNCTION("""COMPUTED_VALUE"""),"系統")</f>
        <v>系統</v>
      </c>
      <c r="BE75" s="5"/>
      <c r="BF75" s="5"/>
      <c r="BG75" s="5"/>
      <c r="BH75" s="5"/>
      <c r="BI75" s="5"/>
      <c r="BJ75" s="5"/>
      <c r="BK75" s="5"/>
      <c r="BL75" s="5"/>
      <c r="BM75" s="5"/>
      <c r="BN75" s="5"/>
      <c r="BO75" s="5"/>
    </row>
    <row r="76">
      <c r="A76" s="5" t="str">
        <f>IFERROR(__xludf.DUMMYFUNCTION("""COMPUTED_VALUE"""),"Akina")</f>
        <v>Akina</v>
      </c>
      <c r="B76" s="5" t="str">
        <f>IFERROR(__xludf.DUMMYFUNCTION("""COMPUTED_VALUE"""),"DH")</f>
        <v>DH</v>
      </c>
      <c r="C76" s="5" t="str">
        <f>IFERROR(__xludf.DUMMYFUNCTION("""COMPUTED_VALUE"""),"Jintei")</f>
        <v>Jintei</v>
      </c>
      <c r="D76" s="5" t="str">
        <f>IFERROR(__xludf.DUMMYFUNCTION("""COMPUTED_VALUE"""),"StarRiver Arts")</f>
        <v>StarRiver Arts</v>
      </c>
      <c r="E76" s="5">
        <f>IFERROR(__xludf.DUMMYFUNCTION("""COMPUTED_VALUE"""),0.003335451388888889)</f>
        <v>0.003335451389</v>
      </c>
      <c r="F76" s="5" t="str">
        <f>IFERROR(__xludf.DUMMYFUNCTION("""COMPUTED_VALUE"""),"AE85")</f>
        <v>AE85</v>
      </c>
      <c r="G76" s="5" t="str">
        <f>IFERROR(__xludf.DUMMYFUNCTION("""COMPUTED_VALUE"""),"PC")</f>
        <v>PC</v>
      </c>
      <c r="H76" s="5" t="str">
        <f>IFERROR(__xludf.DUMMYFUNCTION("""COMPUTED_VALUE"""),"Sacc")</f>
        <v>Sacc</v>
      </c>
      <c r="I76" s="14" t="str">
        <f>IFERROR(__xludf.DUMMYFUNCTION("""COMPUTED_VALUE"""),"Tsuchisaka Snow")</f>
        <v>Tsuchisaka Snow</v>
      </c>
      <c r="J76" s="14" t="str">
        <f>IFERROR(__xludf.DUMMYFUNCTION("""COMPUTED_VALUE"""),"OB")</f>
        <v>OB</v>
      </c>
      <c r="K76" s="14" t="str">
        <f>IFERROR(__xludf.DUMMYFUNCTION("""COMPUTED_VALUE"""),"Jintei")</f>
        <v>Jintei</v>
      </c>
      <c r="L76" s="14" t="str">
        <f>IFERROR(__xludf.DUMMYFUNCTION("""COMPUTED_VALUE"""),"Test Driver")</f>
        <v>Test Driver</v>
      </c>
      <c r="M76" s="14">
        <f>IFERROR(__xludf.DUMMYFUNCTION("""COMPUTED_VALUE"""),0.006944444444444444)</f>
        <v>0.006944444444</v>
      </c>
      <c r="N76" s="14" t="str">
        <f>IFERROR(__xludf.DUMMYFUNCTION("""COMPUTED_VALUE"""),"NA6CE (Mx5 Roadster)")</f>
        <v>NA6CE (Mx5 Roadster)</v>
      </c>
      <c r="O76" s="14"/>
      <c r="P76" s="14" t="str">
        <f>IFERROR(__xludf.DUMMYFUNCTION("""COMPUTED_VALUE"""),"Sacc")</f>
        <v>Sacc</v>
      </c>
      <c r="Q76" s="5" t="str">
        <f>IFERROR(__xludf.DUMMYFUNCTION("""COMPUTED_VALUE"""),"Fukuoka")</f>
        <v>Fukuoka</v>
      </c>
      <c r="R76" s="5"/>
      <c r="S76" s="5" t="str">
        <f>IFERROR(__xludf.DUMMYFUNCTION("""COMPUTED_VALUE"""),"Jintei")</f>
        <v>Jintei</v>
      </c>
      <c r="T76" s="5" t="str">
        <f>IFERROR(__xludf.DUMMYFUNCTION("""COMPUTED_VALUE"""),"Test Driver")</f>
        <v>Test Driver</v>
      </c>
      <c r="U76" s="5">
        <f>IFERROR(__xludf.DUMMYFUNCTION("""COMPUTED_VALUE"""),0.006944444444444444)</f>
        <v>0.006944444444</v>
      </c>
      <c r="V76" s="5" t="str">
        <f>IFERROR(__xludf.DUMMYFUNCTION("""COMPUTED_VALUE"""),"EVOX/CZ4A")</f>
        <v>EVOX/CZ4A</v>
      </c>
      <c r="W76" s="5"/>
      <c r="X76" s="5" t="str">
        <f>IFERROR(__xludf.DUMMYFUNCTION("""COMPUTED_VALUE"""),"Sacc")</f>
        <v>Sacc</v>
      </c>
      <c r="Y76" s="5" t="str">
        <f>IFERROR(__xludf.DUMMYFUNCTION("""COMPUTED_VALUE"""),"Hakone")</f>
        <v>Hakone</v>
      </c>
      <c r="Z76" s="5" t="str">
        <f>IFERROR(__xludf.DUMMYFUNCTION("""COMPUTED_VALUE"""),"UH")</f>
        <v>UH</v>
      </c>
      <c r="AA76" s="5" t="str">
        <f>IFERROR(__xludf.DUMMYFUNCTION("""COMPUTED_VALUE"""),"Jintei")</f>
        <v>Jintei</v>
      </c>
      <c r="AB76" s="5" t="str">
        <f>IFERROR(__xludf.DUMMYFUNCTION("""COMPUTED_VALUE"""),"Test Driver")</f>
        <v>Test Driver</v>
      </c>
      <c r="AC76" s="5">
        <f>IFERROR(__xludf.DUMMYFUNCTION("""COMPUTED_VALUE"""),0.006944444444444444)</f>
        <v>0.006944444444</v>
      </c>
      <c r="AD76" s="5" t="str">
        <f>IFERROR(__xludf.DUMMYFUNCTION("""COMPUTED_VALUE"""),"R35")</f>
        <v>R35</v>
      </c>
      <c r="AE76" s="5"/>
      <c r="AF76" s="5" t="str">
        <f>IFERROR(__xludf.DUMMYFUNCTION("""COMPUTED_VALUE"""),"Sacc")</f>
        <v>Sacc</v>
      </c>
      <c r="AG76" s="14"/>
      <c r="AH76" s="14"/>
      <c r="AI76" s="14"/>
      <c r="AJ76" s="14"/>
      <c r="AK76" s="14"/>
      <c r="AL76" s="14"/>
      <c r="AM76" s="14"/>
      <c r="AN76" s="14"/>
      <c r="AO76" s="5"/>
      <c r="AP76" s="5"/>
      <c r="AQ76" s="5"/>
      <c r="AR76" s="5"/>
      <c r="AS76" s="5"/>
      <c r="AT76" s="5"/>
      <c r="AU76" s="5"/>
      <c r="AV76" s="5"/>
      <c r="AW76" s="5" t="str">
        <f>IFERROR(__xludf.DUMMYFUNCTION("""COMPUTED_VALUE"""),"StarSight")</f>
        <v>StarSight</v>
      </c>
      <c r="AX76" s="5" t="str">
        <f>IFERROR(__xludf.DUMMYFUNCTION("""COMPUTED_VALUE"""),"DH")</f>
        <v>DH</v>
      </c>
      <c r="AY76" s="5" t="str">
        <f>IFERROR(__xludf.DUMMYFUNCTION("""COMPUTED_VALUE"""),"StarRiver Arts")</f>
        <v>StarRiver Arts</v>
      </c>
      <c r="AZ76" s="5" t="str">
        <f>IFERROR(__xludf.DUMMYFUNCTION("""COMPUTED_VALUE"""),"Linjeyooo")</f>
        <v>Linjeyooo</v>
      </c>
      <c r="BA76" s="5">
        <f>IFERROR(__xludf.DUMMYFUNCTION("""COMPUTED_VALUE"""),0.002488425925925926)</f>
        <v>0.002488425926</v>
      </c>
      <c r="BB76" s="5" t="str">
        <f>IFERROR(__xludf.DUMMYFUNCTION("""COMPUTED_VALUE"""),"PinoBus")</f>
        <v>PinoBus</v>
      </c>
      <c r="BC76" s="5" t="str">
        <f>IFERROR(__xludf.DUMMYFUNCTION("""COMPUTED_VALUE"""),"PCVR")</f>
        <v>PCVR</v>
      </c>
      <c r="BD76" s="5" t="str">
        <f>IFERROR(__xludf.DUMMYFUNCTION("""COMPUTED_VALUE"""),"CVS")</f>
        <v>CVS</v>
      </c>
      <c r="BE76" s="5"/>
      <c r="BF76" s="5"/>
      <c r="BG76" s="5"/>
      <c r="BH76" s="5"/>
      <c r="BI76" s="5"/>
      <c r="BJ76" s="5"/>
      <c r="BK76" s="5"/>
      <c r="BL76" s="5"/>
      <c r="BM76" s="5"/>
      <c r="BN76" s="5"/>
      <c r="BO76" s="5"/>
    </row>
    <row r="77">
      <c r="A77" s="5" t="str">
        <f>IFERROR(__xludf.DUMMYFUNCTION("""COMPUTED_VALUE"""),"Usui V2")</f>
        <v>Usui V2</v>
      </c>
      <c r="B77" s="5" t="str">
        <f>IFERROR(__xludf.DUMMYFUNCTION("""COMPUTED_VALUE"""),"CW")</f>
        <v>CW</v>
      </c>
      <c r="C77" s="5" t="str">
        <f>IFERROR(__xludf.DUMMYFUNCTION("""COMPUTED_VALUE"""),"Jintei")</f>
        <v>Jintei</v>
      </c>
      <c r="D77" s="5" t="str">
        <f>IFERROR(__xludf.DUMMYFUNCTION("""COMPUTED_VALUE"""),"StarRiver Arts")</f>
        <v>StarRiver Arts</v>
      </c>
      <c r="E77" s="5">
        <f>IFERROR(__xludf.DUMMYFUNCTION("""COMPUTED_VALUE"""),0.0028696064814814817)</f>
        <v>0.002869606481</v>
      </c>
      <c r="F77" s="5" t="str">
        <f>IFERROR(__xludf.DUMMYFUNCTION("""COMPUTED_VALUE"""),"AE85")</f>
        <v>AE85</v>
      </c>
      <c r="G77" s="5" t="str">
        <f>IFERROR(__xludf.DUMMYFUNCTION("""COMPUTED_VALUE"""),"PC")</f>
        <v>PC</v>
      </c>
      <c r="H77" s="5" t="str">
        <f>IFERROR(__xludf.DUMMYFUNCTION("""COMPUTED_VALUE"""),"Sacc")</f>
        <v>Sacc</v>
      </c>
      <c r="I77" s="14" t="str">
        <f>IFERROR(__xludf.DUMMYFUNCTION("""COMPUTED_VALUE"""),"Tsuchisaka Snow")</f>
        <v>Tsuchisaka Snow</v>
      </c>
      <c r="J77" s="14" t="str">
        <f>IFERROR(__xludf.DUMMYFUNCTION("""COMPUTED_VALUE"""),"IB")</f>
        <v>IB</v>
      </c>
      <c r="K77" s="14" t="str">
        <f>IFERROR(__xludf.DUMMYFUNCTION("""COMPUTED_VALUE"""),"Jintei")</f>
        <v>Jintei</v>
      </c>
      <c r="L77" s="14" t="str">
        <f>IFERROR(__xludf.DUMMYFUNCTION("""COMPUTED_VALUE"""),"Test Driver")</f>
        <v>Test Driver</v>
      </c>
      <c r="M77" s="14">
        <f>IFERROR(__xludf.DUMMYFUNCTION("""COMPUTED_VALUE"""),0.006944444444444444)</f>
        <v>0.006944444444</v>
      </c>
      <c r="N77" s="14" t="str">
        <f>IFERROR(__xludf.DUMMYFUNCTION("""COMPUTED_VALUE"""),"NA6CE (Mx5 Roadster)")</f>
        <v>NA6CE (Mx5 Roadster)</v>
      </c>
      <c r="O77" s="14"/>
      <c r="P77" s="14" t="str">
        <f>IFERROR(__xludf.DUMMYFUNCTION("""COMPUTED_VALUE"""),"Sacc")</f>
        <v>Sacc</v>
      </c>
      <c r="Q77" s="5"/>
      <c r="R77" s="5"/>
      <c r="S77" s="5"/>
      <c r="T77" s="5"/>
      <c r="U77" s="5"/>
      <c r="V77" s="5"/>
      <c r="W77" s="5"/>
      <c r="X77" s="5"/>
      <c r="Y77" s="5"/>
      <c r="Z77" s="5"/>
      <c r="AA77" s="5"/>
      <c r="AB77" s="5"/>
      <c r="AC77" s="5"/>
      <c r="AD77" s="5"/>
      <c r="AE77" s="5"/>
      <c r="AF77" s="5"/>
      <c r="AG77" s="14"/>
      <c r="AH77" s="14"/>
      <c r="AI77" s="14"/>
      <c r="AJ77" s="14"/>
      <c r="AK77" s="14"/>
      <c r="AL77" s="14"/>
      <c r="AM77" s="14"/>
      <c r="AN77" s="14"/>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c r="A78" s="5" t="str">
        <f>IFERROR(__xludf.DUMMYFUNCTION("""COMPUTED_VALUE"""),"Akina")</f>
        <v>Akina</v>
      </c>
      <c r="B78" s="5" t="str">
        <f>IFERROR(__xludf.DUMMYFUNCTION("""COMPUTED_VALUE"""),"UH")</f>
        <v>UH</v>
      </c>
      <c r="C78" s="5" t="str">
        <f>IFERROR(__xludf.DUMMYFUNCTION("""COMPUTED_VALUE"""),"Jintei")</f>
        <v>Jintei</v>
      </c>
      <c r="D78" s="5" t="str">
        <f>IFERROR(__xludf.DUMMYFUNCTION("""COMPUTED_VALUE"""),"Test Driver")</f>
        <v>Test Driver</v>
      </c>
      <c r="E78" s="5">
        <f>IFERROR(__xludf.DUMMYFUNCTION("""COMPUTED_VALUE"""),0.006944444444444444)</f>
        <v>0.006944444444</v>
      </c>
      <c r="F78" s="5" t="str">
        <f>IFERROR(__xludf.DUMMYFUNCTION("""COMPUTED_VALUE"""),"AE85")</f>
        <v>AE85</v>
      </c>
      <c r="G78" s="5"/>
      <c r="H78" s="5" t="str">
        <f>IFERROR(__xludf.DUMMYFUNCTION("""COMPUTED_VALUE"""),"Sacc")</f>
        <v>Sacc</v>
      </c>
      <c r="I78" s="14" t="str">
        <f>IFERROR(__xludf.DUMMYFUNCTION("""COMPUTED_VALUE"""),"Mt.Talkan")</f>
        <v>Mt.Talkan</v>
      </c>
      <c r="J78" s="14" t="str">
        <f>IFERROR(__xludf.DUMMYFUNCTION("""COMPUTED_VALUE"""),"DH")</f>
        <v>DH</v>
      </c>
      <c r="K78" s="14" t="str">
        <f>IFERROR(__xludf.DUMMYFUNCTION("""COMPUTED_VALUE"""),"Jintei")</f>
        <v>Jintei</v>
      </c>
      <c r="L78" s="14" t="str">
        <f>IFERROR(__xludf.DUMMYFUNCTION("""COMPUTED_VALUE"""),"Test Driver")</f>
        <v>Test Driver</v>
      </c>
      <c r="M78" s="14">
        <f>IFERROR(__xludf.DUMMYFUNCTION("""COMPUTED_VALUE"""),0.006944444444444444)</f>
        <v>0.006944444444</v>
      </c>
      <c r="N78" s="14" t="str">
        <f>IFERROR(__xludf.DUMMYFUNCTION("""COMPUTED_VALUE"""),"NA6CE (Mx5 Roadster)")</f>
        <v>NA6CE (Mx5 Roadster)</v>
      </c>
      <c r="O78" s="14"/>
      <c r="P78" s="14" t="str">
        <f>IFERROR(__xludf.DUMMYFUNCTION("""COMPUTED_VALUE"""),"Sacc")</f>
        <v>Sacc</v>
      </c>
      <c r="Q78" s="5"/>
      <c r="R78" s="5"/>
      <c r="S78" s="5"/>
      <c r="T78" s="5"/>
      <c r="U78" s="5"/>
      <c r="V78" s="5"/>
      <c r="W78" s="5"/>
      <c r="X78" s="5"/>
      <c r="Y78" s="67" t="s">
        <v>166</v>
      </c>
      <c r="AG78" s="14"/>
      <c r="AH78" s="14"/>
      <c r="AI78" s="14"/>
      <c r="AJ78" s="14"/>
      <c r="AK78" s="14"/>
      <c r="AL78" s="14"/>
      <c r="AM78" s="14"/>
      <c r="AN78" s="14"/>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c r="A79" s="5" t="str">
        <f>IFERROR(__xludf.DUMMYFUNCTION("""COMPUTED_VALUE"""),"Lake Akina")</f>
        <v>Lake Akina</v>
      </c>
      <c r="B79" s="5" t="str">
        <f>IFERROR(__xludf.DUMMYFUNCTION("""COMPUTED_VALUE"""),"CC")</f>
        <v>CC</v>
      </c>
      <c r="C79" s="5" t="str">
        <f>IFERROR(__xludf.DUMMYFUNCTION("""COMPUTED_VALUE"""),"Jintei")</f>
        <v>Jintei</v>
      </c>
      <c r="D79" s="5" t="str">
        <f>IFERROR(__xludf.DUMMYFUNCTION("""COMPUTED_VALUE"""),"Test Driver")</f>
        <v>Test Driver</v>
      </c>
      <c r="E79" s="5">
        <f>IFERROR(__xludf.DUMMYFUNCTION("""COMPUTED_VALUE"""),0.006944444444444444)</f>
        <v>0.006944444444</v>
      </c>
      <c r="F79" s="5" t="str">
        <f>IFERROR(__xludf.DUMMYFUNCTION("""COMPUTED_VALUE"""),"AE85")</f>
        <v>AE85</v>
      </c>
      <c r="G79" s="5"/>
      <c r="H79" s="5" t="str">
        <f>IFERROR(__xludf.DUMMYFUNCTION("""COMPUTED_VALUE"""),"Sacc")</f>
        <v>Sacc</v>
      </c>
      <c r="I79" s="14" t="str">
        <f>IFERROR(__xludf.DUMMYFUNCTION("""COMPUTED_VALUE"""),"Mt.Talkan")</f>
        <v>Mt.Talkan</v>
      </c>
      <c r="J79" s="14" t="str">
        <f>IFERROR(__xludf.DUMMYFUNCTION("""COMPUTED_VALUE"""),"UH")</f>
        <v>UH</v>
      </c>
      <c r="K79" s="14" t="str">
        <f>IFERROR(__xludf.DUMMYFUNCTION("""COMPUTED_VALUE"""),"Jintei")</f>
        <v>Jintei</v>
      </c>
      <c r="L79" s="14" t="str">
        <f>IFERROR(__xludf.DUMMYFUNCTION("""COMPUTED_VALUE"""),"Test Driver")</f>
        <v>Test Driver</v>
      </c>
      <c r="M79" s="14">
        <f>IFERROR(__xludf.DUMMYFUNCTION("""COMPUTED_VALUE"""),0.006944444444444444)</f>
        <v>0.006944444444</v>
      </c>
      <c r="N79" s="14" t="str">
        <f>IFERROR(__xludf.DUMMYFUNCTION("""COMPUTED_VALUE"""),"NA6CE (Mx5 Roadster)")</f>
        <v>NA6CE (Mx5 Roadster)</v>
      </c>
      <c r="O79" s="14"/>
      <c r="P79" s="14" t="str">
        <f>IFERROR(__xludf.DUMMYFUNCTION("""COMPUTED_VALUE"""),"Sacc")</f>
        <v>Sacc</v>
      </c>
      <c r="Q79" s="72" t="s">
        <v>167</v>
      </c>
      <c r="Y79" s="5" t="str">
        <f>IFERROR(__xludf.DUMMYFUNCTION("LET(
  車輛, Y78,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79" s="5" t="str">
        <f>IFERROR(__xludf.DUMMYFUNCTION("""COMPUTED_VALUE"""),"路線")</f>
        <v>路線</v>
      </c>
      <c r="AA79" s="5" t="str">
        <f>IFERROR(__xludf.DUMMYFUNCTION("""COMPUTED_VALUE"""),"作者")</f>
        <v>作者</v>
      </c>
      <c r="AB79" s="5" t="str">
        <f>IFERROR(__xludf.DUMMYFUNCTION("""COMPUTED_VALUE"""),"玩家")</f>
        <v>玩家</v>
      </c>
      <c r="AC79" s="5" t="str">
        <f>IFERROR(__xludf.DUMMYFUNCTION("""COMPUTED_VALUE"""),"時間")</f>
        <v>時間</v>
      </c>
      <c r="AD79" s="5" t="str">
        <f>IFERROR(__xludf.DUMMYFUNCTION("""COMPUTED_VALUE"""),"車輛")</f>
        <v>車輛</v>
      </c>
      <c r="AE79" s="5" t="str">
        <f>IFERROR(__xludf.DUMMYFUNCTION("""COMPUTED_VALUE"""),"平台")</f>
        <v>平台</v>
      </c>
      <c r="AF79" s="5" t="str">
        <f>IFERROR(__xludf.DUMMYFUNCTION("""COMPUTED_VALUE"""),"系統")</f>
        <v>系統</v>
      </c>
      <c r="AG79" s="14"/>
      <c r="AH79" s="14"/>
      <c r="AI79" s="14"/>
      <c r="AJ79" s="14"/>
      <c r="AK79" s="14"/>
      <c r="AL79" s="14"/>
      <c r="AM79" s="14"/>
      <c r="AN79" s="14"/>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c r="A80" s="5" t="str">
        <f>IFERROR(__xludf.DUMMYFUNCTION("""COMPUTED_VALUE"""),"Lake Akina")</f>
        <v>Lake Akina</v>
      </c>
      <c r="B80" s="5" t="str">
        <f>IFERROR(__xludf.DUMMYFUNCTION("""COMPUTED_VALUE"""),"CW")</f>
        <v>CW</v>
      </c>
      <c r="C80" s="5" t="str">
        <f>IFERROR(__xludf.DUMMYFUNCTION("""COMPUTED_VALUE"""),"Jintei")</f>
        <v>Jintei</v>
      </c>
      <c r="D80" s="5" t="str">
        <f>IFERROR(__xludf.DUMMYFUNCTION("""COMPUTED_VALUE"""),"Test Driver")</f>
        <v>Test Driver</v>
      </c>
      <c r="E80" s="5">
        <f>IFERROR(__xludf.DUMMYFUNCTION("""COMPUTED_VALUE"""),0.006944444444444444)</f>
        <v>0.006944444444</v>
      </c>
      <c r="F80" s="5" t="str">
        <f>IFERROR(__xludf.DUMMYFUNCTION("""COMPUTED_VALUE"""),"AE85")</f>
        <v>AE85</v>
      </c>
      <c r="G80" s="5"/>
      <c r="H80" s="5" t="str">
        <f>IFERROR(__xludf.DUMMYFUNCTION("""COMPUTED_VALUE"""),"Sacc")</f>
        <v>Sacc</v>
      </c>
      <c r="I80" s="14" t="str">
        <f>IFERROR(__xludf.DUMMYFUNCTION("""COMPUTED_VALUE"""),"Nagoya")</f>
        <v>Nagoya</v>
      </c>
      <c r="J80" s="14"/>
      <c r="K80" s="14" t="str">
        <f>IFERROR(__xludf.DUMMYFUNCTION("""COMPUTED_VALUE"""),"Jintei")</f>
        <v>Jintei</v>
      </c>
      <c r="L80" s="14" t="str">
        <f>IFERROR(__xludf.DUMMYFUNCTION("""COMPUTED_VALUE"""),"Test Driver")</f>
        <v>Test Driver</v>
      </c>
      <c r="M80" s="14">
        <f>IFERROR(__xludf.DUMMYFUNCTION("""COMPUTED_VALUE"""),0.006944444444444444)</f>
        <v>0.006944444444</v>
      </c>
      <c r="N80" s="14" t="str">
        <f>IFERROR(__xludf.DUMMYFUNCTION("""COMPUTED_VALUE"""),"NA6CE (Mx5 Roadster)")</f>
        <v>NA6CE (Mx5 Roadster)</v>
      </c>
      <c r="O80" s="14"/>
      <c r="P80" s="14" t="str">
        <f>IFERROR(__xludf.DUMMYFUNCTION("""COMPUTED_VALUE"""),"Sacc")</f>
        <v>Sacc</v>
      </c>
      <c r="Q80" s="67" t="s">
        <v>168</v>
      </c>
      <c r="Y80" s="5" t="str">
        <f>IFERROR(__xludf.DUMMYFUNCTION("""COMPUTED_VALUE"""),"Odawara")</f>
        <v>Odawara</v>
      </c>
      <c r="Z80" s="5" t="str">
        <f>IFERROR(__xludf.DUMMYFUNCTION("""COMPUTED_VALUE"""),"CC")</f>
        <v>CC</v>
      </c>
      <c r="AA80" s="5" t="str">
        <f>IFERROR(__xludf.DUMMYFUNCTION("""COMPUTED_VALUE"""),"Jintei")</f>
        <v>Jintei</v>
      </c>
      <c r="AB80" s="5" t="str">
        <f>IFERROR(__xludf.DUMMYFUNCTION("""COMPUTED_VALUE"""),"Redfrogss")</f>
        <v>Redfrogss</v>
      </c>
      <c r="AC80" s="5">
        <f>IFERROR(__xludf.DUMMYFUNCTION("""COMPUTED_VALUE"""),0.0028285069444444447)</f>
        <v>0.002828506944</v>
      </c>
      <c r="AD80" s="5" t="str">
        <f>IFERROR(__xludf.DUMMYFUNCTION("""COMPUTED_VALUE"""),"R35N2")</f>
        <v>R35N2</v>
      </c>
      <c r="AE80" s="5" t="str">
        <f>IFERROR(__xludf.DUMMYFUNCTION("""COMPUTED_VALUE"""),"PCVR")</f>
        <v>PCVR</v>
      </c>
      <c r="AF80" s="5" t="str">
        <f>IFERROR(__xludf.DUMMYFUNCTION("""COMPUTED_VALUE"""),"Sacc")</f>
        <v>Sacc</v>
      </c>
      <c r="AG80" s="14"/>
      <c r="AH80" s="14"/>
      <c r="AI80" s="14"/>
      <c r="AJ80" s="14"/>
      <c r="AK80" s="14"/>
      <c r="AL80" s="14"/>
      <c r="AM80" s="14"/>
      <c r="AN80" s="14"/>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c r="A81" s="5" t="str">
        <f>IFERROR(__xludf.DUMMYFUNCTION("""COMPUTED_VALUE"""),"Usui V2")</f>
        <v>Usui V2</v>
      </c>
      <c r="B81" s="5" t="str">
        <f>IFERROR(__xludf.DUMMYFUNCTION("""COMPUTED_VALUE"""),"CC")</f>
        <v>CC</v>
      </c>
      <c r="C81" s="5" t="str">
        <f>IFERROR(__xludf.DUMMYFUNCTION("""COMPUTED_VALUE"""),"Jintei")</f>
        <v>Jintei</v>
      </c>
      <c r="D81" s="5" t="str">
        <f>IFERROR(__xludf.DUMMYFUNCTION("""COMPUTED_VALUE"""),"Test Driver")</f>
        <v>Test Driver</v>
      </c>
      <c r="E81" s="5">
        <f>IFERROR(__xludf.DUMMYFUNCTION("""COMPUTED_VALUE"""),0.006944444444444444)</f>
        <v>0.006944444444</v>
      </c>
      <c r="F81" s="5" t="str">
        <f>IFERROR(__xludf.DUMMYFUNCTION("""COMPUTED_VALUE"""),"AE85")</f>
        <v>AE85</v>
      </c>
      <c r="G81" s="5"/>
      <c r="H81" s="5" t="str">
        <f>IFERROR(__xludf.DUMMYFUNCTION("""COMPUTED_VALUE"""),"Sacc")</f>
        <v>Sacc</v>
      </c>
      <c r="I81" s="14"/>
      <c r="J81" s="14"/>
      <c r="K81" s="14"/>
      <c r="L81" s="14"/>
      <c r="M81" s="14"/>
      <c r="N81" s="14"/>
      <c r="O81" s="14"/>
      <c r="P81" s="14"/>
      <c r="Q81" s="5" t="str">
        <f>IFERROR(__xludf.DUMMYFUNCTION("LET(
  車輛, Q80,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81" s="5" t="str">
        <f>IFERROR(__xludf.DUMMYFUNCTION("""COMPUTED_VALUE"""),"路線")</f>
        <v>路線</v>
      </c>
      <c r="S81" s="5" t="str">
        <f>IFERROR(__xludf.DUMMYFUNCTION("""COMPUTED_VALUE"""),"作者")</f>
        <v>作者</v>
      </c>
      <c r="T81" s="5" t="str">
        <f>IFERROR(__xludf.DUMMYFUNCTION("""COMPUTED_VALUE"""),"玩家")</f>
        <v>玩家</v>
      </c>
      <c r="U81" s="5" t="str">
        <f>IFERROR(__xludf.DUMMYFUNCTION("""COMPUTED_VALUE"""),"時間")</f>
        <v>時間</v>
      </c>
      <c r="V81" s="5" t="str">
        <f>IFERROR(__xludf.DUMMYFUNCTION("""COMPUTED_VALUE"""),"車輛")</f>
        <v>車輛</v>
      </c>
      <c r="W81" s="5" t="str">
        <f>IFERROR(__xludf.DUMMYFUNCTION("""COMPUTED_VALUE"""),"平台")</f>
        <v>平台</v>
      </c>
      <c r="X81" s="5" t="str">
        <f>IFERROR(__xludf.DUMMYFUNCTION("""COMPUTED_VALUE"""),"系統")</f>
        <v>系統</v>
      </c>
      <c r="Y81" s="5" t="str">
        <f>IFERROR(__xludf.DUMMYFUNCTION("""COMPUTED_VALUE"""),"Odawara")</f>
        <v>Odawara</v>
      </c>
      <c r="Z81" s="5" t="str">
        <f>IFERROR(__xludf.DUMMYFUNCTION("""COMPUTED_VALUE"""),"CW")</f>
        <v>CW</v>
      </c>
      <c r="AA81" s="5" t="str">
        <f>IFERROR(__xludf.DUMMYFUNCTION("""COMPUTED_VALUE"""),"Jintei")</f>
        <v>Jintei</v>
      </c>
      <c r="AB81" s="5" t="str">
        <f>IFERROR(__xludf.DUMMYFUNCTION("""COMPUTED_VALUE"""),"Redfrogss")</f>
        <v>Redfrogss</v>
      </c>
      <c r="AC81" s="5">
        <f>IFERROR(__xludf.DUMMYFUNCTION("""COMPUTED_VALUE"""),0.0028113425925925927)</f>
        <v>0.002811342593</v>
      </c>
      <c r="AD81" s="5" t="str">
        <f>IFERROR(__xludf.DUMMYFUNCTION("""COMPUTED_VALUE"""),"R35N2")</f>
        <v>R35N2</v>
      </c>
      <c r="AE81" s="5" t="str">
        <f>IFERROR(__xludf.DUMMYFUNCTION("""COMPUTED_VALUE"""),"PCVR")</f>
        <v>PCVR</v>
      </c>
      <c r="AF81" s="5" t="str">
        <f>IFERROR(__xludf.DUMMYFUNCTION("""COMPUTED_VALUE"""),"Sacc")</f>
        <v>Sacc</v>
      </c>
      <c r="AG81" s="14"/>
      <c r="AH81" s="14"/>
      <c r="AI81" s="14"/>
      <c r="AJ81" s="14"/>
      <c r="AK81" s="14"/>
      <c r="AL81" s="14"/>
      <c r="AM81" s="14"/>
      <c r="AN81" s="14"/>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c r="A82" s="5" t="str">
        <f>IFERROR(__xludf.DUMMYFUNCTION("""COMPUTED_VALUE"""),"Myogi(CC)")</f>
        <v>Myogi(CC)</v>
      </c>
      <c r="B82" s="5" t="str">
        <f>IFERROR(__xludf.DUMMYFUNCTION("""COMPUTED_VALUE"""),"CC")</f>
        <v>CC</v>
      </c>
      <c r="C82" s="5" t="str">
        <f>IFERROR(__xludf.DUMMYFUNCTION("""COMPUTED_VALUE"""),"Jintei")</f>
        <v>Jintei</v>
      </c>
      <c r="D82" s="5" t="str">
        <f>IFERROR(__xludf.DUMMYFUNCTION("""COMPUTED_VALUE"""),"Test Driver")</f>
        <v>Test Driver</v>
      </c>
      <c r="E82" s="5">
        <f>IFERROR(__xludf.DUMMYFUNCTION("""COMPUTED_VALUE"""),0.006944444444444444)</f>
        <v>0.006944444444</v>
      </c>
      <c r="F82" s="5" t="str">
        <f>IFERROR(__xludf.DUMMYFUNCTION("""COMPUTED_VALUE"""),"AE85")</f>
        <v>AE85</v>
      </c>
      <c r="G82" s="5"/>
      <c r="H82" s="5" t="str">
        <f>IFERROR(__xludf.DUMMYFUNCTION("""COMPUTED_VALUE"""),"Sacc")</f>
        <v>Sacc</v>
      </c>
      <c r="I82" s="14"/>
      <c r="J82" s="14"/>
      <c r="K82" s="14"/>
      <c r="L82" s="14"/>
      <c r="M82" s="48"/>
      <c r="N82" s="14"/>
      <c r="O82" s="14"/>
      <c r="P82" s="14"/>
      <c r="Q82" s="5" t="str">
        <f>IFERROR(__xludf.DUMMYFUNCTION("""COMPUTED_VALUE"""),"Usui V1")</f>
        <v>Usui V1</v>
      </c>
      <c r="R82" s="5" t="str">
        <f>IFERROR(__xludf.DUMMYFUNCTION("""COMPUTED_VALUE"""),"CW")</f>
        <v>CW</v>
      </c>
      <c r="S82" s="5" t="str">
        <f>IFERROR(__xludf.DUMMYFUNCTION("""COMPUTED_VALUE"""),"Jintei")</f>
        <v>Jintei</v>
      </c>
      <c r="T82" s="5" t="str">
        <f>IFERROR(__xludf.DUMMYFUNCTION("""COMPUTED_VALUE"""),"Lolidia")</f>
        <v>Lolidia</v>
      </c>
      <c r="U82" s="5">
        <f>IFERROR(__xludf.DUMMYFUNCTION("""COMPUTED_VALUE"""),0.002320474537037037)</f>
        <v>0.002320474537</v>
      </c>
      <c r="V82" s="5" t="str">
        <f>IFERROR(__xludf.DUMMYFUNCTION("""COMPUTED_VALUE"""),"EA11R (Cappuccino)")</f>
        <v>EA11R (Cappuccino)</v>
      </c>
      <c r="W82" s="5" t="str">
        <f>IFERROR(__xludf.DUMMYFUNCTION("""COMPUTED_VALUE"""),"PCVR")</f>
        <v>PCVR</v>
      </c>
      <c r="X82" s="5" t="str">
        <f>IFERROR(__xludf.DUMMYFUNCTION("""COMPUTED_VALUE"""),"Sacc")</f>
        <v>Sacc</v>
      </c>
      <c r="Y82" s="5"/>
      <c r="Z82" s="5"/>
      <c r="AA82" s="5"/>
      <c r="AB82" s="5"/>
      <c r="AC82" s="5"/>
      <c r="AD82" s="5"/>
      <c r="AE82" s="5"/>
      <c r="AF82" s="5"/>
      <c r="AG82" s="14"/>
      <c r="AH82" s="14"/>
      <c r="AI82" s="14"/>
      <c r="AJ82" s="14"/>
      <c r="AK82" s="14"/>
      <c r="AL82" s="14"/>
      <c r="AM82" s="14"/>
      <c r="AN82" s="14"/>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c r="A83" s="5" t="str">
        <f>IFERROR(__xludf.DUMMYFUNCTION("""COMPUTED_VALUE"""),"Myogi(CC)")</f>
        <v>Myogi(CC)</v>
      </c>
      <c r="B83" s="5" t="str">
        <f>IFERROR(__xludf.DUMMYFUNCTION("""COMPUTED_VALUE"""),"CW")</f>
        <v>CW</v>
      </c>
      <c r="C83" s="5" t="str">
        <f>IFERROR(__xludf.DUMMYFUNCTION("""COMPUTED_VALUE"""),"Jintei")</f>
        <v>Jintei</v>
      </c>
      <c r="D83" s="5" t="str">
        <f>IFERROR(__xludf.DUMMYFUNCTION("""COMPUTED_VALUE"""),"Test Driver")</f>
        <v>Test Driver</v>
      </c>
      <c r="E83" s="5">
        <f>IFERROR(__xludf.DUMMYFUNCTION("""COMPUTED_VALUE"""),0.006944444444444444)</f>
        <v>0.006944444444</v>
      </c>
      <c r="F83" s="5" t="str">
        <f>IFERROR(__xludf.DUMMYFUNCTION("""COMPUTED_VALUE"""),"AE85")</f>
        <v>AE85</v>
      </c>
      <c r="G83" s="5"/>
      <c r="H83" s="5" t="str">
        <f>IFERROR(__xludf.DUMMYFUNCTION("""COMPUTED_VALUE"""),"Sacc")</f>
        <v>Sacc</v>
      </c>
      <c r="I83" s="14"/>
      <c r="J83" s="14"/>
      <c r="K83" s="14"/>
      <c r="L83" s="14"/>
      <c r="M83" s="48"/>
      <c r="N83" s="14"/>
      <c r="O83" s="14"/>
      <c r="P83" s="14"/>
      <c r="Q83" s="5" t="str">
        <f>IFERROR(__xludf.DUMMYFUNCTION("""COMPUTED_VALUE"""),"Shomaru")</f>
        <v>Shomaru</v>
      </c>
      <c r="R83" s="5" t="str">
        <f>IFERROR(__xludf.DUMMYFUNCTION("""COMPUTED_VALUE"""),"IB")</f>
        <v>IB</v>
      </c>
      <c r="S83" s="5" t="str">
        <f>IFERROR(__xludf.DUMMYFUNCTION("""COMPUTED_VALUE"""),"Jintei")</f>
        <v>Jintei</v>
      </c>
      <c r="T83" s="5" t="str">
        <f>IFERROR(__xludf.DUMMYFUNCTION("""COMPUTED_VALUE"""),"StarRiver Arts")</f>
        <v>StarRiver Arts</v>
      </c>
      <c r="U83" s="5">
        <f>IFERROR(__xludf.DUMMYFUNCTION("""COMPUTED_VALUE"""),0.002908368055555555)</f>
        <v>0.002908368056</v>
      </c>
      <c r="V83" s="5" t="str">
        <f>IFERROR(__xludf.DUMMYFUNCTION("""COMPUTED_VALUE"""),"EA11R (Cappuccino)")</f>
        <v>EA11R (Cappuccino)</v>
      </c>
      <c r="W83" s="5" t="str">
        <f>IFERROR(__xludf.DUMMYFUNCTION("""COMPUTED_VALUE"""),"PC")</f>
        <v>PC</v>
      </c>
      <c r="X83" s="5" t="str">
        <f>IFERROR(__xludf.DUMMYFUNCTION("""COMPUTED_VALUE"""),"Sacc")</f>
        <v>Sacc</v>
      </c>
      <c r="Y83" s="67" t="s">
        <v>169</v>
      </c>
      <c r="AG83" s="14"/>
      <c r="AH83" s="14"/>
      <c r="AI83" s="14"/>
      <c r="AJ83" s="14"/>
      <c r="AK83" s="14"/>
      <c r="AL83" s="14"/>
      <c r="AM83" s="14"/>
      <c r="AN83" s="14"/>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c r="A84" s="5" t="str">
        <f>IFERROR(__xludf.DUMMYFUNCTION("""COMPUTED_VALUE"""),"Sadamine")</f>
        <v>Sadamine</v>
      </c>
      <c r="B84" s="5" t="str">
        <f>IFERROR(__xludf.DUMMYFUNCTION("""COMPUTED_VALUE"""),"FCUH")</f>
        <v>FCUH</v>
      </c>
      <c r="C84" s="5" t="str">
        <f>IFERROR(__xludf.DUMMYFUNCTION("""COMPUTED_VALUE"""),"Jintei")</f>
        <v>Jintei</v>
      </c>
      <c r="D84" s="5" t="str">
        <f>IFERROR(__xludf.DUMMYFUNCTION("""COMPUTED_VALUE"""),"Test Driver")</f>
        <v>Test Driver</v>
      </c>
      <c r="E84" s="5">
        <f>IFERROR(__xludf.DUMMYFUNCTION("""COMPUTED_VALUE"""),0.006944444444444444)</f>
        <v>0.006944444444</v>
      </c>
      <c r="F84" s="5" t="str">
        <f>IFERROR(__xludf.DUMMYFUNCTION("""COMPUTED_VALUE"""),"AE85")</f>
        <v>AE85</v>
      </c>
      <c r="G84" s="5"/>
      <c r="H84" s="5" t="str">
        <f>IFERROR(__xludf.DUMMYFUNCTION("""COMPUTED_VALUE"""),"Sacc")</f>
        <v>Sacc</v>
      </c>
      <c r="I84" s="14"/>
      <c r="J84" s="14"/>
      <c r="K84" s="14"/>
      <c r="L84" s="14"/>
      <c r="M84" s="48"/>
      <c r="N84" s="14"/>
      <c r="O84" s="14"/>
      <c r="P84" s="14"/>
      <c r="Q84" s="5" t="str">
        <f>IFERROR(__xludf.DUMMYFUNCTION("""COMPUTED_VALUE"""),"Shomaru")</f>
        <v>Shomaru</v>
      </c>
      <c r="R84" s="5" t="str">
        <f>IFERROR(__xludf.DUMMYFUNCTION("""COMPUTED_VALUE"""),"OB")</f>
        <v>OB</v>
      </c>
      <c r="S84" s="5" t="str">
        <f>IFERROR(__xludf.DUMMYFUNCTION("""COMPUTED_VALUE"""),"Jintei")</f>
        <v>Jintei</v>
      </c>
      <c r="T84" s="5" t="str">
        <f>IFERROR(__xludf.DUMMYFUNCTION("""COMPUTED_VALUE"""),"LinWu_05")</f>
        <v>LinWu_05</v>
      </c>
      <c r="U84" s="5">
        <f>IFERROR(__xludf.DUMMYFUNCTION("""COMPUTED_VALUE"""),0.002636377314814815)</f>
        <v>0.002636377315</v>
      </c>
      <c r="V84" s="5" t="str">
        <f>IFERROR(__xludf.DUMMYFUNCTION("""COMPUTED_VALUE"""),"EA11R (Cappuccino)")</f>
        <v>EA11R (Cappuccino)</v>
      </c>
      <c r="W84" s="5" t="str">
        <f>IFERROR(__xludf.DUMMYFUNCTION("""COMPUTED_VALUE"""),"PC")</f>
        <v>PC</v>
      </c>
      <c r="X84" s="5" t="str">
        <f>IFERROR(__xludf.DUMMYFUNCTION("""COMPUTED_VALUE"""),"Sacc")</f>
        <v>Sacc</v>
      </c>
      <c r="Y84" s="5" t="str">
        <f>IFERROR(__xludf.DUMMYFUNCTION("LET(
  車輛, Y83,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Z84" s="5" t="str">
        <f>IFERROR(__xludf.DUMMYFUNCTION("""COMPUTED_VALUE"""),"路線")</f>
        <v>路線</v>
      </c>
      <c r="AA84" s="5" t="str">
        <f>IFERROR(__xludf.DUMMYFUNCTION("""COMPUTED_VALUE"""),"作者")</f>
        <v>作者</v>
      </c>
      <c r="AB84" s="5" t="str">
        <f>IFERROR(__xludf.DUMMYFUNCTION("""COMPUTED_VALUE"""),"玩家")</f>
        <v>玩家</v>
      </c>
      <c r="AC84" s="5" t="str">
        <f>IFERROR(__xludf.DUMMYFUNCTION("""COMPUTED_VALUE"""),"時間")</f>
        <v>時間</v>
      </c>
      <c r="AD84" s="5" t="str">
        <f>IFERROR(__xludf.DUMMYFUNCTION("""COMPUTED_VALUE"""),"車輛")</f>
        <v>車輛</v>
      </c>
      <c r="AE84" s="5" t="str">
        <f>IFERROR(__xludf.DUMMYFUNCTION("""COMPUTED_VALUE"""),"平台")</f>
        <v>平台</v>
      </c>
      <c r="AF84" s="5" t="str">
        <f>IFERROR(__xludf.DUMMYFUNCTION("""COMPUTED_VALUE"""),"系統")</f>
        <v>系統</v>
      </c>
      <c r="AG84" s="14"/>
      <c r="AH84" s="14"/>
      <c r="AI84" s="14"/>
      <c r="AJ84" s="14"/>
      <c r="AK84" s="14"/>
      <c r="AL84" s="14"/>
      <c r="AM84" s="14"/>
      <c r="AN84" s="14"/>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c r="A85" s="5" t="str">
        <f>IFERROR(__xludf.DUMMYFUNCTION("""COMPUTED_VALUE"""),"Sadamine")</f>
        <v>Sadamine</v>
      </c>
      <c r="B85" s="5" t="str">
        <f>IFERROR(__xludf.DUMMYFUNCTION("""COMPUTED_VALUE"""),"FCDH")</f>
        <v>FCDH</v>
      </c>
      <c r="C85" s="5" t="str">
        <f>IFERROR(__xludf.DUMMYFUNCTION("""COMPUTED_VALUE"""),"Jintei")</f>
        <v>Jintei</v>
      </c>
      <c r="D85" s="5" t="str">
        <f>IFERROR(__xludf.DUMMYFUNCTION("""COMPUTED_VALUE"""),"Test Driver")</f>
        <v>Test Driver</v>
      </c>
      <c r="E85" s="5">
        <f>IFERROR(__xludf.DUMMYFUNCTION("""COMPUTED_VALUE"""),0.006944444444444444)</f>
        <v>0.006944444444</v>
      </c>
      <c r="F85" s="5" t="str">
        <f>IFERROR(__xludf.DUMMYFUNCTION("""COMPUTED_VALUE"""),"AE85")</f>
        <v>AE85</v>
      </c>
      <c r="G85" s="5"/>
      <c r="H85" s="5" t="str">
        <f>IFERROR(__xludf.DUMMYFUNCTION("""COMPUTED_VALUE"""),"Sacc")</f>
        <v>Sacc</v>
      </c>
      <c r="I85" s="14"/>
      <c r="J85" s="14"/>
      <c r="K85" s="14"/>
      <c r="L85" s="14"/>
      <c r="M85" s="14"/>
      <c r="N85" s="14"/>
      <c r="O85" s="14"/>
      <c r="P85" s="14"/>
      <c r="Q85" s="5" t="str">
        <f>IFERROR(__xludf.DUMMYFUNCTION("""COMPUTED_VALUE"""),"Shomaru")</f>
        <v>Shomaru</v>
      </c>
      <c r="R85" s="5" t="str">
        <f>IFERROR(__xludf.DUMMYFUNCTION("""COMPUTED_VALUE"""),"Double")</f>
        <v>Double</v>
      </c>
      <c r="S85" s="5" t="str">
        <f>IFERROR(__xludf.DUMMYFUNCTION("""COMPUTED_VALUE"""),"Jintei")</f>
        <v>Jintei</v>
      </c>
      <c r="T85" s="5" t="str">
        <f>IFERROR(__xludf.DUMMYFUNCTION("""COMPUTED_VALUE"""),"Test Driver")</f>
        <v>Test Driver</v>
      </c>
      <c r="U85" s="5">
        <f>IFERROR(__xludf.DUMMYFUNCTION("""COMPUTED_VALUE"""),0.006944444444444444)</f>
        <v>0.006944444444</v>
      </c>
      <c r="V85" s="5" t="str">
        <f>IFERROR(__xludf.DUMMYFUNCTION("""COMPUTED_VALUE"""),"EA11R (Cappuccino)")</f>
        <v>EA11R (Cappuccino)</v>
      </c>
      <c r="W85" s="5"/>
      <c r="X85" s="5" t="str">
        <f>IFERROR(__xludf.DUMMYFUNCTION("""COMPUTED_VALUE"""),"Sacc")</f>
        <v>Sacc</v>
      </c>
      <c r="Y85" s="5" t="str">
        <f>IFERROR(__xludf.DUMMYFUNCTION("""COMPUTED_VALUE"""),"Odawara")</f>
        <v>Odawara</v>
      </c>
      <c r="Z85" s="5" t="str">
        <f>IFERROR(__xludf.DUMMYFUNCTION("""COMPUTED_VALUE"""),"CW")</f>
        <v>CW</v>
      </c>
      <c r="AA85" s="5" t="str">
        <f>IFERROR(__xludf.DUMMYFUNCTION("""COMPUTED_VALUE"""),"Jintei")</f>
        <v>Jintei</v>
      </c>
      <c r="AB85" s="5" t="str">
        <f>IFERROR(__xludf.DUMMYFUNCTION("""COMPUTED_VALUE"""),"菲娜 希琉絲")</f>
        <v>菲娜 希琉絲</v>
      </c>
      <c r="AC85" s="5">
        <f>IFERROR(__xludf.DUMMYFUNCTION("""COMPUTED_VALUE"""),0.0027287847222222223)</f>
        <v>0.002728784722</v>
      </c>
      <c r="AD85" s="5" t="str">
        <f>IFERROR(__xludf.DUMMYFUNCTION("""COMPUTED_VALUE"""),"R35N3")</f>
        <v>R35N3</v>
      </c>
      <c r="AE85" s="5" t="str">
        <f>IFERROR(__xludf.DUMMYFUNCTION("""COMPUTED_VALUE"""),"PCVR")</f>
        <v>PCVR</v>
      </c>
      <c r="AF85" s="5" t="str">
        <f>IFERROR(__xludf.DUMMYFUNCTION("""COMPUTED_VALUE"""),"Sacc")</f>
        <v>Sacc</v>
      </c>
      <c r="AG85" s="14"/>
      <c r="AH85" s="14"/>
      <c r="AI85" s="14"/>
      <c r="AJ85" s="14"/>
      <c r="AK85" s="14"/>
      <c r="AL85" s="14"/>
      <c r="AM85" s="14"/>
      <c r="AN85" s="14"/>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c r="A86" s="5" t="str">
        <f>IFERROR(__xludf.DUMMYFUNCTION("""COMPUTED_VALUE"""),"Sadamine")</f>
        <v>Sadamine</v>
      </c>
      <c r="B86" s="5" t="str">
        <f>IFERROR(__xludf.DUMMYFUNCTION("""COMPUTED_VALUE"""),"OCUH")</f>
        <v>OCUH</v>
      </c>
      <c r="C86" s="5" t="str">
        <f>IFERROR(__xludf.DUMMYFUNCTION("""COMPUTED_VALUE"""),"Jintei")</f>
        <v>Jintei</v>
      </c>
      <c r="D86" s="5" t="str">
        <f>IFERROR(__xludf.DUMMYFUNCTION("""COMPUTED_VALUE"""),"Test Driver")</f>
        <v>Test Driver</v>
      </c>
      <c r="E86" s="5">
        <f>IFERROR(__xludf.DUMMYFUNCTION("""COMPUTED_VALUE"""),0.006944444444444444)</f>
        <v>0.006944444444</v>
      </c>
      <c r="F86" s="5" t="str">
        <f>IFERROR(__xludf.DUMMYFUNCTION("""COMPUTED_VALUE"""),"AE85")</f>
        <v>AE85</v>
      </c>
      <c r="G86" s="5"/>
      <c r="H86" s="5" t="str">
        <f>IFERROR(__xludf.DUMMYFUNCTION("""COMPUTED_VALUE"""),"Sacc")</f>
        <v>Sacc</v>
      </c>
      <c r="I86" s="14"/>
      <c r="J86" s="14"/>
      <c r="K86" s="14"/>
      <c r="L86" s="14"/>
      <c r="M86" s="14"/>
      <c r="N86" s="14"/>
      <c r="O86" s="14"/>
      <c r="P86" s="14"/>
      <c r="Q86" s="5" t="str">
        <f>IFERROR(__xludf.DUMMYFUNCTION("""COMPUTED_VALUE"""),"Usui V1")</f>
        <v>Usui V1</v>
      </c>
      <c r="R86" s="5" t="str">
        <f>IFERROR(__xludf.DUMMYFUNCTION("""COMPUTED_VALUE"""),"CC")</f>
        <v>CC</v>
      </c>
      <c r="S86" s="5" t="str">
        <f>IFERROR(__xludf.DUMMYFUNCTION("""COMPUTED_VALUE"""),"Jintei")</f>
        <v>Jintei</v>
      </c>
      <c r="T86" s="5" t="str">
        <f>IFERROR(__xludf.DUMMYFUNCTION("""COMPUTED_VALUE"""),"Test Driver")</f>
        <v>Test Driver</v>
      </c>
      <c r="U86" s="5">
        <f>IFERROR(__xludf.DUMMYFUNCTION("""COMPUTED_VALUE"""),0.006944444444444444)</f>
        <v>0.006944444444</v>
      </c>
      <c r="V86" s="5" t="str">
        <f>IFERROR(__xludf.DUMMYFUNCTION("""COMPUTED_VALUE"""),"EA11R (Cappuccino)")</f>
        <v>EA11R (Cappuccino)</v>
      </c>
      <c r="W86" s="5"/>
      <c r="X86" s="5" t="str">
        <f>IFERROR(__xludf.DUMMYFUNCTION("""COMPUTED_VALUE"""),"Sacc")</f>
        <v>Sacc</v>
      </c>
      <c r="Y86" s="5" t="str">
        <f>IFERROR(__xludf.DUMMYFUNCTION("""COMPUTED_VALUE"""),"Odawara")</f>
        <v>Odawara</v>
      </c>
      <c r="Z86" s="5" t="str">
        <f>IFERROR(__xludf.DUMMYFUNCTION("""COMPUTED_VALUE"""),"CC")</f>
        <v>CC</v>
      </c>
      <c r="AA86" s="5" t="str">
        <f>IFERROR(__xludf.DUMMYFUNCTION("""COMPUTED_VALUE"""),"Jintei")</f>
        <v>Jintei</v>
      </c>
      <c r="AB86" s="5" t="str">
        <f>IFERROR(__xludf.DUMMYFUNCTION("""COMPUTED_VALUE"""),"LinWu_05")</f>
        <v>LinWu_05</v>
      </c>
      <c r="AC86" s="5">
        <f>IFERROR(__xludf.DUMMYFUNCTION("""COMPUTED_VALUE"""),0.0029699074074074077)</f>
        <v>0.002969907407</v>
      </c>
      <c r="AD86" s="5" t="str">
        <f>IFERROR(__xludf.DUMMYFUNCTION("""COMPUTED_VALUE"""),"R35N3")</f>
        <v>R35N3</v>
      </c>
      <c r="AE86" s="5" t="str">
        <f>IFERROR(__xludf.DUMMYFUNCTION("""COMPUTED_VALUE"""),"PC")</f>
        <v>PC</v>
      </c>
      <c r="AF86" s="5" t="str">
        <f>IFERROR(__xludf.DUMMYFUNCTION("""COMPUTED_VALUE"""),"Sacc")</f>
        <v>Sacc</v>
      </c>
      <c r="AG86" s="14"/>
      <c r="AH86" s="14"/>
      <c r="AI86" s="14"/>
      <c r="AJ86" s="14"/>
      <c r="AK86" s="14"/>
      <c r="AL86" s="14"/>
      <c r="AM86" s="14"/>
      <c r="AN86" s="14"/>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c r="A87" s="5" t="str">
        <f>IFERROR(__xludf.DUMMYFUNCTION("""COMPUTED_VALUE"""),"Sadamine")</f>
        <v>Sadamine</v>
      </c>
      <c r="B87" s="5" t="str">
        <f>IFERROR(__xludf.DUMMYFUNCTION("""COMPUTED_VALUE"""),"OCDH")</f>
        <v>OCDH</v>
      </c>
      <c r="C87" s="5" t="str">
        <f>IFERROR(__xludf.DUMMYFUNCTION("""COMPUTED_VALUE"""),"Jintei")</f>
        <v>Jintei</v>
      </c>
      <c r="D87" s="5" t="str">
        <f>IFERROR(__xludf.DUMMYFUNCTION("""COMPUTED_VALUE"""),"Test Driver")</f>
        <v>Test Driver</v>
      </c>
      <c r="E87" s="5">
        <f>IFERROR(__xludf.DUMMYFUNCTION("""COMPUTED_VALUE"""),0.006944444444444444)</f>
        <v>0.006944444444</v>
      </c>
      <c r="F87" s="5" t="str">
        <f>IFERROR(__xludf.DUMMYFUNCTION("""COMPUTED_VALUE"""),"AE85")</f>
        <v>AE85</v>
      </c>
      <c r="G87" s="5"/>
      <c r="H87" s="5" t="str">
        <f>IFERROR(__xludf.DUMMYFUNCTION("""COMPUTED_VALUE"""),"Sacc")</f>
        <v>Sacc</v>
      </c>
      <c r="I87" s="14"/>
      <c r="J87" s="14"/>
      <c r="K87" s="14"/>
      <c r="L87" s="14"/>
      <c r="M87" s="14"/>
      <c r="N87" s="14"/>
      <c r="O87" s="14"/>
      <c r="P87" s="14"/>
      <c r="Q87" s="5" t="str">
        <f>IFERROR(__xludf.DUMMYFUNCTION("""COMPUTED_VALUE"""),"Maze")</f>
        <v>Maze</v>
      </c>
      <c r="R87" s="5" t="str">
        <f>IFERROR(__xludf.DUMMYFUNCTION("""COMPUTED_VALUE"""),"DH")</f>
        <v>DH</v>
      </c>
      <c r="S87" s="5" t="str">
        <f>IFERROR(__xludf.DUMMYFUNCTION("""COMPUTED_VALUE"""),"Jintei")</f>
        <v>Jintei</v>
      </c>
      <c r="T87" s="5" t="str">
        <f>IFERROR(__xludf.DUMMYFUNCTION("""COMPUTED_VALUE"""),"Test Driver")</f>
        <v>Test Driver</v>
      </c>
      <c r="U87" s="5">
        <f>IFERROR(__xludf.DUMMYFUNCTION("""COMPUTED_VALUE"""),0.006944444444444444)</f>
        <v>0.006944444444</v>
      </c>
      <c r="V87" s="5" t="str">
        <f>IFERROR(__xludf.DUMMYFUNCTION("""COMPUTED_VALUE"""),"EA11R (Cappuccino)")</f>
        <v>EA11R (Cappuccino)</v>
      </c>
      <c r="W87" s="5"/>
      <c r="X87" s="5" t="str">
        <f>IFERROR(__xludf.DUMMYFUNCTION("""COMPUTED_VALUE"""),"Sacc")</f>
        <v>Sacc</v>
      </c>
      <c r="Y87" s="5" t="str">
        <f>IFERROR(__xludf.DUMMYFUNCTION("""COMPUTED_VALUE"""),"Tsukuba")</f>
        <v>Tsukuba</v>
      </c>
      <c r="Z87" s="5" t="str">
        <f>IFERROR(__xludf.DUMMYFUNCTION("""COMPUTED_VALUE"""),"Double")</f>
        <v>Double</v>
      </c>
      <c r="AA87" s="5" t="str">
        <f>IFERROR(__xludf.DUMMYFUNCTION("""COMPUTED_VALUE"""),"Jintei")</f>
        <v>Jintei</v>
      </c>
      <c r="AB87" s="5" t="str">
        <f>IFERROR(__xludf.DUMMYFUNCTION("""COMPUTED_VALUE"""),"LinWu_05")</f>
        <v>LinWu_05</v>
      </c>
      <c r="AC87" s="5">
        <f>IFERROR(__xludf.DUMMYFUNCTION("""COMPUTED_VALUE"""),0.002646412037037037)</f>
        <v>0.002646412037</v>
      </c>
      <c r="AD87" s="5" t="str">
        <f>IFERROR(__xludf.DUMMYFUNCTION("""COMPUTED_VALUE"""),"R35N3")</f>
        <v>R35N3</v>
      </c>
      <c r="AE87" s="5" t="str">
        <f>IFERROR(__xludf.DUMMYFUNCTION("""COMPUTED_VALUE"""),"PC")</f>
        <v>PC</v>
      </c>
      <c r="AF87" s="5" t="str">
        <f>IFERROR(__xludf.DUMMYFUNCTION("""COMPUTED_VALUE"""),"Sacc")</f>
        <v>Sacc</v>
      </c>
      <c r="AG87" s="14"/>
      <c r="AH87" s="14"/>
      <c r="AI87" s="14"/>
      <c r="AJ87" s="14"/>
      <c r="AK87" s="14"/>
      <c r="AL87" s="14"/>
      <c r="AM87" s="14"/>
      <c r="AN87" s="14"/>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c r="A88" s="5" t="str">
        <f>IFERROR(__xludf.DUMMYFUNCTION("""COMPUTED_VALUE"""),"Maze")</f>
        <v>Maze</v>
      </c>
      <c r="B88" s="5" t="str">
        <f>IFERROR(__xludf.DUMMYFUNCTION("""COMPUTED_VALUE"""),"DH")</f>
        <v>DH</v>
      </c>
      <c r="C88" s="5" t="str">
        <f>IFERROR(__xludf.DUMMYFUNCTION("""COMPUTED_VALUE"""),"Jintei")</f>
        <v>Jintei</v>
      </c>
      <c r="D88" s="5" t="str">
        <f>IFERROR(__xludf.DUMMYFUNCTION("""COMPUTED_VALUE"""),"Test Driver")</f>
        <v>Test Driver</v>
      </c>
      <c r="E88" s="5">
        <f>IFERROR(__xludf.DUMMYFUNCTION("""COMPUTED_VALUE"""),0.006944444444444444)</f>
        <v>0.006944444444</v>
      </c>
      <c r="F88" s="5" t="str">
        <f>IFERROR(__xludf.DUMMYFUNCTION("""COMPUTED_VALUE"""),"AE85")</f>
        <v>AE85</v>
      </c>
      <c r="G88" s="5"/>
      <c r="H88" s="5" t="str">
        <f>IFERROR(__xludf.DUMMYFUNCTION("""COMPUTED_VALUE"""),"Sacc")</f>
        <v>Sacc</v>
      </c>
      <c r="I88" s="14"/>
      <c r="J88" s="14"/>
      <c r="K88" s="14"/>
      <c r="L88" s="14"/>
      <c r="M88" s="14"/>
      <c r="N88" s="14"/>
      <c r="O88" s="14"/>
      <c r="P88" s="14"/>
      <c r="Q88" s="5" t="str">
        <f>IFERROR(__xludf.DUMMYFUNCTION("""COMPUTED_VALUE"""),"Maze")</f>
        <v>Maze</v>
      </c>
      <c r="R88" s="5" t="str">
        <f>IFERROR(__xludf.DUMMYFUNCTION("""COMPUTED_VALUE"""),"UH")</f>
        <v>UH</v>
      </c>
      <c r="S88" s="5" t="str">
        <f>IFERROR(__xludf.DUMMYFUNCTION("""COMPUTED_VALUE"""),"Jintei")</f>
        <v>Jintei</v>
      </c>
      <c r="T88" s="5" t="str">
        <f>IFERROR(__xludf.DUMMYFUNCTION("""COMPUTED_VALUE"""),"Test Driver")</f>
        <v>Test Driver</v>
      </c>
      <c r="U88" s="5">
        <f>IFERROR(__xludf.DUMMYFUNCTION("""COMPUTED_VALUE"""),0.006944444444444444)</f>
        <v>0.006944444444</v>
      </c>
      <c r="V88" s="5" t="str">
        <f>IFERROR(__xludf.DUMMYFUNCTION("""COMPUTED_VALUE"""),"EA11R (Cappuccino)")</f>
        <v>EA11R (Cappuccino)</v>
      </c>
      <c r="W88" s="5"/>
      <c r="X88" s="5" t="str">
        <f>IFERROR(__xludf.DUMMYFUNCTION("""COMPUTED_VALUE"""),"Sacc")</f>
        <v>Sacc</v>
      </c>
      <c r="Y88" s="5" t="str">
        <f>IFERROR(__xludf.DUMMYFUNCTION("""COMPUTED_VALUE"""),"Tsubaki")</f>
        <v>Tsubaki</v>
      </c>
      <c r="Z88" s="5" t="str">
        <f>IFERROR(__xludf.DUMMYFUNCTION("""COMPUTED_VALUE"""),"DH")</f>
        <v>DH</v>
      </c>
      <c r="AA88" s="5" t="str">
        <f>IFERROR(__xludf.DUMMYFUNCTION("""COMPUTED_VALUE"""),"Jintei ")</f>
        <v>Jintei </v>
      </c>
      <c r="AB88" s="5" t="str">
        <f>IFERROR(__xludf.DUMMYFUNCTION("""COMPUTED_VALUE"""),"LinWu_05")</f>
        <v>LinWu_05</v>
      </c>
      <c r="AC88" s="5">
        <f>IFERROR(__xludf.DUMMYFUNCTION("""COMPUTED_VALUE"""),0.002655868055555556)</f>
        <v>0.002655868056</v>
      </c>
      <c r="AD88" s="5" t="str">
        <f>IFERROR(__xludf.DUMMYFUNCTION("""COMPUTED_VALUE"""),"R35N3")</f>
        <v>R35N3</v>
      </c>
      <c r="AE88" s="5" t="str">
        <f>IFERROR(__xludf.DUMMYFUNCTION("""COMPUTED_VALUE"""),"PC")</f>
        <v>PC</v>
      </c>
      <c r="AF88" s="5" t="str">
        <f>IFERROR(__xludf.DUMMYFUNCTION("""COMPUTED_VALUE"""),"Sacc")</f>
        <v>Sacc</v>
      </c>
      <c r="AG88" s="14"/>
      <c r="AH88" s="14"/>
      <c r="AI88" s="14"/>
      <c r="AJ88" s="14"/>
      <c r="AK88" s="14"/>
      <c r="AL88" s="14"/>
      <c r="AM88" s="14"/>
      <c r="AN88" s="14"/>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c r="A89" s="5" t="str">
        <f>IFERROR(__xludf.DUMMYFUNCTION("""COMPUTED_VALUE"""),"Maze")</f>
        <v>Maze</v>
      </c>
      <c r="B89" s="5" t="str">
        <f>IFERROR(__xludf.DUMMYFUNCTION("""COMPUTED_VALUE"""),"UH")</f>
        <v>UH</v>
      </c>
      <c r="C89" s="5" t="str">
        <f>IFERROR(__xludf.DUMMYFUNCTION("""COMPUTED_VALUE"""),"Jintei")</f>
        <v>Jintei</v>
      </c>
      <c r="D89" s="5" t="str">
        <f>IFERROR(__xludf.DUMMYFUNCTION("""COMPUTED_VALUE"""),"Test Driver")</f>
        <v>Test Driver</v>
      </c>
      <c r="E89" s="5">
        <f>IFERROR(__xludf.DUMMYFUNCTION("""COMPUTED_VALUE"""),0.006944444444444444)</f>
        <v>0.006944444444</v>
      </c>
      <c r="F89" s="5" t="str">
        <f>IFERROR(__xludf.DUMMYFUNCTION("""COMPUTED_VALUE"""),"AE85")</f>
        <v>AE85</v>
      </c>
      <c r="G89" s="5"/>
      <c r="H89" s="5" t="str">
        <f>IFERROR(__xludf.DUMMYFUNCTION("""COMPUTED_VALUE"""),"Sacc")</f>
        <v>Sacc</v>
      </c>
      <c r="I89" s="73" t="s">
        <v>170</v>
      </c>
      <c r="Q89" s="5"/>
      <c r="R89" s="5"/>
      <c r="S89" s="5"/>
      <c r="T89" s="5"/>
      <c r="U89" s="5"/>
      <c r="V89" s="5"/>
      <c r="W89" s="5"/>
      <c r="X89" s="5"/>
      <c r="Y89" s="5" t="str">
        <f>IFERROR(__xludf.DUMMYFUNCTION("""COMPUTED_VALUE"""),"Tsukuba")</f>
        <v>Tsukuba</v>
      </c>
      <c r="Z89" s="5" t="str">
        <f>IFERROR(__xludf.DUMMYFUNCTION("""COMPUTED_VALUE"""),"OB")</f>
        <v>OB</v>
      </c>
      <c r="AA89" s="5" t="str">
        <f>IFERROR(__xludf.DUMMYFUNCTION("""COMPUTED_VALUE"""),"Jintei ")</f>
        <v>Jintei </v>
      </c>
      <c r="AB89" s="5" t="str">
        <f>IFERROR(__xludf.DUMMYFUNCTION("""COMPUTED_VALUE"""),"StarRiver Arts")</f>
        <v>StarRiver Arts</v>
      </c>
      <c r="AC89" s="5">
        <f>IFERROR(__xludf.DUMMYFUNCTION("""COMPUTED_VALUE"""),0.0025333680555555556)</f>
        <v>0.002533368056</v>
      </c>
      <c r="AD89" s="5" t="str">
        <f>IFERROR(__xludf.DUMMYFUNCTION("""COMPUTED_VALUE"""),"R35N3")</f>
        <v>R35N3</v>
      </c>
      <c r="AE89" s="5" t="str">
        <f>IFERROR(__xludf.DUMMYFUNCTION("""COMPUTED_VALUE"""),"PC")</f>
        <v>PC</v>
      </c>
      <c r="AF89" s="5" t="str">
        <f>IFERROR(__xludf.DUMMYFUNCTION("""COMPUTED_VALUE"""),"Sacc")</f>
        <v>Sacc</v>
      </c>
      <c r="AG89" s="14"/>
      <c r="AH89" s="14"/>
      <c r="AI89" s="14"/>
      <c r="AJ89" s="14"/>
      <c r="AK89" s="14"/>
      <c r="AL89" s="14"/>
      <c r="AM89" s="14"/>
      <c r="AN89" s="14"/>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c r="A90" s="5"/>
      <c r="B90" s="5"/>
      <c r="C90" s="5"/>
      <c r="D90" s="5"/>
      <c r="E90" s="5"/>
      <c r="F90" s="5"/>
      <c r="G90" s="5"/>
      <c r="H90" s="5"/>
      <c r="I90" s="71" t="s">
        <v>171</v>
      </c>
      <c r="Q90" s="74" t="s">
        <v>172</v>
      </c>
      <c r="Y90" s="5" t="str">
        <f>IFERROR(__xludf.DUMMYFUNCTION("""COMPUTED_VALUE"""),"Tsukuba")</f>
        <v>Tsukuba</v>
      </c>
      <c r="Z90" s="5" t="str">
        <f>IFERROR(__xludf.DUMMYFUNCTION("""COMPUTED_VALUE"""),"DH")</f>
        <v>DH</v>
      </c>
      <c r="AA90" s="5" t="str">
        <f>IFERROR(__xludf.DUMMYFUNCTION("""COMPUTED_VALUE"""),"Jintei")</f>
        <v>Jintei</v>
      </c>
      <c r="AB90" s="5" t="str">
        <f>IFERROR(__xludf.DUMMYFUNCTION("""COMPUTED_VALUE"""),"Test Driver")</f>
        <v>Test Driver</v>
      </c>
      <c r="AC90" s="5">
        <f>IFERROR(__xludf.DUMMYFUNCTION("""COMPUTED_VALUE"""),0.006944444444444444)</f>
        <v>0.006944444444</v>
      </c>
      <c r="AD90" s="5" t="str">
        <f>IFERROR(__xludf.DUMMYFUNCTION("""COMPUTED_VALUE"""),"R35N3")</f>
        <v>R35N3</v>
      </c>
      <c r="AE90" s="5"/>
      <c r="AF90" s="5" t="str">
        <f>IFERROR(__xludf.DUMMYFUNCTION("""COMPUTED_VALUE"""),"Sacc")</f>
        <v>Sacc</v>
      </c>
      <c r="AG90" s="14"/>
      <c r="AH90" s="14"/>
      <c r="AI90" s="14"/>
      <c r="AJ90" s="14"/>
      <c r="AK90" s="14"/>
      <c r="AL90" s="14"/>
      <c r="AM90" s="14"/>
      <c r="AN90" s="14"/>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c r="A91" s="5"/>
      <c r="B91" s="5"/>
      <c r="C91" s="5"/>
      <c r="D91" s="5"/>
      <c r="E91" s="5"/>
      <c r="F91" s="5"/>
      <c r="G91" s="5"/>
      <c r="H91" s="5"/>
      <c r="I91" s="14" t="str">
        <f>IFERROR(__xludf.DUMMYFUNCTION("LET(
  車輛, I90,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"),"#REF!")</f>
        <v>#REF!</v>
      </c>
      <c r="J91" s="14"/>
      <c r="K91" s="14"/>
      <c r="L91" s="14"/>
      <c r="M91" s="14"/>
      <c r="N91" s="14"/>
      <c r="O91" s="14"/>
      <c r="P91" s="14"/>
      <c r="Q91" s="67" t="s">
        <v>144</v>
      </c>
      <c r="Y91" s="5" t="str">
        <f>IFERROR(__xludf.DUMMYFUNCTION("""COMPUTED_VALUE"""),"Tsukuba")</f>
        <v>Tsukuba</v>
      </c>
      <c r="Z91" s="5" t="str">
        <f>IFERROR(__xludf.DUMMYFUNCTION("""COMPUTED_VALUE"""),"UH")</f>
        <v>UH</v>
      </c>
      <c r="AA91" s="5" t="str">
        <f>IFERROR(__xludf.DUMMYFUNCTION("""COMPUTED_VALUE"""),"Jintei")</f>
        <v>Jintei</v>
      </c>
      <c r="AB91" s="5" t="str">
        <f>IFERROR(__xludf.DUMMYFUNCTION("""COMPUTED_VALUE"""),"Test Driver")</f>
        <v>Test Driver</v>
      </c>
      <c r="AC91" s="5">
        <f>IFERROR(__xludf.DUMMYFUNCTION("""COMPUTED_VALUE"""),0.006944444444444444)</f>
        <v>0.006944444444</v>
      </c>
      <c r="AD91" s="5" t="str">
        <f>IFERROR(__xludf.DUMMYFUNCTION("""COMPUTED_VALUE"""),"R35N3")</f>
        <v>R35N3</v>
      </c>
      <c r="AE91" s="5"/>
      <c r="AF91" s="5" t="str">
        <f>IFERROR(__xludf.DUMMYFUNCTION("""COMPUTED_VALUE"""),"Sacc")</f>
        <v>Sacc</v>
      </c>
      <c r="AG91" s="14"/>
      <c r="AH91" s="14"/>
      <c r="AI91" s="14"/>
      <c r="AJ91" s="14"/>
      <c r="AK91" s="14"/>
      <c r="AL91" s="14"/>
      <c r="AM91" s="14"/>
      <c r="AN91" s="14"/>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c r="A92" s="5"/>
      <c r="B92" s="5"/>
      <c r="C92" s="5"/>
      <c r="D92" s="5"/>
      <c r="E92" s="5"/>
      <c r="F92" s="5"/>
      <c r="G92" s="5"/>
      <c r="H92" s="5"/>
      <c r="I92" s="14"/>
      <c r="J92" s="14"/>
      <c r="K92" s="14"/>
      <c r="L92" s="14"/>
      <c r="M92" s="48"/>
      <c r="N92" s="14"/>
      <c r="O92" s="14"/>
      <c r="P92" s="14"/>
      <c r="Q92" s="5" t="str">
        <f>IFERROR(__xludf.DUMMYFUNCTION("LET(
  車輛, Q91,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92" s="5" t="str">
        <f>IFERROR(__xludf.DUMMYFUNCTION("""COMPUTED_VALUE"""),"路線")</f>
        <v>路線</v>
      </c>
      <c r="S92" s="5" t="str">
        <f>IFERROR(__xludf.DUMMYFUNCTION("""COMPUTED_VALUE"""),"作者")</f>
        <v>作者</v>
      </c>
      <c r="T92" s="5" t="str">
        <f>IFERROR(__xludf.DUMMYFUNCTION("""COMPUTED_VALUE"""),"玩家")</f>
        <v>玩家</v>
      </c>
      <c r="U92" s="5" t="str">
        <f>IFERROR(__xludf.DUMMYFUNCTION("""COMPUTED_VALUE"""),"時間")</f>
        <v>時間</v>
      </c>
      <c r="V92" s="5" t="str">
        <f>IFERROR(__xludf.DUMMYFUNCTION("""COMPUTED_VALUE"""),"車輛")</f>
        <v>車輛</v>
      </c>
      <c r="W92" s="5" t="str">
        <f>IFERROR(__xludf.DUMMYFUNCTION("""COMPUTED_VALUE"""),"平台")</f>
        <v>平台</v>
      </c>
      <c r="X92" s="5" t="str">
        <f>IFERROR(__xludf.DUMMYFUNCTION("""COMPUTED_VALUE"""),"系統")</f>
        <v>系統</v>
      </c>
      <c r="Y92" s="5" t="str">
        <f>IFERROR(__xludf.DUMMYFUNCTION("""COMPUTED_VALUE"""),"Tsukuba")</f>
        <v>Tsukuba</v>
      </c>
      <c r="Z92" s="5" t="str">
        <f>IFERROR(__xludf.DUMMYFUNCTION("""COMPUTED_VALUE"""),"IB")</f>
        <v>IB</v>
      </c>
      <c r="AA92" s="5" t="str">
        <f>IFERROR(__xludf.DUMMYFUNCTION("""COMPUTED_VALUE"""),"Jintei")</f>
        <v>Jintei</v>
      </c>
      <c r="AB92" s="5" t="str">
        <f>IFERROR(__xludf.DUMMYFUNCTION("""COMPUTED_VALUE"""),"Test Driver")</f>
        <v>Test Driver</v>
      </c>
      <c r="AC92" s="5">
        <f>IFERROR(__xludf.DUMMYFUNCTION("""COMPUTED_VALUE"""),0.006944444444444444)</f>
        <v>0.006944444444</v>
      </c>
      <c r="AD92" s="5" t="str">
        <f>IFERROR(__xludf.DUMMYFUNCTION("""COMPUTED_VALUE"""),"R35N3")</f>
        <v>R35N3</v>
      </c>
      <c r="AE92" s="5"/>
      <c r="AF92" s="5" t="str">
        <f>IFERROR(__xludf.DUMMYFUNCTION("""COMPUTED_VALUE"""),"Sacc")</f>
        <v>Sacc</v>
      </c>
      <c r="AG92" s="14"/>
      <c r="AH92" s="14"/>
      <c r="AI92" s="14"/>
      <c r="AJ92" s="14"/>
      <c r="AK92" s="14"/>
      <c r="AL92" s="14"/>
      <c r="AM92" s="14"/>
      <c r="AN92" s="14"/>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c r="A93" s="5"/>
      <c r="B93" s="5"/>
      <c r="C93" s="5"/>
      <c r="D93" s="5"/>
      <c r="E93" s="5"/>
      <c r="F93" s="5"/>
      <c r="G93" s="5"/>
      <c r="H93" s="5"/>
      <c r="I93" s="14"/>
      <c r="J93" s="14"/>
      <c r="K93" s="14"/>
      <c r="L93" s="14"/>
      <c r="M93" s="48"/>
      <c r="N93" s="14"/>
      <c r="O93" s="14"/>
      <c r="P93" s="14"/>
      <c r="Q93" s="5" t="str">
        <f>IFERROR(__xludf.DUMMYFUNCTION("""COMPUTED_VALUE"""),"Momiji")</f>
        <v>Momiji</v>
      </c>
      <c r="R93" s="5" t="str">
        <f>IFERROR(__xludf.DUMMYFUNCTION("""COMPUTED_VALUE"""),"DH")</f>
        <v>DH</v>
      </c>
      <c r="S93" s="5" t="str">
        <f>IFERROR(__xludf.DUMMYFUNCTION("""COMPUTED_VALUE"""),"FoxBG")</f>
        <v>FoxBG</v>
      </c>
      <c r="T93" s="5" t="str">
        <f>IFERROR(__xludf.DUMMYFUNCTION("""COMPUTED_VALUE"""),"MrValentine")</f>
        <v>MrValentine</v>
      </c>
      <c r="U93" s="5">
        <f>IFERROR(__xludf.DUMMYFUNCTION("""COMPUTED_VALUE"""),0.0078115393518518525)</f>
        <v>0.007811539352</v>
      </c>
      <c r="V93" s="5" t="str">
        <f>IFERROR(__xludf.DUMMYFUNCTION("""COMPUTED_VALUE"""),"Comet Custom")</f>
        <v>Comet Custom</v>
      </c>
      <c r="W93" s="5" t="str">
        <f>IFERROR(__xludf.DUMMYFUNCTION("""COMPUTED_VALUE"""),"PC")</f>
        <v>PC</v>
      </c>
      <c r="X93" s="5" t="str">
        <f>IFERROR(__xludf.DUMMYFUNCTION("""COMPUTED_VALUE"""),"CVS")</f>
        <v>CVS</v>
      </c>
      <c r="Y93" s="5" t="str">
        <f>IFERROR(__xludf.DUMMYFUNCTION("""COMPUTED_VALUE"""),"Tsubaki")</f>
        <v>Tsubaki</v>
      </c>
      <c r="Z93" s="5" t="str">
        <f>IFERROR(__xludf.DUMMYFUNCTION("""COMPUTED_VALUE"""),"UH")</f>
        <v>UH</v>
      </c>
      <c r="AA93" s="5" t="str">
        <f>IFERROR(__xludf.DUMMYFUNCTION("""COMPUTED_VALUE"""),"Jintei")</f>
        <v>Jintei</v>
      </c>
      <c r="AB93" s="5" t="str">
        <f>IFERROR(__xludf.DUMMYFUNCTION("""COMPUTED_VALUE"""),"Test Driver")</f>
        <v>Test Driver</v>
      </c>
      <c r="AC93" s="5">
        <f>IFERROR(__xludf.DUMMYFUNCTION("""COMPUTED_VALUE"""),0.006944444444444444)</f>
        <v>0.006944444444</v>
      </c>
      <c r="AD93" s="5" t="str">
        <f>IFERROR(__xludf.DUMMYFUNCTION("""COMPUTED_VALUE"""),"R35N3")</f>
        <v>R35N3</v>
      </c>
      <c r="AE93" s="5"/>
      <c r="AF93" s="5" t="str">
        <f>IFERROR(__xludf.DUMMYFUNCTION("""COMPUTED_VALUE"""),"Sacc")</f>
        <v>Sacc</v>
      </c>
      <c r="AG93" s="14"/>
      <c r="AH93" s="14"/>
      <c r="AI93" s="14"/>
      <c r="AJ93" s="14"/>
      <c r="AK93" s="14"/>
      <c r="AL93" s="14"/>
      <c r="AM93" s="14"/>
      <c r="AN93" s="14"/>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c r="A94" s="5"/>
      <c r="B94" s="5"/>
      <c r="C94" s="5"/>
      <c r="D94" s="5"/>
      <c r="E94" s="5"/>
      <c r="F94" s="5"/>
      <c r="G94" s="5"/>
      <c r="H94" s="5"/>
      <c r="I94" s="14"/>
      <c r="J94" s="14"/>
      <c r="K94" s="14"/>
      <c r="L94" s="14"/>
      <c r="M94" s="48"/>
      <c r="N94" s="14"/>
      <c r="O94" s="14"/>
      <c r="P94" s="14"/>
      <c r="Q94" s="5" t="str">
        <f>IFERROR(__xludf.DUMMYFUNCTION("""COMPUTED_VALUE"""),"Nagao")</f>
        <v>Nagao</v>
      </c>
      <c r="R94" s="5" t="str">
        <f>IFERROR(__xludf.DUMMYFUNCTION("""COMPUTED_VALUE"""),"DH")</f>
        <v>DH</v>
      </c>
      <c r="S94" s="5" t="str">
        <f>IFERROR(__xludf.DUMMYFUNCTION("""COMPUTED_VALUE"""),"FoxBG")</f>
        <v>FoxBG</v>
      </c>
      <c r="T94" s="5" t="str">
        <f>IFERROR(__xludf.DUMMYFUNCTION("""COMPUTED_VALUE"""),"Test Driver")</f>
        <v>Test Driver</v>
      </c>
      <c r="U94" s="5">
        <f>IFERROR(__xludf.DUMMYFUNCTION("""COMPUTED_VALUE"""),0.006944444444444444)</f>
        <v>0.006944444444</v>
      </c>
      <c r="V94" s="5" t="str">
        <f>IFERROR(__xludf.DUMMYFUNCTION("""COMPUTED_VALUE"""),"Comet Custom")</f>
        <v>Comet Custom</v>
      </c>
      <c r="W94" s="5"/>
      <c r="X94" s="5" t="str">
        <f>IFERROR(__xludf.DUMMYFUNCTION("""COMPUTED_VALUE"""),"CVS")</f>
        <v>CVS</v>
      </c>
      <c r="Y94" s="5" t="str">
        <f>IFERROR(__xludf.DUMMYFUNCTION("""COMPUTED_VALUE"""),"Hakone")</f>
        <v>Hakone</v>
      </c>
      <c r="Z94" s="5" t="str">
        <f>IFERROR(__xludf.DUMMYFUNCTION("""COMPUTED_VALUE"""),"DH")</f>
        <v>DH</v>
      </c>
      <c r="AA94" s="5" t="str">
        <f>IFERROR(__xludf.DUMMYFUNCTION("""COMPUTED_VALUE"""),"Jintei")</f>
        <v>Jintei</v>
      </c>
      <c r="AB94" s="5" t="str">
        <f>IFERROR(__xludf.DUMMYFUNCTION("""COMPUTED_VALUE"""),"Test Driver")</f>
        <v>Test Driver</v>
      </c>
      <c r="AC94" s="5">
        <f>IFERROR(__xludf.DUMMYFUNCTION("""COMPUTED_VALUE"""),0.006944444444444444)</f>
        <v>0.006944444444</v>
      </c>
      <c r="AD94" s="5" t="str">
        <f>IFERROR(__xludf.DUMMYFUNCTION("""COMPUTED_VALUE"""),"R35N3")</f>
        <v>R35N3</v>
      </c>
      <c r="AE94" s="5"/>
      <c r="AF94" s="5" t="str">
        <f>IFERROR(__xludf.DUMMYFUNCTION("""COMPUTED_VALUE"""),"Sacc")</f>
        <v>Sacc</v>
      </c>
      <c r="AG94" s="14"/>
      <c r="AH94" s="14"/>
      <c r="AI94" s="14"/>
      <c r="AJ94" s="14"/>
      <c r="AK94" s="14"/>
      <c r="AL94" s="14"/>
      <c r="AM94" s="14"/>
      <c r="AN94" s="14"/>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c r="A95" s="5"/>
      <c r="B95" s="5"/>
      <c r="C95" s="5"/>
      <c r="D95" s="5"/>
      <c r="E95" s="5"/>
      <c r="F95" s="5"/>
      <c r="G95" s="5"/>
      <c r="H95" s="5"/>
      <c r="I95" s="14"/>
      <c r="J95" s="14"/>
      <c r="K95" s="14"/>
      <c r="L95" s="14"/>
      <c r="M95" s="48"/>
      <c r="N95" s="14"/>
      <c r="O95" s="14"/>
      <c r="P95" s="14"/>
      <c r="Q95" s="5"/>
      <c r="R95" s="5"/>
      <c r="S95" s="5"/>
      <c r="T95" s="5"/>
      <c r="U95" s="5"/>
      <c r="V95" s="5"/>
      <c r="W95" s="5"/>
      <c r="X95" s="5"/>
      <c r="Y95" s="5" t="str">
        <f>IFERROR(__xludf.DUMMYFUNCTION("""COMPUTED_VALUE"""),"Hakone")</f>
        <v>Hakone</v>
      </c>
      <c r="Z95" s="5" t="str">
        <f>IFERROR(__xludf.DUMMYFUNCTION("""COMPUTED_VALUE"""),"UH")</f>
        <v>UH</v>
      </c>
      <c r="AA95" s="5" t="str">
        <f>IFERROR(__xludf.DUMMYFUNCTION("""COMPUTED_VALUE"""),"Jintei")</f>
        <v>Jintei</v>
      </c>
      <c r="AB95" s="5" t="str">
        <f>IFERROR(__xludf.DUMMYFUNCTION("""COMPUTED_VALUE"""),"Test Driver")</f>
        <v>Test Driver</v>
      </c>
      <c r="AC95" s="5">
        <f>IFERROR(__xludf.DUMMYFUNCTION("""COMPUTED_VALUE"""),0.006944444444444444)</f>
        <v>0.006944444444</v>
      </c>
      <c r="AD95" s="5" t="str">
        <f>IFERROR(__xludf.DUMMYFUNCTION("""COMPUTED_VALUE"""),"R35N3")</f>
        <v>R35N3</v>
      </c>
      <c r="AE95" s="5"/>
      <c r="AF95" s="5" t="str">
        <f>IFERROR(__xludf.DUMMYFUNCTION("""COMPUTED_VALUE"""),"Sacc")</f>
        <v>Sacc</v>
      </c>
      <c r="AG95" s="14"/>
      <c r="AH95" s="14"/>
      <c r="AI95" s="14"/>
      <c r="AJ95" s="14"/>
      <c r="AK95" s="14"/>
      <c r="AL95" s="14"/>
      <c r="AM95" s="14"/>
      <c r="AN95" s="14"/>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c r="A96" s="5"/>
      <c r="B96" s="5"/>
      <c r="C96" s="5"/>
      <c r="D96" s="5"/>
      <c r="E96" s="5"/>
      <c r="F96" s="5"/>
      <c r="G96" s="5"/>
      <c r="H96" s="5"/>
      <c r="I96" s="14"/>
      <c r="J96" s="14"/>
      <c r="K96" s="14"/>
      <c r="L96" s="14"/>
      <c r="M96" s="48"/>
      <c r="N96" s="14"/>
      <c r="O96" s="14"/>
      <c r="P96" s="14"/>
      <c r="Q96" s="5"/>
      <c r="R96" s="5"/>
      <c r="S96" s="5"/>
      <c r="T96" s="5"/>
      <c r="U96" s="5"/>
      <c r="V96" s="5"/>
      <c r="W96" s="5"/>
      <c r="X96" s="5"/>
      <c r="Y96" s="5"/>
      <c r="Z96" s="5"/>
      <c r="AA96" s="5"/>
      <c r="AB96" s="5"/>
      <c r="AC96" s="5"/>
      <c r="AD96" s="5"/>
      <c r="AE96" s="5"/>
      <c r="AF96" s="5"/>
      <c r="AG96" s="14"/>
      <c r="AH96" s="14"/>
      <c r="AI96" s="14"/>
      <c r="AJ96" s="14"/>
      <c r="AK96" s="14"/>
      <c r="AL96" s="14"/>
      <c r="AM96" s="14"/>
      <c r="AN96" s="14"/>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c r="A97" s="67" t="s">
        <v>173</v>
      </c>
      <c r="I97" s="14"/>
      <c r="J97" s="14"/>
      <c r="K97" s="14"/>
      <c r="L97" s="14"/>
      <c r="M97" s="48"/>
      <c r="N97" s="14"/>
      <c r="O97" s="14"/>
      <c r="P97" s="14"/>
      <c r="Q97" s="67" t="s">
        <v>174</v>
      </c>
      <c r="Y97" s="5"/>
      <c r="Z97" s="5"/>
      <c r="AA97" s="5"/>
      <c r="AB97" s="5"/>
      <c r="AC97" s="5"/>
      <c r="AD97" s="5"/>
      <c r="AE97" s="5"/>
      <c r="AF97" s="5"/>
      <c r="AG97" s="14"/>
      <c r="AH97" s="14"/>
      <c r="AI97" s="14"/>
      <c r="AJ97" s="14"/>
      <c r="AK97" s="14"/>
      <c r="AL97" s="14"/>
      <c r="AM97" s="14"/>
      <c r="AN97" s="14"/>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c r="A98" s="5" t="str">
        <f>IFERROR(__xludf.DUMMYFUNCTION("LET(
  車輛, A97,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B98" s="5" t="str">
        <f>IFERROR(__xludf.DUMMYFUNCTION("""COMPUTED_VALUE"""),"路線")</f>
        <v>路線</v>
      </c>
      <c r="C98" s="5" t="str">
        <f>IFERROR(__xludf.DUMMYFUNCTION("""COMPUTED_VALUE"""),"作者")</f>
        <v>作者</v>
      </c>
      <c r="D98" s="5" t="str">
        <f>IFERROR(__xludf.DUMMYFUNCTION("""COMPUTED_VALUE"""),"玩家")</f>
        <v>玩家</v>
      </c>
      <c r="E98" s="5" t="str">
        <f>IFERROR(__xludf.DUMMYFUNCTION("""COMPUTED_VALUE"""),"時間")</f>
        <v>時間</v>
      </c>
      <c r="F98" s="5" t="str">
        <f>IFERROR(__xludf.DUMMYFUNCTION("""COMPUTED_VALUE"""),"車輛")</f>
        <v>車輛</v>
      </c>
      <c r="G98" s="5" t="str">
        <f>IFERROR(__xludf.DUMMYFUNCTION("""COMPUTED_VALUE"""),"平台")</f>
        <v>平台</v>
      </c>
      <c r="H98" s="5" t="str">
        <f>IFERROR(__xludf.DUMMYFUNCTION("""COMPUTED_VALUE"""),"系統")</f>
        <v>系統</v>
      </c>
      <c r="I98" s="14"/>
      <c r="J98" s="14"/>
      <c r="K98" s="14"/>
      <c r="L98" s="14"/>
      <c r="M98" s="14"/>
      <c r="N98" s="14"/>
      <c r="O98" s="14"/>
      <c r="P98" s="14"/>
      <c r="Q98" s="5" t="str">
        <f>IFERROR(__xludf.DUMMYFUNCTION("LET(
  車輛, Q97,
  原始, FILTER('歷史紀錄'!$B$2:$I1010, '歷史紀錄'!$G$2:$G1010=車輛),
  鍵, MAP(INDEX(原始,,1), INDEX(原始,,2), LAMBDA(b, r, b&amp;""|""&amp;r)),
  唯一鍵, UNIQUE(鍵),
  結果, MAP(唯一鍵, LAMBDA(k,
    LET(
      篩選, FILTER(原始, MAP(INDEX(原始,,1), INDEX(原始,,2), LAMBDA(b, r, b"&amp;"&amp;""|""&amp;r))=k),
      最小, MIN(INDEX(篩選,,5)),
      INDEX(篩選, MATCH(最小, INDEX(篩選,,5), 0), )
    )
  )),
  表頭, {""賽道名稱"",""路線"",""作者"",""玩家"",""時間"",""車輛"",""平台"",""系統""},
  VSTACK(表頭, 結果)
)
"),"賽道名稱")</f>
        <v>賽道名稱</v>
      </c>
      <c r="R98" s="5" t="str">
        <f>IFERROR(__xludf.DUMMYFUNCTION("""COMPUTED_VALUE"""),"路線")</f>
        <v>路線</v>
      </c>
      <c r="S98" s="5" t="str">
        <f>IFERROR(__xludf.DUMMYFUNCTION("""COMPUTED_VALUE"""),"作者")</f>
        <v>作者</v>
      </c>
      <c r="T98" s="5" t="str">
        <f>IFERROR(__xludf.DUMMYFUNCTION("""COMPUTED_VALUE"""),"玩家")</f>
        <v>玩家</v>
      </c>
      <c r="U98" s="5" t="str">
        <f>IFERROR(__xludf.DUMMYFUNCTION("""COMPUTED_VALUE"""),"時間")</f>
        <v>時間</v>
      </c>
      <c r="V98" s="5" t="str">
        <f>IFERROR(__xludf.DUMMYFUNCTION("""COMPUTED_VALUE"""),"車輛")</f>
        <v>車輛</v>
      </c>
      <c r="W98" s="5" t="str">
        <f>IFERROR(__xludf.DUMMYFUNCTION("""COMPUTED_VALUE"""),"平台")</f>
        <v>平台</v>
      </c>
      <c r="X98" s="5" t="str">
        <f>IFERROR(__xludf.DUMMYFUNCTION("""COMPUTED_VALUE"""),"系統")</f>
        <v>系統</v>
      </c>
      <c r="Y98" s="5"/>
      <c r="Z98" s="5"/>
      <c r="AA98" s="5"/>
      <c r="AB98" s="5"/>
      <c r="AC98" s="5"/>
      <c r="AD98" s="5"/>
      <c r="AE98" s="5"/>
      <c r="AF98" s="5"/>
      <c r="AG98" s="14"/>
      <c r="AH98" s="14"/>
      <c r="AI98" s="14"/>
      <c r="AJ98" s="14"/>
      <c r="AK98" s="14"/>
      <c r="AL98" s="14"/>
      <c r="AM98" s="14"/>
      <c r="AN98" s="14"/>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c r="A99" s="5" t="str">
        <f>IFERROR(__xludf.DUMMYFUNCTION("""COMPUTED_VALUE"""),"Momiji")</f>
        <v>Momiji</v>
      </c>
      <c r="B99" s="5" t="str">
        <f>IFERROR(__xludf.DUMMYFUNCTION("""COMPUTED_VALUE"""),"DH")</f>
        <v>DH</v>
      </c>
      <c r="C99" s="5" t="str">
        <f>IFERROR(__xludf.DUMMYFUNCTION("""COMPUTED_VALUE"""),"FoxBG")</f>
        <v>FoxBG</v>
      </c>
      <c r="D99" s="5" t="str">
        <f>IFERROR(__xludf.DUMMYFUNCTION("""COMPUTED_VALUE"""),"Lolidia")</f>
        <v>Lolidia</v>
      </c>
      <c r="E99" s="5">
        <f>IFERROR(__xludf.DUMMYFUNCTION("""COMPUTED_VALUE"""),0.0022057291666666666)</f>
        <v>0.002205729167</v>
      </c>
      <c r="F99" s="5" t="str">
        <f>IFERROR(__xludf.DUMMYFUNCTION("""COMPUTED_VALUE"""),"Karin 96")</f>
        <v>Karin 96</v>
      </c>
      <c r="G99" s="5" t="str">
        <f>IFERROR(__xludf.DUMMYFUNCTION("""COMPUTED_VALUE"""),"PCVR")</f>
        <v>PCVR</v>
      </c>
      <c r="H99" s="5" t="str">
        <f>IFERROR(__xludf.DUMMYFUNCTION("""COMPUTED_VALUE"""),"CVS")</f>
        <v>CVS</v>
      </c>
      <c r="I99" s="14"/>
      <c r="J99" s="14"/>
      <c r="K99" s="14"/>
      <c r="L99" s="14"/>
      <c r="M99" s="48"/>
      <c r="N99" s="14"/>
      <c r="O99" s="14"/>
      <c r="P99" s="14"/>
      <c r="Q99" s="5" t="str">
        <f>IFERROR(__xludf.DUMMYFUNCTION("""COMPUTED_VALUE"""),"PT:9T")</f>
        <v>PT:9T</v>
      </c>
      <c r="R99" s="5" t="str">
        <f>IFERROR(__xludf.DUMMYFUNCTION("""COMPUTED_VALUE"""),"DH")</f>
        <v>DH</v>
      </c>
      <c r="S99" s="5" t="str">
        <f>IFERROR(__xludf.DUMMYFUNCTION("""COMPUTED_VALUE"""),"StarRiver Arts")</f>
        <v>StarRiver Arts</v>
      </c>
      <c r="T99" s="5" t="str">
        <f>IFERROR(__xludf.DUMMYFUNCTION("""COMPUTED_VALUE"""),"Lolidia")</f>
        <v>Lolidia</v>
      </c>
      <c r="U99" s="5">
        <f>IFERROR(__xludf.DUMMYFUNCTION("""COMPUTED_VALUE"""),0.004538715277777778)</f>
        <v>0.004538715278</v>
      </c>
      <c r="V99" s="5" t="str">
        <f>IFERROR(__xludf.DUMMYFUNCTION("""COMPUTED_VALUE"""),"SampleCar")</f>
        <v>SampleCar</v>
      </c>
      <c r="W99" s="5" t="str">
        <f>IFERROR(__xludf.DUMMYFUNCTION("""COMPUTED_VALUE"""),"PCVR")</f>
        <v>PCVR</v>
      </c>
      <c r="X99" s="5" t="str">
        <f>IFERROR(__xludf.DUMMYFUNCTION("""COMPUTED_VALUE"""),"CVS")</f>
        <v>CVS</v>
      </c>
      <c r="Y99" s="5"/>
      <c r="Z99" s="5"/>
      <c r="AA99" s="5"/>
      <c r="AB99" s="5"/>
      <c r="AC99" s="5"/>
      <c r="AD99" s="5"/>
      <c r="AE99" s="5"/>
      <c r="AF99" s="5"/>
      <c r="AG99" s="14"/>
      <c r="AH99" s="14"/>
      <c r="AI99" s="14"/>
      <c r="AJ99" s="14"/>
      <c r="AK99" s="14"/>
      <c r="AL99" s="14"/>
      <c r="AM99" s="14"/>
      <c r="AN99" s="14"/>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c r="A100" s="5" t="str">
        <f>IFERROR(__xludf.DUMMYFUNCTION("""COMPUTED_VALUE"""),"Nagao")</f>
        <v>Nagao</v>
      </c>
      <c r="B100" s="5" t="str">
        <f>IFERROR(__xludf.DUMMYFUNCTION("""COMPUTED_VALUE"""),"DH")</f>
        <v>DH</v>
      </c>
      <c r="C100" s="5" t="str">
        <f>IFERROR(__xludf.DUMMYFUNCTION("""COMPUTED_VALUE"""),"FoxBG")</f>
        <v>FoxBG</v>
      </c>
      <c r="D100" s="5" t="str">
        <f>IFERROR(__xludf.DUMMYFUNCTION("""COMPUTED_VALUE"""),"StarRiver Arts")</f>
        <v>StarRiver Arts</v>
      </c>
      <c r="E100" s="5">
        <f>IFERROR(__xludf.DUMMYFUNCTION("""COMPUTED_VALUE"""),0.0034108796296296296)</f>
        <v>0.00341087963</v>
      </c>
      <c r="F100" s="5" t="str">
        <f>IFERROR(__xludf.DUMMYFUNCTION("""COMPUTED_VALUE"""),"Karin 96")</f>
        <v>Karin 96</v>
      </c>
      <c r="G100" s="5" t="str">
        <f>IFERROR(__xludf.DUMMYFUNCTION("""COMPUTED_VALUE"""),"PC")</f>
        <v>PC</v>
      </c>
      <c r="H100" s="5" t="str">
        <f>IFERROR(__xludf.DUMMYFUNCTION("""COMPUTED_VALUE"""),"CVS")</f>
        <v>CVS</v>
      </c>
      <c r="I100" s="14"/>
      <c r="J100" s="14"/>
      <c r="K100" s="14"/>
      <c r="L100" s="14"/>
      <c r="M100" s="48"/>
      <c r="N100" s="14"/>
      <c r="O100" s="14"/>
      <c r="P100" s="14"/>
      <c r="Q100" s="5"/>
      <c r="R100" s="5"/>
      <c r="S100" s="5"/>
      <c r="T100" s="5"/>
      <c r="U100" s="5"/>
      <c r="V100" s="5"/>
      <c r="W100" s="5"/>
      <c r="X100" s="5"/>
      <c r="Y100" s="5"/>
      <c r="Z100" s="5"/>
      <c r="AA100" s="5"/>
      <c r="AB100" s="5"/>
      <c r="AC100" s="5"/>
      <c r="AD100" s="5"/>
      <c r="AE100" s="5"/>
      <c r="AF100" s="5"/>
      <c r="AG100" s="14"/>
      <c r="AH100" s="14"/>
      <c r="AI100" s="14"/>
      <c r="AJ100" s="14"/>
      <c r="AK100" s="14"/>
      <c r="AL100" s="14"/>
      <c r="AM100" s="14"/>
      <c r="AN100" s="14"/>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c r="A101" s="5"/>
      <c r="B101" s="5"/>
      <c r="C101" s="5"/>
      <c r="D101" s="5"/>
      <c r="E101" s="5"/>
      <c r="F101" s="5"/>
      <c r="G101" s="5"/>
      <c r="H101" s="5"/>
      <c r="I101" s="14"/>
      <c r="J101" s="14"/>
      <c r="K101" s="14"/>
      <c r="L101" s="14"/>
      <c r="M101" s="14"/>
      <c r="N101" s="14"/>
      <c r="O101" s="14"/>
      <c r="P101" s="14"/>
      <c r="Q101" s="5"/>
      <c r="R101" s="5"/>
      <c r="S101" s="5"/>
      <c r="T101" s="5"/>
      <c r="U101" s="5"/>
      <c r="V101" s="5"/>
      <c r="W101" s="5"/>
      <c r="X101" s="5"/>
      <c r="Y101" s="5"/>
      <c r="Z101" s="5"/>
      <c r="AA101" s="5"/>
      <c r="AB101" s="5"/>
      <c r="AC101" s="5"/>
      <c r="AD101" s="5"/>
      <c r="AE101" s="5"/>
      <c r="AF101" s="5"/>
      <c r="AG101" s="14"/>
      <c r="AH101" s="14"/>
      <c r="AI101" s="14"/>
      <c r="AJ101" s="14"/>
      <c r="AK101" s="14"/>
      <c r="AL101" s="14"/>
      <c r="AM101" s="14"/>
      <c r="AN101" s="14"/>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c r="A102" s="5"/>
      <c r="B102" s="5"/>
      <c r="C102" s="5"/>
      <c r="D102" s="5"/>
      <c r="E102" s="5"/>
      <c r="F102" s="5"/>
      <c r="G102" s="5"/>
      <c r="H102" s="5"/>
      <c r="I102" s="71" t="s">
        <v>175</v>
      </c>
      <c r="Q102" s="5"/>
      <c r="R102" s="5"/>
      <c r="S102" s="5"/>
      <c r="T102" s="5"/>
      <c r="U102" s="5"/>
      <c r="V102" s="5"/>
      <c r="W102" s="5"/>
      <c r="X102" s="5"/>
      <c r="Y102" s="5"/>
      <c r="Z102" s="5"/>
      <c r="AA102" s="5"/>
      <c r="AB102" s="5"/>
      <c r="AC102" s="5"/>
      <c r="AD102" s="5"/>
      <c r="AE102" s="5"/>
      <c r="AF102" s="5"/>
      <c r="AG102" s="14"/>
      <c r="AH102" s="14"/>
      <c r="AI102" s="14"/>
      <c r="AJ102" s="14"/>
      <c r="AK102" s="14"/>
      <c r="AL102" s="14"/>
      <c r="AM102" s="14"/>
      <c r="AN102" s="14"/>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c r="A103" s="67" t="s">
        <v>176</v>
      </c>
      <c r="I103" s="14" t="str">
        <f>IFERROR(__xludf.DUMMYFUNCTION("LET(
  車輛, I102,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03" s="14" t="str">
        <f>IFERROR(__xludf.DUMMYFUNCTION("""COMPUTED_VALUE"""),"路線")</f>
        <v>路線</v>
      </c>
      <c r="K103" s="14" t="str">
        <f>IFERROR(__xludf.DUMMYFUNCTION("""COMPUTED_VALUE"""),"作者")</f>
        <v>作者</v>
      </c>
      <c r="L103" s="14" t="str">
        <f>IFERROR(__xludf.DUMMYFUNCTION("""COMPUTED_VALUE"""),"玩家")</f>
        <v>玩家</v>
      </c>
      <c r="M103" s="14" t="str">
        <f>IFERROR(__xludf.DUMMYFUNCTION("""COMPUTED_VALUE"""),"時間")</f>
        <v>時間</v>
      </c>
      <c r="N103" s="14" t="str">
        <f>IFERROR(__xludf.DUMMYFUNCTION("""COMPUTED_VALUE"""),"車輛")</f>
        <v>車輛</v>
      </c>
      <c r="O103" s="14" t="str">
        <f>IFERROR(__xludf.DUMMYFUNCTION("""COMPUTED_VALUE"""),"平台")</f>
        <v>平台</v>
      </c>
      <c r="P103" s="14" t="str">
        <f>IFERROR(__xludf.DUMMYFUNCTION("""COMPUTED_VALUE"""),"系統")</f>
        <v>系統</v>
      </c>
      <c r="Q103" s="67" t="s">
        <v>177</v>
      </c>
      <c r="Y103" s="67" t="s">
        <v>178</v>
      </c>
      <c r="AG103" s="14"/>
      <c r="AH103" s="14"/>
      <c r="AI103" s="14"/>
      <c r="AJ103" s="14"/>
      <c r="AK103" s="14"/>
      <c r="AL103" s="14"/>
      <c r="AM103" s="14"/>
      <c r="AN103" s="14"/>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c r="A104" s="5" t="str">
        <f>IFERROR(__xludf.DUMMYFUNCTION("LET(
  車輛, A103,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04" s="5" t="str">
        <f>IFERROR(__xludf.DUMMYFUNCTION("""COMPUTED_VALUE"""),"路線")</f>
        <v>路線</v>
      </c>
      <c r="C104" s="5" t="str">
        <f>IFERROR(__xludf.DUMMYFUNCTION("""COMPUTED_VALUE"""),"作者")</f>
        <v>作者</v>
      </c>
      <c r="D104" s="5" t="str">
        <f>IFERROR(__xludf.DUMMYFUNCTION("""COMPUTED_VALUE"""),"玩家")</f>
        <v>玩家</v>
      </c>
      <c r="E104" s="5" t="str">
        <f>IFERROR(__xludf.DUMMYFUNCTION("""COMPUTED_VALUE"""),"時間")</f>
        <v>時間</v>
      </c>
      <c r="F104" s="5" t="str">
        <f>IFERROR(__xludf.DUMMYFUNCTION("""COMPUTED_VALUE"""),"車輛")</f>
        <v>車輛</v>
      </c>
      <c r="G104" s="5" t="str">
        <f>IFERROR(__xludf.DUMMYFUNCTION("""COMPUTED_VALUE"""),"平台")</f>
        <v>平台</v>
      </c>
      <c r="H104" s="5" t="str">
        <f>IFERROR(__xludf.DUMMYFUNCTION("""COMPUTED_VALUE"""),"系統")</f>
        <v>系統</v>
      </c>
      <c r="I104" s="14" t="str">
        <f>IFERROR(__xludf.DUMMYFUNCTION("""COMPUTED_VALUE"""),"Myogi(CC)")</f>
        <v>Myogi(CC)</v>
      </c>
      <c r="J104" s="14" t="str">
        <f>IFERROR(__xludf.DUMMYFUNCTION("""COMPUTED_VALUE"""),"CW")</f>
        <v>CW</v>
      </c>
      <c r="K104" s="14" t="str">
        <f>IFERROR(__xludf.DUMMYFUNCTION("""COMPUTED_VALUE"""),"Jintei")</f>
        <v>Jintei</v>
      </c>
      <c r="L104" s="14" t="str">
        <f>IFERROR(__xludf.DUMMYFUNCTION("""COMPUTED_VALUE"""),"StarRiver Arts")</f>
        <v>StarRiver Arts</v>
      </c>
      <c r="M104" s="48">
        <f>IFERROR(__xludf.DUMMYFUNCTION("""COMPUTED_VALUE"""),0.0022710300925925927)</f>
        <v>0.002271030093</v>
      </c>
      <c r="N104" s="14" t="str">
        <f>IFERROR(__xludf.DUMMYFUNCTION("""COMPUTED_VALUE"""),"S13")</f>
        <v>S13</v>
      </c>
      <c r="O104" s="14" t="str">
        <f>IFERROR(__xludf.DUMMYFUNCTION("""COMPUTED_VALUE"""),"PC")</f>
        <v>PC</v>
      </c>
      <c r="P104" s="14" t="str">
        <f>IFERROR(__xludf.DUMMYFUNCTION("""COMPUTED_VALUE"""),"Sacc")</f>
        <v>Sacc</v>
      </c>
      <c r="Q104" s="5" t="str">
        <f>IFERROR(__xludf.DUMMYFUNCTION("LET(
  車輛, Q103,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R104" s="5" t="str">
        <f>IFERROR(__xludf.DUMMYFUNCTION("""COMPUTED_VALUE"""),"路線")</f>
        <v>路線</v>
      </c>
      <c r="S104" s="5" t="str">
        <f>IFERROR(__xludf.DUMMYFUNCTION("""COMPUTED_VALUE"""),"作者")</f>
        <v>作者</v>
      </c>
      <c r="T104" s="5" t="str">
        <f>IFERROR(__xludf.DUMMYFUNCTION("""COMPUTED_VALUE"""),"玩家")</f>
        <v>玩家</v>
      </c>
      <c r="U104" s="5" t="str">
        <f>IFERROR(__xludf.DUMMYFUNCTION("""COMPUTED_VALUE"""),"時間")</f>
        <v>時間</v>
      </c>
      <c r="V104" s="5" t="str">
        <f>IFERROR(__xludf.DUMMYFUNCTION("""COMPUTED_VALUE"""),"車輛")</f>
        <v>車輛</v>
      </c>
      <c r="W104" s="5" t="str">
        <f>IFERROR(__xludf.DUMMYFUNCTION("""COMPUTED_VALUE"""),"平台")</f>
        <v>平台</v>
      </c>
      <c r="X104" s="5" t="str">
        <f>IFERROR(__xludf.DUMMYFUNCTION("""COMPUTED_VALUE"""),"系統")</f>
        <v>系統</v>
      </c>
      <c r="Y104" s="5" t="str">
        <f>IFERROR(__xludf.DUMMYFUNCTION("LET(
  車輛, Y103,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Z104" s="5" t="str">
        <f>IFERROR(__xludf.DUMMYFUNCTION("""COMPUTED_VALUE"""),"路線")</f>
        <v>路線</v>
      </c>
      <c r="AA104" s="5" t="str">
        <f>IFERROR(__xludf.DUMMYFUNCTION("""COMPUTED_VALUE"""),"作者")</f>
        <v>作者</v>
      </c>
      <c r="AB104" s="5" t="str">
        <f>IFERROR(__xludf.DUMMYFUNCTION("""COMPUTED_VALUE"""),"玩家")</f>
        <v>玩家</v>
      </c>
      <c r="AC104" s="5" t="str">
        <f>IFERROR(__xludf.DUMMYFUNCTION("""COMPUTED_VALUE"""),"時間")</f>
        <v>時間</v>
      </c>
      <c r="AD104" s="5" t="str">
        <f>IFERROR(__xludf.DUMMYFUNCTION("""COMPUTED_VALUE"""),"車輛")</f>
        <v>車輛</v>
      </c>
      <c r="AE104" s="5" t="str">
        <f>IFERROR(__xludf.DUMMYFUNCTION("""COMPUTED_VALUE"""),"平台")</f>
        <v>平台</v>
      </c>
      <c r="AF104" s="5" t="str">
        <f>IFERROR(__xludf.DUMMYFUNCTION("""COMPUTED_VALUE"""),"系統")</f>
        <v>系統</v>
      </c>
      <c r="AG104" s="14"/>
      <c r="AH104" s="14"/>
      <c r="AI104" s="14"/>
      <c r="AJ104" s="14"/>
      <c r="AK104" s="14"/>
      <c r="AL104" s="14"/>
      <c r="AM104" s="14"/>
      <c r="AN104" s="14"/>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c r="A105" s="5" t="str">
        <f>IFERROR(__xludf.DUMMYFUNCTION("""COMPUTED_VALUE"""),"AkinaUN")</f>
        <v>AkinaUN</v>
      </c>
      <c r="B105" s="5" t="str">
        <f>IFERROR(__xludf.DUMMYFUNCTION("""COMPUTED_VALUE"""),"DH")</f>
        <v>DH</v>
      </c>
      <c r="C105" s="5" t="str">
        <f>IFERROR(__xludf.DUMMYFUNCTION("""COMPUTED_VALUE"""),"Jintei")</f>
        <v>Jintei</v>
      </c>
      <c r="D105" s="5" t="str">
        <f>IFERROR(__xludf.DUMMYFUNCTION("""COMPUTED_VALUE"""),"ikuhopen")</f>
        <v>ikuhopen</v>
      </c>
      <c r="E105" s="5">
        <f>IFERROR(__xludf.DUMMYFUNCTION("""COMPUTED_VALUE"""),0.0025631944444444448)</f>
        <v>0.002563194444</v>
      </c>
      <c r="F105" s="5" t="str">
        <f>IFERROR(__xludf.DUMMYFUNCTION("""COMPUTED_VALUE"""),"GT86/ZN6")</f>
        <v>GT86/ZN6</v>
      </c>
      <c r="G105" s="5" t="str">
        <f>IFERROR(__xludf.DUMMYFUNCTION("""COMPUTED_VALUE"""),"PCVR")</f>
        <v>PCVR</v>
      </c>
      <c r="H105" s="5" t="str">
        <f>IFERROR(__xludf.DUMMYFUNCTION("""COMPUTED_VALUE"""),"Sacc")</f>
        <v>Sacc</v>
      </c>
      <c r="I105" s="14" t="str">
        <f>IFERROR(__xludf.DUMMYFUNCTION("""COMPUTED_VALUE"""),"Akina")</f>
        <v>Akina</v>
      </c>
      <c r="J105" s="14" t="str">
        <f>IFERROR(__xludf.DUMMYFUNCTION("""COMPUTED_VALUE"""),"UH")</f>
        <v>UH</v>
      </c>
      <c r="K105" s="14" t="str">
        <f>IFERROR(__xludf.DUMMYFUNCTION("""COMPUTED_VALUE"""),"Jintei")</f>
        <v>Jintei</v>
      </c>
      <c r="L105" s="14" t="str">
        <f>IFERROR(__xludf.DUMMYFUNCTION("""COMPUTED_VALUE"""),"StarRiver Arts")</f>
        <v>StarRiver Arts</v>
      </c>
      <c r="M105" s="48">
        <f>IFERROR(__xludf.DUMMYFUNCTION("""COMPUTED_VALUE"""),0.003138506944444444)</f>
        <v>0.003138506944</v>
      </c>
      <c r="N105" s="14" t="str">
        <f>IFERROR(__xludf.DUMMYFUNCTION("""COMPUTED_VALUE"""),"S13")</f>
        <v>S13</v>
      </c>
      <c r="O105" s="14" t="str">
        <f>IFERROR(__xludf.DUMMYFUNCTION("""COMPUTED_VALUE"""),"PC")</f>
        <v>PC</v>
      </c>
      <c r="P105" s="14" t="str">
        <f>IFERROR(__xludf.DUMMYFUNCTION("""COMPUTED_VALUE"""),"Sacc")</f>
        <v>Sacc</v>
      </c>
      <c r="Q105" s="5" t="str">
        <f>IFERROR(__xludf.DUMMYFUNCTION("""COMPUTED_VALUE"""),"Akina")</f>
        <v>Akina</v>
      </c>
      <c r="R105" s="5" t="str">
        <f>IFERROR(__xludf.DUMMYFUNCTION("""COMPUTED_VALUE"""),"DH")</f>
        <v>DH</v>
      </c>
      <c r="S105" s="5" t="str">
        <f>IFERROR(__xludf.DUMMYFUNCTION("""COMPUTED_VALUE"""),"Jintei")</f>
        <v>Jintei</v>
      </c>
      <c r="T105" s="5" t="str">
        <f>IFERROR(__xludf.DUMMYFUNCTION("""COMPUTED_VALUE"""),"菲娜 希琉絲")</f>
        <v>菲娜 希琉絲</v>
      </c>
      <c r="U105" s="5">
        <f>IFERROR(__xludf.DUMMYFUNCTION("""COMPUTED_VALUE"""),0.0025018402777777777)</f>
        <v>0.002501840278</v>
      </c>
      <c r="V105" s="5" t="str">
        <f>IFERROR(__xludf.DUMMYFUNCTION("""COMPUTED_VALUE"""),"GC8-F (Impreza)")</f>
        <v>GC8-F (Impreza)</v>
      </c>
      <c r="W105" s="5" t="str">
        <f>IFERROR(__xludf.DUMMYFUNCTION("""COMPUTED_VALUE"""),"PCVR")</f>
        <v>PCVR</v>
      </c>
      <c r="X105" s="5" t="str">
        <f>IFERROR(__xludf.DUMMYFUNCTION("""COMPUTED_VALUE"""),"Sacc")</f>
        <v>Sacc</v>
      </c>
      <c r="Y105" s="5" t="str">
        <f>IFERROR(__xludf.DUMMYFUNCTION("""COMPUTED_VALUE"""),"Tsukuba")</f>
        <v>Tsukuba</v>
      </c>
      <c r="Z105" s="5" t="str">
        <f>IFERROR(__xludf.DUMMYFUNCTION("""COMPUTED_VALUE"""),"Double")</f>
        <v>Double</v>
      </c>
      <c r="AA105" s="5" t="str">
        <f>IFERROR(__xludf.DUMMYFUNCTION("""COMPUTED_VALUE"""),"Jintei")</f>
        <v>Jintei</v>
      </c>
      <c r="AB105" s="5" t="str">
        <f>IFERROR(__xludf.DUMMYFUNCTION("""COMPUTED_VALUE"""),"LinWu_05")</f>
        <v>LinWu_05</v>
      </c>
      <c r="AC105" s="5">
        <f>IFERROR(__xludf.DUMMYFUNCTION("""COMPUTED_VALUE"""),0.002672650462962963)</f>
        <v>0.002672650463</v>
      </c>
      <c r="AD105" s="5" t="str">
        <f>IFERROR(__xludf.DUMMYFUNCTION("""COMPUTED_VALUE"""),"R35T")</f>
        <v>R35T</v>
      </c>
      <c r="AE105" s="5" t="str">
        <f>IFERROR(__xludf.DUMMYFUNCTION("""COMPUTED_VALUE"""),"PC")</f>
        <v>PC</v>
      </c>
      <c r="AF105" s="5" t="str">
        <f>IFERROR(__xludf.DUMMYFUNCTION("""COMPUTED_VALUE"""),"Sacc")</f>
        <v>Sacc</v>
      </c>
      <c r="AG105" s="14"/>
      <c r="AH105" s="14"/>
      <c r="AI105" s="14"/>
      <c r="AJ105" s="14"/>
      <c r="AK105" s="14"/>
      <c r="AL105" s="14"/>
      <c r="AM105" s="14"/>
      <c r="AN105" s="14"/>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c r="A106" s="5" t="str">
        <f>IFERROR(__xludf.DUMMYFUNCTION("""COMPUTED_VALUE"""),"Odawara")</f>
        <v>Odawara</v>
      </c>
      <c r="B106" s="5" t="str">
        <f>IFERROR(__xludf.DUMMYFUNCTION("""COMPUTED_VALUE"""),"CW")</f>
        <v>CW</v>
      </c>
      <c r="C106" s="5" t="str">
        <f>IFERROR(__xludf.DUMMYFUNCTION("""COMPUTED_VALUE"""),"Jintei")</f>
        <v>Jintei</v>
      </c>
      <c r="D106" s="5" t="str">
        <f>IFERROR(__xludf.DUMMYFUNCTION("""COMPUTED_VALUE"""),"Lolidia")</f>
        <v>Lolidia</v>
      </c>
      <c r="E106" s="5">
        <f>IFERROR(__xludf.DUMMYFUNCTION("""COMPUTED_VALUE"""),0.0026722569444444445)</f>
        <v>0.002672256944</v>
      </c>
      <c r="F106" s="5" t="str">
        <f>IFERROR(__xludf.DUMMYFUNCTION("""COMPUTED_VALUE"""),"GT86/ZN6")</f>
        <v>GT86/ZN6</v>
      </c>
      <c r="G106" s="5" t="str">
        <f>IFERROR(__xludf.DUMMYFUNCTION("""COMPUTED_VALUE"""),"PCVR")</f>
        <v>PCVR</v>
      </c>
      <c r="H106" s="5" t="str">
        <f>IFERROR(__xludf.DUMMYFUNCTION("""COMPUTED_VALUE"""),"Sacc")</f>
        <v>Sacc</v>
      </c>
      <c r="I106" s="14" t="str">
        <f>IFERROR(__xludf.DUMMYFUNCTION("""COMPUTED_VALUE"""),"Myogi(CC)")</f>
        <v>Myogi(CC)</v>
      </c>
      <c r="J106" s="14" t="str">
        <f>IFERROR(__xludf.DUMMYFUNCTION("""COMPUTED_VALUE"""),"CC")</f>
        <v>CC</v>
      </c>
      <c r="K106" s="14" t="str">
        <f>IFERROR(__xludf.DUMMYFUNCTION("""COMPUTED_VALUE"""),"Jintei")</f>
        <v>Jintei</v>
      </c>
      <c r="L106" s="14" t="str">
        <f>IFERROR(__xludf.DUMMYFUNCTION("""COMPUTED_VALUE"""),"Redfrogss")</f>
        <v>Redfrogss</v>
      </c>
      <c r="M106" s="48">
        <f>IFERROR(__xludf.DUMMYFUNCTION("""COMPUTED_VALUE"""),0.0022780555555555557)</f>
        <v>0.002278055556</v>
      </c>
      <c r="N106" s="14" t="str">
        <f>IFERROR(__xludf.DUMMYFUNCTION("""COMPUTED_VALUE"""),"S13")</f>
        <v>S13</v>
      </c>
      <c r="O106" s="14" t="str">
        <f>IFERROR(__xludf.DUMMYFUNCTION("""COMPUTED_VALUE"""),"PCVR")</f>
        <v>PCVR</v>
      </c>
      <c r="P106" s="14" t="str">
        <f>IFERROR(__xludf.DUMMYFUNCTION("""COMPUTED_VALUE"""),"Sacc")</f>
        <v>Sacc</v>
      </c>
      <c r="Q106" s="5" t="str">
        <f>IFERROR(__xludf.DUMMYFUNCTION("""COMPUTED_VALUE"""),"Akina Snow")</f>
        <v>Akina Snow</v>
      </c>
      <c r="R106" s="5" t="str">
        <f>IFERROR(__xludf.DUMMYFUNCTION("""COMPUTED_VALUE"""),"DH")</f>
        <v>DH</v>
      </c>
      <c r="S106" s="5" t="str">
        <f>IFERROR(__xludf.DUMMYFUNCTION("""COMPUTED_VALUE"""),"Jintei")</f>
        <v>Jintei</v>
      </c>
      <c r="T106" s="5" t="str">
        <f>IFERROR(__xludf.DUMMYFUNCTION("""COMPUTED_VALUE"""),"StarRiver Arts")</f>
        <v>StarRiver Arts</v>
      </c>
      <c r="U106" s="5">
        <f>IFERROR(__xludf.DUMMYFUNCTION("""COMPUTED_VALUE"""),0.0028599537037037035)</f>
        <v>0.002859953704</v>
      </c>
      <c r="V106" s="5" t="str">
        <f>IFERROR(__xludf.DUMMYFUNCTION("""COMPUTED_VALUE"""),"GC8-F (Impreza)")</f>
        <v>GC8-F (Impreza)</v>
      </c>
      <c r="W106" s="5" t="str">
        <f>IFERROR(__xludf.DUMMYFUNCTION("""COMPUTED_VALUE"""),"PC")</f>
        <v>PC</v>
      </c>
      <c r="X106" s="5" t="str">
        <f>IFERROR(__xludf.DUMMYFUNCTION("""COMPUTED_VALUE"""),"Sacc")</f>
        <v>Sacc</v>
      </c>
      <c r="Y106" s="5" t="str">
        <f>IFERROR(__xludf.DUMMYFUNCTION("""COMPUTED_VALUE"""),"Tsukuba")</f>
        <v>Tsukuba</v>
      </c>
      <c r="Z106" s="5" t="str">
        <f>IFERROR(__xludf.DUMMYFUNCTION("""COMPUTED_VALUE"""),"DH")</f>
        <v>DH</v>
      </c>
      <c r="AA106" s="5" t="str">
        <f>IFERROR(__xludf.DUMMYFUNCTION("""COMPUTED_VALUE"""),"Jintei")</f>
        <v>Jintei</v>
      </c>
      <c r="AB106" s="5" t="str">
        <f>IFERROR(__xludf.DUMMYFUNCTION("""COMPUTED_VALUE"""),"Test Driver")</f>
        <v>Test Driver</v>
      </c>
      <c r="AC106" s="5">
        <f>IFERROR(__xludf.DUMMYFUNCTION("""COMPUTED_VALUE"""),0.006944444444444444)</f>
        <v>0.006944444444</v>
      </c>
      <c r="AD106" s="5" t="str">
        <f>IFERROR(__xludf.DUMMYFUNCTION("""COMPUTED_VALUE"""),"R35T")</f>
        <v>R35T</v>
      </c>
      <c r="AE106" s="5"/>
      <c r="AF106" s="5" t="str">
        <f>IFERROR(__xludf.DUMMYFUNCTION("""COMPUTED_VALUE"""),"Sacc")</f>
        <v>Sacc</v>
      </c>
      <c r="AG106" s="14"/>
      <c r="AH106" s="14"/>
      <c r="AI106" s="14"/>
      <c r="AJ106" s="14"/>
      <c r="AK106" s="14"/>
      <c r="AL106" s="14"/>
      <c r="AM106" s="14"/>
      <c r="AN106" s="14"/>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c r="A107" s="5" t="str">
        <f>IFERROR(__xludf.DUMMYFUNCTION("""COMPUTED_VALUE"""),"Akina")</f>
        <v>Akina</v>
      </c>
      <c r="B107" s="5" t="str">
        <f>IFERROR(__xludf.DUMMYFUNCTION("""COMPUTED_VALUE"""),"UH")</f>
        <v>UH</v>
      </c>
      <c r="C107" s="5" t="str">
        <f>IFERROR(__xludf.DUMMYFUNCTION("""COMPUTED_VALUE"""),"Jintei")</f>
        <v>Jintei</v>
      </c>
      <c r="D107" s="5" t="str">
        <f>IFERROR(__xludf.DUMMYFUNCTION("""COMPUTED_VALUE"""),"ZihChin")</f>
        <v>ZihChin</v>
      </c>
      <c r="E107" s="5">
        <f>IFERROR(__xludf.DUMMYFUNCTION("""COMPUTED_VALUE"""),0.0027186689814814816)</f>
        <v>0.002718668981</v>
      </c>
      <c r="F107" s="5" t="str">
        <f>IFERROR(__xludf.DUMMYFUNCTION("""COMPUTED_VALUE"""),"GT86/ZN6")</f>
        <v>GT86/ZN6</v>
      </c>
      <c r="G107" s="5" t="str">
        <f>IFERROR(__xludf.DUMMYFUNCTION("""COMPUTED_VALUE"""),"PC")</f>
        <v>PC</v>
      </c>
      <c r="H107" s="5" t="str">
        <f>IFERROR(__xludf.DUMMYFUNCTION("""COMPUTED_VALUE"""),"Sacc")</f>
        <v>Sacc</v>
      </c>
      <c r="I107" s="14" t="str">
        <f>IFERROR(__xludf.DUMMYFUNCTION("""COMPUTED_VALUE"""),"Akina")</f>
        <v>Akina</v>
      </c>
      <c r="J107" s="14" t="str">
        <f>IFERROR(__xludf.DUMMYFUNCTION("""COMPUTED_VALUE"""),"DH")</f>
        <v>DH</v>
      </c>
      <c r="K107" s="14" t="str">
        <f>IFERROR(__xludf.DUMMYFUNCTION("""COMPUTED_VALUE"""),"Jintei ")</f>
        <v>Jintei </v>
      </c>
      <c r="L107" s="14" t="str">
        <f>IFERROR(__xludf.DUMMYFUNCTION("""COMPUTED_VALUE"""),"StarRiver Arts")</f>
        <v>StarRiver Arts</v>
      </c>
      <c r="M107" s="48">
        <f>IFERROR(__xludf.DUMMYFUNCTION("""COMPUTED_VALUE"""),0.0028387384259259255)</f>
        <v>0.002838738426</v>
      </c>
      <c r="N107" s="14" t="str">
        <f>IFERROR(__xludf.DUMMYFUNCTION("""COMPUTED_VALUE"""),"S13")</f>
        <v>S13</v>
      </c>
      <c r="O107" s="14" t="str">
        <f>IFERROR(__xludf.DUMMYFUNCTION("""COMPUTED_VALUE"""),"PC")</f>
        <v>PC</v>
      </c>
      <c r="P107" s="14" t="str">
        <f>IFERROR(__xludf.DUMMYFUNCTION("""COMPUTED_VALUE"""),"Sacc")</f>
        <v>Sacc</v>
      </c>
      <c r="Q107" s="5" t="str">
        <f>IFERROR(__xludf.DUMMYFUNCTION("""COMPUTED_VALUE"""),"Irohazaka")</f>
        <v>Irohazaka</v>
      </c>
      <c r="R107" s="5" t="str">
        <f>IFERROR(__xludf.DUMMYFUNCTION("""COMPUTED_VALUE"""),"DH")</f>
        <v>DH</v>
      </c>
      <c r="S107" s="5" t="str">
        <f>IFERROR(__xludf.DUMMYFUNCTION("""COMPUTED_VALUE"""),"Jintei ")</f>
        <v>Jintei </v>
      </c>
      <c r="T107" s="5" t="str">
        <f>IFERROR(__xludf.DUMMYFUNCTION("""COMPUTED_VALUE"""),"StarRiver Arts")</f>
        <v>StarRiver Arts</v>
      </c>
      <c r="U107" s="5">
        <f>IFERROR(__xludf.DUMMYFUNCTION("""COMPUTED_VALUE"""),0.0025451273148148147)</f>
        <v>0.002545127315</v>
      </c>
      <c r="V107" s="5" t="str">
        <f>IFERROR(__xludf.DUMMYFUNCTION("""COMPUTED_VALUE"""),"GC8-F (Impreza)")</f>
        <v>GC8-F (Impreza)</v>
      </c>
      <c r="W107" s="5" t="str">
        <f>IFERROR(__xludf.DUMMYFUNCTION("""COMPUTED_VALUE"""),"PC")</f>
        <v>PC</v>
      </c>
      <c r="X107" s="5" t="str">
        <f>IFERROR(__xludf.DUMMYFUNCTION("""COMPUTED_VALUE"""),"Sacc")</f>
        <v>Sacc</v>
      </c>
      <c r="Y107" s="5" t="str">
        <f>IFERROR(__xludf.DUMMYFUNCTION("""COMPUTED_VALUE"""),"Tsukuba")</f>
        <v>Tsukuba</v>
      </c>
      <c r="Z107" s="5" t="str">
        <f>IFERROR(__xludf.DUMMYFUNCTION("""COMPUTED_VALUE"""),"UH")</f>
        <v>UH</v>
      </c>
      <c r="AA107" s="5" t="str">
        <f>IFERROR(__xludf.DUMMYFUNCTION("""COMPUTED_VALUE"""),"Jintei")</f>
        <v>Jintei</v>
      </c>
      <c r="AB107" s="5" t="str">
        <f>IFERROR(__xludf.DUMMYFUNCTION("""COMPUTED_VALUE"""),"Test Driver")</f>
        <v>Test Driver</v>
      </c>
      <c r="AC107" s="5">
        <f>IFERROR(__xludf.DUMMYFUNCTION("""COMPUTED_VALUE"""),0.006944444444444444)</f>
        <v>0.006944444444</v>
      </c>
      <c r="AD107" s="5" t="str">
        <f>IFERROR(__xludf.DUMMYFUNCTION("""COMPUTED_VALUE"""),"R35T")</f>
        <v>R35T</v>
      </c>
      <c r="AE107" s="5"/>
      <c r="AF107" s="5" t="str">
        <f>IFERROR(__xludf.DUMMYFUNCTION("""COMPUTED_VALUE"""),"Sacc")</f>
        <v>Sacc</v>
      </c>
      <c r="AG107" s="14"/>
      <c r="AH107" s="14"/>
      <c r="AI107" s="14"/>
      <c r="AJ107" s="14"/>
      <c r="AK107" s="14"/>
      <c r="AL107" s="14"/>
      <c r="AM107" s="14"/>
      <c r="AN107" s="14"/>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c r="A108" s="5" t="str">
        <f>IFERROR(__xludf.DUMMYFUNCTION("""COMPUTED_VALUE"""),"Akina")</f>
        <v>Akina</v>
      </c>
      <c r="B108" s="5" t="str">
        <f>IFERROR(__xludf.DUMMYFUNCTION("""COMPUTED_VALUE"""),"DH")</f>
        <v>DH</v>
      </c>
      <c r="C108" s="5" t="str">
        <f>IFERROR(__xludf.DUMMYFUNCTION("""COMPUTED_VALUE"""),"Jintei")</f>
        <v>Jintei</v>
      </c>
      <c r="D108" s="5" t="str">
        <f>IFERROR(__xludf.DUMMYFUNCTION("""COMPUTED_VALUE"""),"アビドサスヒカリ")</f>
        <v>アビドサスヒカリ</v>
      </c>
      <c r="E108" s="5">
        <f>IFERROR(__xludf.DUMMYFUNCTION("""COMPUTED_VALUE"""),0.0027160995370370373)</f>
        <v>0.002716099537</v>
      </c>
      <c r="F108" s="5" t="str">
        <f>IFERROR(__xludf.DUMMYFUNCTION("""COMPUTED_VALUE"""),"GT86/ZN6")</f>
        <v>GT86/ZN6</v>
      </c>
      <c r="G108" s="5" t="str">
        <f>IFERROR(__xludf.DUMMYFUNCTION("""COMPUTED_VALUE"""),"PC")</f>
        <v>PC</v>
      </c>
      <c r="H108" s="5" t="str">
        <f>IFERROR(__xludf.DUMMYFUNCTION("""COMPUTED_VALUE"""),"Sacc")</f>
        <v>Sacc</v>
      </c>
      <c r="I108" s="14" t="str">
        <f>IFERROR(__xludf.DUMMYFUNCTION("""COMPUTED_VALUE"""),"Lake Akina")</f>
        <v>Lake Akina</v>
      </c>
      <c r="J108" s="14" t="str">
        <f>IFERROR(__xludf.DUMMYFUNCTION("""COMPUTED_VALUE"""),"CC")</f>
        <v>CC</v>
      </c>
      <c r="K108" s="14" t="str">
        <f>IFERROR(__xludf.DUMMYFUNCTION("""COMPUTED_VALUE"""),"Jintei")</f>
        <v>Jintei</v>
      </c>
      <c r="L108" s="14" t="str">
        <f>IFERROR(__xludf.DUMMYFUNCTION("""COMPUTED_VALUE"""),"Test Driver")</f>
        <v>Test Driver</v>
      </c>
      <c r="M108" s="48">
        <f>IFERROR(__xludf.DUMMYFUNCTION("""COMPUTED_VALUE"""),0.006944444444444444)</f>
        <v>0.006944444444</v>
      </c>
      <c r="N108" s="14" t="str">
        <f>IFERROR(__xludf.DUMMYFUNCTION("""COMPUTED_VALUE"""),"S13")</f>
        <v>S13</v>
      </c>
      <c r="O108" s="14"/>
      <c r="P108" s="14" t="str">
        <f>IFERROR(__xludf.DUMMYFUNCTION("""COMPUTED_VALUE"""),"Sacc")</f>
        <v>Sacc</v>
      </c>
      <c r="Q108" s="5" t="str">
        <f>IFERROR(__xludf.DUMMYFUNCTION("""COMPUTED_VALUE"""),"Lake Akina")</f>
        <v>Lake Akina</v>
      </c>
      <c r="R108" s="5" t="str">
        <f>IFERROR(__xludf.DUMMYFUNCTION("""COMPUTED_VALUE"""),"CW")</f>
        <v>CW</v>
      </c>
      <c r="S108" s="5" t="str">
        <f>IFERROR(__xludf.DUMMYFUNCTION("""COMPUTED_VALUE"""),"Jintei")</f>
        <v>Jintei</v>
      </c>
      <c r="T108" s="5" t="str">
        <f>IFERROR(__xludf.DUMMYFUNCTION("""COMPUTED_VALUE"""),"Kinokono_Tenka")</f>
        <v>Kinokono_Tenka</v>
      </c>
      <c r="U108" s="5">
        <f>IFERROR(__xludf.DUMMYFUNCTION("""COMPUTED_VALUE"""),0.0023247800925925923)</f>
        <v>0.002324780093</v>
      </c>
      <c r="V108" s="5" t="str">
        <f>IFERROR(__xludf.DUMMYFUNCTION("""COMPUTED_VALUE"""),"GC8-F (Impreza)")</f>
        <v>GC8-F (Impreza)</v>
      </c>
      <c r="W108" s="5" t="str">
        <f>IFERROR(__xludf.DUMMYFUNCTION("""COMPUTED_VALUE"""),"PCVR")</f>
        <v>PCVR</v>
      </c>
      <c r="X108" s="5" t="str">
        <f>IFERROR(__xludf.DUMMYFUNCTION("""COMPUTED_VALUE"""),"Sacc")</f>
        <v>Sacc</v>
      </c>
      <c r="Y108" s="5" t="str">
        <f>IFERROR(__xludf.DUMMYFUNCTION("""COMPUTED_VALUE"""),"Tsukuba")</f>
        <v>Tsukuba</v>
      </c>
      <c r="Z108" s="5" t="str">
        <f>IFERROR(__xludf.DUMMYFUNCTION("""COMPUTED_VALUE"""),"OB")</f>
        <v>OB</v>
      </c>
      <c r="AA108" s="5" t="str">
        <f>IFERROR(__xludf.DUMMYFUNCTION("""COMPUTED_VALUE"""),"Jintei")</f>
        <v>Jintei</v>
      </c>
      <c r="AB108" s="5" t="str">
        <f>IFERROR(__xludf.DUMMYFUNCTION("""COMPUTED_VALUE"""),"Test Driver")</f>
        <v>Test Driver</v>
      </c>
      <c r="AC108" s="5">
        <f>IFERROR(__xludf.DUMMYFUNCTION("""COMPUTED_VALUE"""),0.006944444444444444)</f>
        <v>0.006944444444</v>
      </c>
      <c r="AD108" s="5" t="str">
        <f>IFERROR(__xludf.DUMMYFUNCTION("""COMPUTED_VALUE"""),"R35T")</f>
        <v>R35T</v>
      </c>
      <c r="AE108" s="5"/>
      <c r="AF108" s="5" t="str">
        <f>IFERROR(__xludf.DUMMYFUNCTION("""COMPUTED_VALUE"""),"Sacc")</f>
        <v>Sacc</v>
      </c>
      <c r="AG108" s="14"/>
      <c r="AH108" s="14"/>
      <c r="AI108" s="14"/>
      <c r="AJ108" s="14"/>
      <c r="AK108" s="14"/>
      <c r="AL108" s="14"/>
      <c r="AM108" s="14"/>
      <c r="AN108" s="14"/>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c r="A109" s="5" t="str">
        <f>IFERROR(__xludf.DUMMYFUNCTION("""COMPUTED_VALUE"""),"Tsubaki")</f>
        <v>Tsubaki</v>
      </c>
      <c r="B109" s="5" t="str">
        <f>IFERROR(__xludf.DUMMYFUNCTION("""COMPUTED_VALUE"""),"UH")</f>
        <v>UH</v>
      </c>
      <c r="C109" s="5" t="str">
        <f>IFERROR(__xludf.DUMMYFUNCTION("""COMPUTED_VALUE"""),"Jintei")</f>
        <v>Jintei</v>
      </c>
      <c r="D109" s="5" t="str">
        <f>IFERROR(__xludf.DUMMYFUNCTION("""COMPUTED_VALUE"""),"StarRiver Arts")</f>
        <v>StarRiver Arts</v>
      </c>
      <c r="E109" s="5">
        <f>IFERROR(__xludf.DUMMYFUNCTION("""COMPUTED_VALUE"""),0.003169178240740741)</f>
        <v>0.003169178241</v>
      </c>
      <c r="F109" s="5" t="str">
        <f>IFERROR(__xludf.DUMMYFUNCTION("""COMPUTED_VALUE"""),"GT86/ZN6")</f>
        <v>GT86/ZN6</v>
      </c>
      <c r="G109" s="5" t="str">
        <f>IFERROR(__xludf.DUMMYFUNCTION("""COMPUTED_VALUE"""),"PC")</f>
        <v>PC</v>
      </c>
      <c r="H109" s="5" t="str">
        <f>IFERROR(__xludf.DUMMYFUNCTION("""COMPUTED_VALUE"""),"Sacc")</f>
        <v>Sacc</v>
      </c>
      <c r="I109" s="14" t="str">
        <f>IFERROR(__xludf.DUMMYFUNCTION("""COMPUTED_VALUE"""),"Lake Akina")</f>
        <v>Lake Akina</v>
      </c>
      <c r="J109" s="14" t="str">
        <f>IFERROR(__xludf.DUMMYFUNCTION("""COMPUTED_VALUE"""),"CW")</f>
        <v>CW</v>
      </c>
      <c r="K109" s="14" t="str">
        <f>IFERROR(__xludf.DUMMYFUNCTION("""COMPUTED_VALUE"""),"Jintei")</f>
        <v>Jintei</v>
      </c>
      <c r="L109" s="14" t="str">
        <f>IFERROR(__xludf.DUMMYFUNCTION("""COMPUTED_VALUE"""),"Test Driver")</f>
        <v>Test Driver</v>
      </c>
      <c r="M109" s="48">
        <f>IFERROR(__xludf.DUMMYFUNCTION("""COMPUTED_VALUE"""),0.006944444444444444)</f>
        <v>0.006944444444</v>
      </c>
      <c r="N109" s="14" t="str">
        <f>IFERROR(__xludf.DUMMYFUNCTION("""COMPUTED_VALUE"""),"S13")</f>
        <v>S13</v>
      </c>
      <c r="O109" s="14"/>
      <c r="P109" s="14" t="str">
        <f>IFERROR(__xludf.DUMMYFUNCTION("""COMPUTED_VALUE"""),"Sacc")</f>
        <v>Sacc</v>
      </c>
      <c r="Q109" s="5" t="str">
        <f>IFERROR(__xludf.DUMMYFUNCTION("""COMPUTED_VALUE"""),"Lake Akina")</f>
        <v>Lake Akina</v>
      </c>
      <c r="R109" s="5" t="str">
        <f>IFERROR(__xludf.DUMMYFUNCTION("""COMPUTED_VALUE"""),"CC")</f>
        <v>CC</v>
      </c>
      <c r="S109" s="5" t="str">
        <f>IFERROR(__xludf.DUMMYFUNCTION("""COMPUTED_VALUE"""),"Jintei")</f>
        <v>Jintei</v>
      </c>
      <c r="T109" s="5" t="str">
        <f>IFERROR(__xludf.DUMMYFUNCTION("""COMPUTED_VALUE"""),"Kinokono_Tenka")</f>
        <v>Kinokono_Tenka</v>
      </c>
      <c r="U109" s="5">
        <f>IFERROR(__xludf.DUMMYFUNCTION("""COMPUTED_VALUE"""),0.0023247800925925923)</f>
        <v>0.002324780093</v>
      </c>
      <c r="V109" s="5" t="str">
        <f>IFERROR(__xludf.DUMMYFUNCTION("""COMPUTED_VALUE"""),"GC8-F (Impreza)")</f>
        <v>GC8-F (Impreza)</v>
      </c>
      <c r="W109" s="5" t="str">
        <f>IFERROR(__xludf.DUMMYFUNCTION("""COMPUTED_VALUE"""),"PCVR")</f>
        <v>PCVR</v>
      </c>
      <c r="X109" s="5" t="str">
        <f>IFERROR(__xludf.DUMMYFUNCTION("""COMPUTED_VALUE"""),"Sacc")</f>
        <v>Sacc</v>
      </c>
      <c r="Y109" s="5" t="str">
        <f>IFERROR(__xludf.DUMMYFUNCTION("""COMPUTED_VALUE"""),"Tsukuba")</f>
        <v>Tsukuba</v>
      </c>
      <c r="Z109" s="5" t="str">
        <f>IFERROR(__xludf.DUMMYFUNCTION("""COMPUTED_VALUE"""),"IB")</f>
        <v>IB</v>
      </c>
      <c r="AA109" s="5" t="str">
        <f>IFERROR(__xludf.DUMMYFUNCTION("""COMPUTED_VALUE"""),"Jintei")</f>
        <v>Jintei</v>
      </c>
      <c r="AB109" s="5" t="str">
        <f>IFERROR(__xludf.DUMMYFUNCTION("""COMPUTED_VALUE"""),"Test Driver")</f>
        <v>Test Driver</v>
      </c>
      <c r="AC109" s="5">
        <f>IFERROR(__xludf.DUMMYFUNCTION("""COMPUTED_VALUE"""),0.006944444444444444)</f>
        <v>0.006944444444</v>
      </c>
      <c r="AD109" s="5" t="str">
        <f>IFERROR(__xludf.DUMMYFUNCTION("""COMPUTED_VALUE"""),"R35T")</f>
        <v>R35T</v>
      </c>
      <c r="AE109" s="5"/>
      <c r="AF109" s="5" t="str">
        <f>IFERROR(__xludf.DUMMYFUNCTION("""COMPUTED_VALUE"""),"Sacc")</f>
        <v>Sacc</v>
      </c>
      <c r="AG109" s="14"/>
      <c r="AH109" s="14"/>
      <c r="AI109" s="14"/>
      <c r="AJ109" s="14"/>
      <c r="AK109" s="14"/>
      <c r="AL109" s="14"/>
      <c r="AM109" s="14"/>
      <c r="AN109" s="14"/>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c r="A110" s="5" t="str">
        <f>IFERROR(__xludf.DUMMYFUNCTION("""COMPUTED_VALUE"""),"Shomaru")</f>
        <v>Shomaru</v>
      </c>
      <c r="B110" s="5" t="str">
        <f>IFERROR(__xludf.DUMMYFUNCTION("""COMPUTED_VALUE"""),"OB")</f>
        <v>OB</v>
      </c>
      <c r="C110" s="5" t="str">
        <f>IFERROR(__xludf.DUMMYFUNCTION("""COMPUTED_VALUE"""),"Jintei")</f>
        <v>Jintei</v>
      </c>
      <c r="D110" s="5" t="str">
        <f>IFERROR(__xludf.DUMMYFUNCTION("""COMPUTED_VALUE"""),"アビドサスヒカリ")</f>
        <v>アビドサスヒカリ</v>
      </c>
      <c r="E110" s="5">
        <f>IFERROR(__xludf.DUMMYFUNCTION("""COMPUTED_VALUE"""),0.0026850462962962965)</f>
        <v>0.002685046296</v>
      </c>
      <c r="F110" s="5" t="str">
        <f>IFERROR(__xludf.DUMMYFUNCTION("""COMPUTED_VALUE"""),"GT86/ZN6")</f>
        <v>GT86/ZN6</v>
      </c>
      <c r="G110" s="5" t="str">
        <f>IFERROR(__xludf.DUMMYFUNCTION("""COMPUTED_VALUE"""),"PC")</f>
        <v>PC</v>
      </c>
      <c r="H110" s="5" t="str">
        <f>IFERROR(__xludf.DUMMYFUNCTION("""COMPUTED_VALUE"""),"Sacc")</f>
        <v>Sacc</v>
      </c>
      <c r="I110" s="14" t="str">
        <f>IFERROR(__xludf.DUMMYFUNCTION("""COMPUTED_VALUE"""),"Akagi")</f>
        <v>Akagi</v>
      </c>
      <c r="J110" s="14" t="str">
        <f>IFERROR(__xludf.DUMMYFUNCTION("""COMPUTED_VALUE"""),"DH")</f>
        <v>DH</v>
      </c>
      <c r="K110" s="14" t="str">
        <f>IFERROR(__xludf.DUMMYFUNCTION("""COMPUTED_VALUE"""),"Jintei")</f>
        <v>Jintei</v>
      </c>
      <c r="L110" s="14" t="str">
        <f>IFERROR(__xludf.DUMMYFUNCTION("""COMPUTED_VALUE"""),"Test Driver")</f>
        <v>Test Driver</v>
      </c>
      <c r="M110" s="48">
        <f>IFERROR(__xludf.DUMMYFUNCTION("""COMPUTED_VALUE"""),0.006944444444444444)</f>
        <v>0.006944444444</v>
      </c>
      <c r="N110" s="14" t="str">
        <f>IFERROR(__xludf.DUMMYFUNCTION("""COMPUTED_VALUE"""),"S13")</f>
        <v>S13</v>
      </c>
      <c r="O110" s="14"/>
      <c r="P110" s="14" t="str">
        <f>IFERROR(__xludf.DUMMYFUNCTION("""COMPUTED_VALUE"""),"Sacc")</f>
        <v>Sacc</v>
      </c>
      <c r="Q110" s="5" t="str">
        <f>IFERROR(__xludf.DUMMYFUNCTION("""COMPUTED_VALUE"""),"Akina")</f>
        <v>Akina</v>
      </c>
      <c r="R110" s="5" t="str">
        <f>IFERROR(__xludf.DUMMYFUNCTION("""COMPUTED_VALUE"""),"UH")</f>
        <v>UH</v>
      </c>
      <c r="S110" s="5" t="str">
        <f>IFERROR(__xludf.DUMMYFUNCTION("""COMPUTED_VALUE"""),"Jintei")</f>
        <v>Jintei</v>
      </c>
      <c r="T110" s="5" t="str">
        <f>IFERROR(__xludf.DUMMYFUNCTION("""COMPUTED_VALUE"""),"Test Driver")</f>
        <v>Test Driver</v>
      </c>
      <c r="U110" s="5">
        <f>IFERROR(__xludf.DUMMYFUNCTION("""COMPUTED_VALUE"""),0.006944444444444444)</f>
        <v>0.006944444444</v>
      </c>
      <c r="V110" s="5" t="str">
        <f>IFERROR(__xludf.DUMMYFUNCTION("""COMPUTED_VALUE"""),"GC8-F (Impreza)")</f>
        <v>GC8-F (Impreza)</v>
      </c>
      <c r="W110" s="5"/>
      <c r="X110" s="5" t="str">
        <f>IFERROR(__xludf.DUMMYFUNCTION("""COMPUTED_VALUE"""),"Sacc")</f>
        <v>Sacc</v>
      </c>
      <c r="Y110" s="5"/>
      <c r="Z110" s="5"/>
      <c r="AA110" s="5"/>
      <c r="AB110" s="5"/>
      <c r="AC110" s="5"/>
      <c r="AD110" s="5"/>
      <c r="AE110" s="5"/>
      <c r="AF110" s="5"/>
      <c r="AG110" s="14"/>
      <c r="AH110" s="14"/>
      <c r="AI110" s="14"/>
      <c r="AJ110" s="14"/>
      <c r="AK110" s="14"/>
      <c r="AL110" s="14"/>
      <c r="AM110" s="14"/>
      <c r="AN110" s="14"/>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c r="A111" s="5" t="str">
        <f>IFERROR(__xludf.DUMMYFUNCTION("""COMPUTED_VALUE"""),"Fukuoka")</f>
        <v>Fukuoka</v>
      </c>
      <c r="B111" s="5"/>
      <c r="C111" s="5" t="str">
        <f>IFERROR(__xludf.DUMMYFUNCTION("""COMPUTED_VALUE"""),"Jintei")</f>
        <v>Jintei</v>
      </c>
      <c r="D111" s="5" t="str">
        <f>IFERROR(__xludf.DUMMYFUNCTION("""COMPUTED_VALUE"""),"Redfrogss")</f>
        <v>Redfrogss</v>
      </c>
      <c r="E111" s="5">
        <f>IFERROR(__xludf.DUMMYFUNCTION("""COMPUTED_VALUE"""),0.0026808333333333332)</f>
        <v>0.002680833333</v>
      </c>
      <c r="F111" s="5" t="str">
        <f>IFERROR(__xludf.DUMMYFUNCTION("""COMPUTED_VALUE"""),"GT86/ZN6")</f>
        <v>GT86/ZN6</v>
      </c>
      <c r="G111" s="5" t="str">
        <f>IFERROR(__xludf.DUMMYFUNCTION("""COMPUTED_VALUE"""),"PCVR")</f>
        <v>PCVR</v>
      </c>
      <c r="H111" s="5" t="str">
        <f>IFERROR(__xludf.DUMMYFUNCTION("""COMPUTED_VALUE"""),"Sacc")</f>
        <v>Sacc</v>
      </c>
      <c r="I111" s="14" t="str">
        <f>IFERROR(__xludf.DUMMYFUNCTION("""COMPUTED_VALUE"""),"Akagi")</f>
        <v>Akagi</v>
      </c>
      <c r="J111" s="14" t="str">
        <f>IFERROR(__xludf.DUMMYFUNCTION("""COMPUTED_VALUE"""),"UH")</f>
        <v>UH</v>
      </c>
      <c r="K111" s="14" t="str">
        <f>IFERROR(__xludf.DUMMYFUNCTION("""COMPUTED_VALUE"""),"Jintei")</f>
        <v>Jintei</v>
      </c>
      <c r="L111" s="14" t="str">
        <f>IFERROR(__xludf.DUMMYFUNCTION("""COMPUTED_VALUE"""),"Test Driver")</f>
        <v>Test Driver</v>
      </c>
      <c r="M111" s="48">
        <f>IFERROR(__xludf.DUMMYFUNCTION("""COMPUTED_VALUE"""),0.006944444444444444)</f>
        <v>0.006944444444</v>
      </c>
      <c r="N111" s="14" t="str">
        <f>IFERROR(__xludf.DUMMYFUNCTION("""COMPUTED_VALUE"""),"S13")</f>
        <v>S13</v>
      </c>
      <c r="O111" s="14"/>
      <c r="P111" s="14" t="str">
        <f>IFERROR(__xludf.DUMMYFUNCTION("""COMPUTED_VALUE"""),"Sacc")</f>
        <v>Sacc</v>
      </c>
      <c r="Q111" s="5" t="str">
        <f>IFERROR(__xludf.DUMMYFUNCTION("""COMPUTED_VALUE"""),"Akina Snow")</f>
        <v>Akina Snow</v>
      </c>
      <c r="R111" s="5" t="str">
        <f>IFERROR(__xludf.DUMMYFUNCTION("""COMPUTED_VALUE"""),"UH")</f>
        <v>UH</v>
      </c>
      <c r="S111" s="5" t="str">
        <f>IFERROR(__xludf.DUMMYFUNCTION("""COMPUTED_VALUE"""),"Jintei")</f>
        <v>Jintei</v>
      </c>
      <c r="T111" s="5" t="str">
        <f>IFERROR(__xludf.DUMMYFUNCTION("""COMPUTED_VALUE"""),"Test Driver")</f>
        <v>Test Driver</v>
      </c>
      <c r="U111" s="5">
        <f>IFERROR(__xludf.DUMMYFUNCTION("""COMPUTED_VALUE"""),0.006944444444444444)</f>
        <v>0.006944444444</v>
      </c>
      <c r="V111" s="5" t="str">
        <f>IFERROR(__xludf.DUMMYFUNCTION("""COMPUTED_VALUE"""),"GC8-F (Impreza)")</f>
        <v>GC8-F (Impreza)</v>
      </c>
      <c r="W111" s="5"/>
      <c r="X111" s="5" t="str">
        <f>IFERROR(__xludf.DUMMYFUNCTION("""COMPUTED_VALUE"""),"Sacc")</f>
        <v>Sacc</v>
      </c>
      <c r="Y111" s="5"/>
      <c r="Z111" s="5"/>
      <c r="AA111" s="5"/>
      <c r="AB111" s="5"/>
      <c r="AC111" s="5"/>
      <c r="AD111" s="5"/>
      <c r="AE111" s="5"/>
      <c r="AF111" s="5"/>
      <c r="AG111" s="14"/>
      <c r="AH111" s="14"/>
      <c r="AI111" s="14"/>
      <c r="AJ111" s="14"/>
      <c r="AK111" s="14"/>
      <c r="AL111" s="14"/>
      <c r="AM111" s="14"/>
      <c r="AN111" s="14"/>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c r="A112" s="5" t="str">
        <f>IFERROR(__xludf.DUMMYFUNCTION("""COMPUTED_VALUE"""),"Akagi")</f>
        <v>Akagi</v>
      </c>
      <c r="B112" s="5" t="str">
        <f>IFERROR(__xludf.DUMMYFUNCTION("""COMPUTED_VALUE"""),"DH")</f>
        <v>DH</v>
      </c>
      <c r="C112" s="5" t="str">
        <f>IFERROR(__xludf.DUMMYFUNCTION("""COMPUTED_VALUE"""),"Jintei")</f>
        <v>Jintei</v>
      </c>
      <c r="D112" s="5" t="str">
        <f>IFERROR(__xludf.DUMMYFUNCTION("""COMPUTED_VALUE"""),"Test Driver")</f>
        <v>Test Driver</v>
      </c>
      <c r="E112" s="5">
        <f>IFERROR(__xludf.DUMMYFUNCTION("""COMPUTED_VALUE"""),0.006944444444444444)</f>
        <v>0.006944444444</v>
      </c>
      <c r="F112" s="5" t="str">
        <f>IFERROR(__xludf.DUMMYFUNCTION("""COMPUTED_VALUE"""),"GT86/ZN6")</f>
        <v>GT86/ZN6</v>
      </c>
      <c r="G112" s="5"/>
      <c r="H112" s="5" t="str">
        <f>IFERROR(__xludf.DUMMYFUNCTION("""COMPUTED_VALUE"""),"Sacc")</f>
        <v>Sacc</v>
      </c>
      <c r="I112" s="14" t="str">
        <f>IFERROR(__xludf.DUMMYFUNCTION("""COMPUTED_VALUE"""),"Usui V2")</f>
        <v>Usui V2</v>
      </c>
      <c r="J112" s="14" t="str">
        <f>IFERROR(__xludf.DUMMYFUNCTION("""COMPUTED_VALUE"""),"CC")</f>
        <v>CC</v>
      </c>
      <c r="K112" s="14" t="str">
        <f>IFERROR(__xludf.DUMMYFUNCTION("""COMPUTED_VALUE"""),"Jintei")</f>
        <v>Jintei</v>
      </c>
      <c r="L112" s="14" t="str">
        <f>IFERROR(__xludf.DUMMYFUNCTION("""COMPUTED_VALUE"""),"Test Driver")</f>
        <v>Test Driver</v>
      </c>
      <c r="M112" s="48">
        <f>IFERROR(__xludf.DUMMYFUNCTION("""COMPUTED_VALUE"""),0.006944444444444444)</f>
        <v>0.006944444444</v>
      </c>
      <c r="N112" s="14" t="str">
        <f>IFERROR(__xludf.DUMMYFUNCTION("""COMPUTED_VALUE"""),"S13")</f>
        <v>S13</v>
      </c>
      <c r="O112" s="14"/>
      <c r="P112" s="14" t="str">
        <f>IFERROR(__xludf.DUMMYFUNCTION("""COMPUTED_VALUE"""),"Sacc")</f>
        <v>Sacc</v>
      </c>
      <c r="Q112" s="5" t="str">
        <f>IFERROR(__xludf.DUMMYFUNCTION("""COMPUTED_VALUE"""),"Tsuchisaka Snow")</f>
        <v>Tsuchisaka Snow</v>
      </c>
      <c r="R112" s="5" t="str">
        <f>IFERROR(__xludf.DUMMYFUNCTION("""COMPUTED_VALUE"""),"OB")</f>
        <v>OB</v>
      </c>
      <c r="S112" s="5" t="str">
        <f>IFERROR(__xludf.DUMMYFUNCTION("""COMPUTED_VALUE"""),"Jintei")</f>
        <v>Jintei</v>
      </c>
      <c r="T112" s="5" t="str">
        <f>IFERROR(__xludf.DUMMYFUNCTION("""COMPUTED_VALUE"""),"Test Driver")</f>
        <v>Test Driver</v>
      </c>
      <c r="U112" s="5">
        <f>IFERROR(__xludf.DUMMYFUNCTION("""COMPUTED_VALUE"""),0.006944444444444444)</f>
        <v>0.006944444444</v>
      </c>
      <c r="V112" s="5" t="str">
        <f>IFERROR(__xludf.DUMMYFUNCTION("""COMPUTED_VALUE"""),"GC8-F (Impreza)")</f>
        <v>GC8-F (Impreza)</v>
      </c>
      <c r="W112" s="5"/>
      <c r="X112" s="5" t="str">
        <f>IFERROR(__xludf.DUMMYFUNCTION("""COMPUTED_VALUE"""),"Sacc")</f>
        <v>Sacc</v>
      </c>
      <c r="Y112" s="5"/>
      <c r="Z112" s="5"/>
      <c r="AA112" s="5"/>
      <c r="AB112" s="5"/>
      <c r="AC112" s="5"/>
      <c r="AD112" s="5"/>
      <c r="AE112" s="5"/>
      <c r="AF112" s="5"/>
      <c r="AG112" s="14"/>
      <c r="AH112" s="14"/>
      <c r="AI112" s="14"/>
      <c r="AJ112" s="14"/>
      <c r="AK112" s="14"/>
      <c r="AL112" s="14"/>
      <c r="AM112" s="14"/>
      <c r="AN112" s="14"/>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c r="A113" s="5" t="str">
        <f>IFERROR(__xludf.DUMMYFUNCTION("""COMPUTED_VALUE"""),"Akagi")</f>
        <v>Akagi</v>
      </c>
      <c r="B113" s="5" t="str">
        <f>IFERROR(__xludf.DUMMYFUNCTION("""COMPUTED_VALUE"""),"UH")</f>
        <v>UH</v>
      </c>
      <c r="C113" s="5" t="str">
        <f>IFERROR(__xludf.DUMMYFUNCTION("""COMPUTED_VALUE"""),"Jintei")</f>
        <v>Jintei</v>
      </c>
      <c r="D113" s="5" t="str">
        <f>IFERROR(__xludf.DUMMYFUNCTION("""COMPUTED_VALUE"""),"Test Driver")</f>
        <v>Test Driver</v>
      </c>
      <c r="E113" s="5">
        <f>IFERROR(__xludf.DUMMYFUNCTION("""COMPUTED_VALUE"""),0.006944444444444444)</f>
        <v>0.006944444444</v>
      </c>
      <c r="F113" s="5" t="str">
        <f>IFERROR(__xludf.DUMMYFUNCTION("""COMPUTED_VALUE"""),"GT86/ZN6")</f>
        <v>GT86/ZN6</v>
      </c>
      <c r="G113" s="5"/>
      <c r="H113" s="5" t="str">
        <f>IFERROR(__xludf.DUMMYFUNCTION("""COMPUTED_VALUE"""),"Sacc")</f>
        <v>Sacc</v>
      </c>
      <c r="I113" s="14" t="str">
        <f>IFERROR(__xludf.DUMMYFUNCTION("""COMPUTED_VALUE"""),"Usui V2")</f>
        <v>Usui V2</v>
      </c>
      <c r="J113" s="14" t="str">
        <f>IFERROR(__xludf.DUMMYFUNCTION("""COMPUTED_VALUE"""),"CW")</f>
        <v>CW</v>
      </c>
      <c r="K113" s="14" t="str">
        <f>IFERROR(__xludf.DUMMYFUNCTION("""COMPUTED_VALUE"""),"Jintei")</f>
        <v>Jintei</v>
      </c>
      <c r="L113" s="14" t="str">
        <f>IFERROR(__xludf.DUMMYFUNCTION("""COMPUTED_VALUE"""),"Test Driver")</f>
        <v>Test Driver</v>
      </c>
      <c r="M113" s="48">
        <f>IFERROR(__xludf.DUMMYFUNCTION("""COMPUTED_VALUE"""),0.006944444444444444)</f>
        <v>0.006944444444</v>
      </c>
      <c r="N113" s="14" t="str">
        <f>IFERROR(__xludf.DUMMYFUNCTION("""COMPUTED_VALUE"""),"S13")</f>
        <v>S13</v>
      </c>
      <c r="O113" s="14"/>
      <c r="P113" s="14" t="str">
        <f>IFERROR(__xludf.DUMMYFUNCTION("""COMPUTED_VALUE"""),"Sacc")</f>
        <v>Sacc</v>
      </c>
      <c r="Q113" s="5" t="str">
        <f>IFERROR(__xludf.DUMMYFUNCTION("""COMPUTED_VALUE"""),"Tsuchisaka Snow")</f>
        <v>Tsuchisaka Snow</v>
      </c>
      <c r="R113" s="5" t="str">
        <f>IFERROR(__xludf.DUMMYFUNCTION("""COMPUTED_VALUE"""),"IB")</f>
        <v>IB</v>
      </c>
      <c r="S113" s="5" t="str">
        <f>IFERROR(__xludf.DUMMYFUNCTION("""COMPUTED_VALUE"""),"Jintei")</f>
        <v>Jintei</v>
      </c>
      <c r="T113" s="5" t="str">
        <f>IFERROR(__xludf.DUMMYFUNCTION("""COMPUTED_VALUE"""),"Test Driver")</f>
        <v>Test Driver</v>
      </c>
      <c r="U113" s="5">
        <f>IFERROR(__xludf.DUMMYFUNCTION("""COMPUTED_VALUE"""),0.006944444444444444)</f>
        <v>0.006944444444</v>
      </c>
      <c r="V113" s="5" t="str">
        <f>IFERROR(__xludf.DUMMYFUNCTION("""COMPUTED_VALUE"""),"GC8-F (Impreza)")</f>
        <v>GC8-F (Impreza)</v>
      </c>
      <c r="W113" s="5"/>
      <c r="X113" s="5" t="str">
        <f>IFERROR(__xludf.DUMMYFUNCTION("""COMPUTED_VALUE"""),"Sacc")</f>
        <v>Sacc</v>
      </c>
      <c r="Y113" s="67"/>
      <c r="AG113" s="14"/>
      <c r="AH113" s="14"/>
      <c r="AI113" s="14"/>
      <c r="AJ113" s="14"/>
      <c r="AK113" s="14"/>
      <c r="AL113" s="14"/>
      <c r="AM113" s="14"/>
      <c r="AN113" s="14"/>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c r="A114" s="5" t="str">
        <f>IFERROR(__xludf.DUMMYFUNCTION("""COMPUTED_VALUE"""),"Shomaru")</f>
        <v>Shomaru</v>
      </c>
      <c r="B114" s="5" t="str">
        <f>IFERROR(__xludf.DUMMYFUNCTION("""COMPUTED_VALUE"""),"IB")</f>
        <v>IB</v>
      </c>
      <c r="C114" s="5" t="str">
        <f>IFERROR(__xludf.DUMMYFUNCTION("""COMPUTED_VALUE"""),"Jintei")</f>
        <v>Jintei</v>
      </c>
      <c r="D114" s="5" t="str">
        <f>IFERROR(__xludf.DUMMYFUNCTION("""COMPUTED_VALUE"""),"Test Driver")</f>
        <v>Test Driver</v>
      </c>
      <c r="E114" s="5">
        <f>IFERROR(__xludf.DUMMYFUNCTION("""COMPUTED_VALUE"""),0.006944444444444444)</f>
        <v>0.006944444444</v>
      </c>
      <c r="F114" s="5" t="str">
        <f>IFERROR(__xludf.DUMMYFUNCTION("""COMPUTED_VALUE"""),"GT86/ZN6")</f>
        <v>GT86/ZN6</v>
      </c>
      <c r="G114" s="5"/>
      <c r="H114" s="5" t="str">
        <f>IFERROR(__xludf.DUMMYFUNCTION("""COMPUTED_VALUE"""),"Sacc")</f>
        <v>Sacc</v>
      </c>
      <c r="I114" s="14" t="str">
        <f>IFERROR(__xludf.DUMMYFUNCTION("""COMPUTED_VALUE"""),"Shin Usui")</f>
        <v>Shin Usui</v>
      </c>
      <c r="J114" s="14" t="str">
        <f>IFERROR(__xludf.DUMMYFUNCTION("""COMPUTED_VALUE"""),"DH")</f>
        <v>DH</v>
      </c>
      <c r="K114" s="14" t="str">
        <f>IFERROR(__xludf.DUMMYFUNCTION("""COMPUTED_VALUE"""),"Jintei")</f>
        <v>Jintei</v>
      </c>
      <c r="L114" s="14" t="str">
        <f>IFERROR(__xludf.DUMMYFUNCTION("""COMPUTED_VALUE"""),"Test Driver")</f>
        <v>Test Driver</v>
      </c>
      <c r="M114" s="14">
        <f>IFERROR(__xludf.DUMMYFUNCTION("""COMPUTED_VALUE"""),0.006944444444444444)</f>
        <v>0.006944444444</v>
      </c>
      <c r="N114" s="14" t="str">
        <f>IFERROR(__xludf.DUMMYFUNCTION("""COMPUTED_VALUE"""),"S13")</f>
        <v>S13</v>
      </c>
      <c r="O114" s="14"/>
      <c r="P114" s="14" t="str">
        <f>IFERROR(__xludf.DUMMYFUNCTION("""COMPUTED_VALUE"""),"Sacc")</f>
        <v>Sacc</v>
      </c>
      <c r="Q114" s="5"/>
      <c r="R114" s="5"/>
      <c r="S114" s="5"/>
      <c r="T114" s="5"/>
      <c r="U114" s="5"/>
      <c r="V114" s="5"/>
      <c r="W114" s="5"/>
      <c r="X114" s="5"/>
      <c r="Y114" s="5" t="str">
        <f>IFERROR(__xludf.DUMMYFUNCTION("LET(
  車輛, Y113,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Z114" s="5" t="str">
        <f>IFERROR(__xludf.DUMMYFUNCTION("""COMPUTED_VALUE"""),"路線")</f>
        <v>路線</v>
      </c>
      <c r="AA114" s="5" t="str">
        <f>IFERROR(__xludf.DUMMYFUNCTION("""COMPUTED_VALUE"""),"作者")</f>
        <v>作者</v>
      </c>
      <c r="AB114" s="5" t="str">
        <f>IFERROR(__xludf.DUMMYFUNCTION("""COMPUTED_VALUE"""),"玩家")</f>
        <v>玩家</v>
      </c>
      <c r="AC114" s="5" t="str">
        <f>IFERROR(__xludf.DUMMYFUNCTION("""COMPUTED_VALUE"""),"時間")</f>
        <v>時間</v>
      </c>
      <c r="AD114" s="5" t="str">
        <f>IFERROR(__xludf.DUMMYFUNCTION("""COMPUTED_VALUE"""),"車輛")</f>
        <v>車輛</v>
      </c>
      <c r="AE114" s="5" t="str">
        <f>IFERROR(__xludf.DUMMYFUNCTION("""COMPUTED_VALUE"""),"平台")</f>
        <v>平台</v>
      </c>
      <c r="AF114" s="5" t="str">
        <f>IFERROR(__xludf.DUMMYFUNCTION("""COMPUTED_VALUE"""),"系統")</f>
        <v>系統</v>
      </c>
      <c r="AG114" s="14"/>
      <c r="AH114" s="14"/>
      <c r="AI114" s="14"/>
      <c r="AJ114" s="14"/>
      <c r="AK114" s="14"/>
      <c r="AL114" s="14"/>
      <c r="AM114" s="14"/>
      <c r="AN114" s="14"/>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c r="A115" s="5" t="str">
        <f>IFERROR(__xludf.DUMMYFUNCTION("""COMPUTED_VALUE"""),"Shomaru")</f>
        <v>Shomaru</v>
      </c>
      <c r="B115" s="5" t="str">
        <f>IFERROR(__xludf.DUMMYFUNCTION("""COMPUTED_VALUE"""),"Double")</f>
        <v>Double</v>
      </c>
      <c r="C115" s="5" t="str">
        <f>IFERROR(__xludf.DUMMYFUNCTION("""COMPUTED_VALUE"""),"Jintei")</f>
        <v>Jintei</v>
      </c>
      <c r="D115" s="5" t="str">
        <f>IFERROR(__xludf.DUMMYFUNCTION("""COMPUTED_VALUE"""),"Test Driver")</f>
        <v>Test Driver</v>
      </c>
      <c r="E115" s="5">
        <f>IFERROR(__xludf.DUMMYFUNCTION("""COMPUTED_VALUE"""),0.006944444444444444)</f>
        <v>0.006944444444</v>
      </c>
      <c r="F115" s="5" t="str">
        <f>IFERROR(__xludf.DUMMYFUNCTION("""COMPUTED_VALUE"""),"GT86/ZN6")</f>
        <v>GT86/ZN6</v>
      </c>
      <c r="G115" s="5"/>
      <c r="H115" s="5" t="str">
        <f>IFERROR(__xludf.DUMMYFUNCTION("""COMPUTED_VALUE"""),"Sacc")</f>
        <v>Sacc</v>
      </c>
      <c r="I115" s="14" t="str">
        <f>IFERROR(__xludf.DUMMYFUNCTION("""COMPUTED_VALUE"""),"Shin Usui")</f>
        <v>Shin Usui</v>
      </c>
      <c r="J115" s="14" t="str">
        <f>IFERROR(__xludf.DUMMYFUNCTION("""COMPUTED_VALUE"""),"UH")</f>
        <v>UH</v>
      </c>
      <c r="K115" s="14" t="str">
        <f>IFERROR(__xludf.DUMMYFUNCTION("""COMPUTED_VALUE"""),"Jintei")</f>
        <v>Jintei</v>
      </c>
      <c r="L115" s="14" t="str">
        <f>IFERROR(__xludf.DUMMYFUNCTION("""COMPUTED_VALUE"""),"Test Driver")</f>
        <v>Test Driver</v>
      </c>
      <c r="M115" s="14">
        <f>IFERROR(__xludf.DUMMYFUNCTION("""COMPUTED_VALUE"""),0.006944444444444444)</f>
        <v>0.006944444444</v>
      </c>
      <c r="N115" s="14" t="str">
        <f>IFERROR(__xludf.DUMMYFUNCTION("""COMPUTED_VALUE"""),"S13")</f>
        <v>S13</v>
      </c>
      <c r="O115" s="14"/>
      <c r="P115" s="14" t="str">
        <f>IFERROR(__xludf.DUMMYFUNCTION("""COMPUTED_VALUE"""),"Sacc")</f>
        <v>Sacc</v>
      </c>
      <c r="Q115" s="67" t="s">
        <v>179</v>
      </c>
      <c r="Y115" s="5" t="str">
        <f>IFERROR(__xludf.DUMMYFUNCTION("""COMPUTED_VALUE"""),"#N/A")</f>
        <v>#N/A</v>
      </c>
      <c r="Z115" s="5" t="str">
        <f>IFERROR(__xludf.DUMMYFUNCTION("""COMPUTED_VALUE"""),"#N/A")</f>
        <v>#N/A</v>
      </c>
      <c r="AA115" s="5" t="str">
        <f>IFERROR(__xludf.DUMMYFUNCTION("""COMPUTED_VALUE"""),"#N/A")</f>
        <v>#N/A</v>
      </c>
      <c r="AB115" s="5" t="str">
        <f>IFERROR(__xludf.DUMMYFUNCTION("""COMPUTED_VALUE"""),"#N/A")</f>
        <v>#N/A</v>
      </c>
      <c r="AC115" s="5" t="str">
        <f>IFERROR(__xludf.DUMMYFUNCTION("""COMPUTED_VALUE"""),"#N/A")</f>
        <v>#N/A</v>
      </c>
      <c r="AD115" s="5" t="str">
        <f>IFERROR(__xludf.DUMMYFUNCTION("""COMPUTED_VALUE"""),"#N/A")</f>
        <v>#N/A</v>
      </c>
      <c r="AE115" s="5" t="str">
        <f>IFERROR(__xludf.DUMMYFUNCTION("""COMPUTED_VALUE"""),"#N/A")</f>
        <v>#N/A</v>
      </c>
      <c r="AF115" s="5" t="str">
        <f>IFERROR(__xludf.DUMMYFUNCTION("""COMPUTED_VALUE"""),"#N/A")</f>
        <v>#N/A</v>
      </c>
      <c r="AG115" s="14"/>
      <c r="AH115" s="14"/>
      <c r="AI115" s="14"/>
      <c r="AJ115" s="14"/>
      <c r="AK115" s="14"/>
      <c r="AL115" s="14"/>
      <c r="AM115" s="14"/>
      <c r="AN115" s="14"/>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c r="A116" s="5" t="str">
        <f>IFERROR(__xludf.DUMMYFUNCTION("""COMPUTED_VALUE"""),"AkinaUN")</f>
        <v>AkinaUN</v>
      </c>
      <c r="B116" s="5" t="str">
        <f>IFERROR(__xludf.DUMMYFUNCTION("""COMPUTED_VALUE"""),"UH")</f>
        <v>UH</v>
      </c>
      <c r="C116" s="5" t="str">
        <f>IFERROR(__xludf.DUMMYFUNCTION("""COMPUTED_VALUE"""),"Jintei")</f>
        <v>Jintei</v>
      </c>
      <c r="D116" s="5" t="str">
        <f>IFERROR(__xludf.DUMMYFUNCTION("""COMPUTED_VALUE"""),"Test Driver")</f>
        <v>Test Driver</v>
      </c>
      <c r="E116" s="5">
        <f>IFERROR(__xludf.DUMMYFUNCTION("""COMPUTED_VALUE"""),0.006944444444444444)</f>
        <v>0.006944444444</v>
      </c>
      <c r="F116" s="5" t="str">
        <f>IFERROR(__xludf.DUMMYFUNCTION("""COMPUTED_VALUE"""),"GT86/ZN6")</f>
        <v>GT86/ZN6</v>
      </c>
      <c r="G116" s="5"/>
      <c r="H116" s="5" t="str">
        <f>IFERROR(__xludf.DUMMYFUNCTION("""COMPUTED_VALUE"""),"Sacc")</f>
        <v>Sacc</v>
      </c>
      <c r="I116" s="14"/>
      <c r="J116" s="14"/>
      <c r="K116" s="14"/>
      <c r="L116" s="14"/>
      <c r="M116" s="14"/>
      <c r="N116" s="14"/>
      <c r="O116" s="14"/>
      <c r="P116" s="14"/>
      <c r="Q116" s="5" t="str">
        <f>IFERROR(__xludf.DUMMYFUNCTION("LET(
  車輛, Q115,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R116" s="5" t="str">
        <f>IFERROR(__xludf.DUMMYFUNCTION("""COMPUTED_VALUE"""),"路線")</f>
        <v>路線</v>
      </c>
      <c r="S116" s="5" t="str">
        <f>IFERROR(__xludf.DUMMYFUNCTION("""COMPUTED_VALUE"""),"作者")</f>
        <v>作者</v>
      </c>
      <c r="T116" s="5" t="str">
        <f>IFERROR(__xludf.DUMMYFUNCTION("""COMPUTED_VALUE"""),"玩家")</f>
        <v>玩家</v>
      </c>
      <c r="U116" s="5" t="str">
        <f>IFERROR(__xludf.DUMMYFUNCTION("""COMPUTED_VALUE"""),"時間")</f>
        <v>時間</v>
      </c>
      <c r="V116" s="5" t="str">
        <f>IFERROR(__xludf.DUMMYFUNCTION("""COMPUTED_VALUE"""),"車輛")</f>
        <v>車輛</v>
      </c>
      <c r="W116" s="5" t="str">
        <f>IFERROR(__xludf.DUMMYFUNCTION("""COMPUTED_VALUE"""),"平台")</f>
        <v>平台</v>
      </c>
      <c r="X116" s="5" t="str">
        <f>IFERROR(__xludf.DUMMYFUNCTION("""COMPUTED_VALUE"""),"系統")</f>
        <v>系統</v>
      </c>
      <c r="Y116" s="5"/>
      <c r="Z116" s="5"/>
      <c r="AA116" s="5"/>
      <c r="AB116" s="5"/>
      <c r="AC116" s="5"/>
      <c r="AD116" s="5"/>
      <c r="AE116" s="5"/>
      <c r="AF116" s="5"/>
      <c r="AG116" s="14"/>
      <c r="AH116" s="14"/>
      <c r="AI116" s="14"/>
      <c r="AJ116" s="14"/>
      <c r="AK116" s="14"/>
      <c r="AL116" s="14"/>
      <c r="AM116" s="14"/>
      <c r="AN116" s="14"/>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c r="A117" s="5" t="str">
        <f>IFERROR(__xludf.DUMMYFUNCTION("""COMPUTED_VALUE"""),"Tsubaki")</f>
        <v>Tsubaki</v>
      </c>
      <c r="B117" s="5" t="str">
        <f>IFERROR(__xludf.DUMMYFUNCTION("""COMPUTED_VALUE"""),"DH")</f>
        <v>DH</v>
      </c>
      <c r="C117" s="5" t="str">
        <f>IFERROR(__xludf.DUMMYFUNCTION("""COMPUTED_VALUE"""),"Jintei")</f>
        <v>Jintei</v>
      </c>
      <c r="D117" s="5" t="str">
        <f>IFERROR(__xludf.DUMMYFUNCTION("""COMPUTED_VALUE"""),"Test Driver")</f>
        <v>Test Driver</v>
      </c>
      <c r="E117" s="5">
        <f>IFERROR(__xludf.DUMMYFUNCTION("""COMPUTED_VALUE"""),0.006944444444444444)</f>
        <v>0.006944444444</v>
      </c>
      <c r="F117" s="5" t="str">
        <f>IFERROR(__xludf.DUMMYFUNCTION("""COMPUTED_VALUE"""),"GT86/ZN6")</f>
        <v>GT86/ZN6</v>
      </c>
      <c r="G117" s="5"/>
      <c r="H117" s="5" t="str">
        <f>IFERROR(__xludf.DUMMYFUNCTION("""COMPUTED_VALUE"""),"Sacc")</f>
        <v>Sacc</v>
      </c>
      <c r="I117" s="14"/>
      <c r="J117" s="14"/>
      <c r="K117" s="14"/>
      <c r="L117" s="14"/>
      <c r="M117" s="14"/>
      <c r="N117" s="14"/>
      <c r="O117" s="14"/>
      <c r="P117" s="14"/>
      <c r="Q117" s="5" t="str">
        <f>IFERROR(__xludf.DUMMYFUNCTION("""COMPUTED_VALUE"""),"H-Nanamagari")</f>
        <v>H-Nanamagari</v>
      </c>
      <c r="R117" s="5" t="str">
        <f>IFERROR(__xludf.DUMMYFUNCTION("""COMPUTED_VALUE"""),"DH")</f>
        <v>DH</v>
      </c>
      <c r="S117" s="5" t="str">
        <f>IFERROR(__xludf.DUMMYFUNCTION("""COMPUTED_VALUE"""),"Jintei")</f>
        <v>Jintei</v>
      </c>
      <c r="T117" s="5" t="str">
        <f>IFERROR(__xludf.DUMMYFUNCTION("""COMPUTED_VALUE"""),"StarRiver Arts")</f>
        <v>StarRiver Arts</v>
      </c>
      <c r="U117" s="5">
        <f>IFERROR(__xludf.DUMMYFUNCTION("""COMPUTED_VALUE"""),8.434606481481482E-4)</f>
        <v>0.0008434606481</v>
      </c>
      <c r="V117" s="5" t="str">
        <f>IFERROR(__xludf.DUMMYFUNCTION("""COMPUTED_VALUE"""),"GC8 (Impreza)")</f>
        <v>GC8 (Impreza)</v>
      </c>
      <c r="W117" s="5" t="str">
        <f>IFERROR(__xludf.DUMMYFUNCTION("""COMPUTED_VALUE"""),"PC")</f>
        <v>PC</v>
      </c>
      <c r="X117" s="5" t="str">
        <f>IFERROR(__xludf.DUMMYFUNCTION("""COMPUTED_VALUE"""),"Sacc")</f>
        <v>Sacc</v>
      </c>
      <c r="Y117" s="5"/>
      <c r="Z117" s="5"/>
      <c r="AA117" s="5"/>
      <c r="AB117" s="5"/>
      <c r="AC117" s="5"/>
      <c r="AD117" s="5"/>
      <c r="AE117" s="5"/>
      <c r="AF117" s="5"/>
      <c r="AG117" s="14"/>
      <c r="AH117" s="14"/>
      <c r="AI117" s="14"/>
      <c r="AJ117" s="14"/>
      <c r="AK117" s="14"/>
      <c r="AL117" s="14"/>
      <c r="AM117" s="14"/>
      <c r="AN117" s="14"/>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c r="A118" s="5" t="str">
        <f>IFERROR(__xludf.DUMMYFUNCTION("""COMPUTED_VALUE"""),"Mt.Talkan")</f>
        <v>Mt.Talkan</v>
      </c>
      <c r="B118" s="5" t="str">
        <f>IFERROR(__xludf.DUMMYFUNCTION("""COMPUTED_VALUE"""),"DH")</f>
        <v>DH</v>
      </c>
      <c r="C118" s="5" t="str">
        <f>IFERROR(__xludf.DUMMYFUNCTION("""COMPUTED_VALUE"""),"Jintei")</f>
        <v>Jintei</v>
      </c>
      <c r="D118" s="5" t="str">
        <f>IFERROR(__xludf.DUMMYFUNCTION("""COMPUTED_VALUE"""),"Test Driver")</f>
        <v>Test Driver</v>
      </c>
      <c r="E118" s="5">
        <f>IFERROR(__xludf.DUMMYFUNCTION("""COMPUTED_VALUE"""),0.006944444444444444)</f>
        <v>0.006944444444</v>
      </c>
      <c r="F118" s="5" t="str">
        <f>IFERROR(__xludf.DUMMYFUNCTION("""COMPUTED_VALUE"""),"GT86/ZN6")</f>
        <v>GT86/ZN6</v>
      </c>
      <c r="G118" s="5"/>
      <c r="H118" s="5" t="str">
        <f>IFERROR(__xludf.DUMMYFUNCTION("""COMPUTED_VALUE"""),"Sacc")</f>
        <v>Sacc</v>
      </c>
      <c r="I118" s="71" t="s">
        <v>180</v>
      </c>
      <c r="Q118" s="5" t="str">
        <f>IFERROR(__xludf.DUMMYFUNCTION("""COMPUTED_VALUE"""),"H-Nanamagari")</f>
        <v>H-Nanamagari</v>
      </c>
      <c r="R118" s="5" t="str">
        <f>IFERROR(__xludf.DUMMYFUNCTION("""COMPUTED_VALUE"""),"UH")</f>
        <v>UH</v>
      </c>
      <c r="S118" s="5" t="str">
        <f>IFERROR(__xludf.DUMMYFUNCTION("""COMPUTED_VALUE"""),"Jintei")</f>
        <v>Jintei</v>
      </c>
      <c r="T118" s="5" t="str">
        <f>IFERROR(__xludf.DUMMYFUNCTION("""COMPUTED_VALUE"""),"StarRiver Arts")</f>
        <v>StarRiver Arts</v>
      </c>
      <c r="U118" s="5">
        <f>IFERROR(__xludf.DUMMYFUNCTION("""COMPUTED_VALUE"""),9.746064814814816E-4)</f>
        <v>0.0009746064815</v>
      </c>
      <c r="V118" s="5" t="str">
        <f>IFERROR(__xludf.DUMMYFUNCTION("""COMPUTED_VALUE"""),"GC8 (Impreza)")</f>
        <v>GC8 (Impreza)</v>
      </c>
      <c r="W118" s="5" t="str">
        <f>IFERROR(__xludf.DUMMYFUNCTION("""COMPUTED_VALUE"""),"PC")</f>
        <v>PC</v>
      </c>
      <c r="X118" s="5" t="str">
        <f>IFERROR(__xludf.DUMMYFUNCTION("""COMPUTED_VALUE"""),"Sacc")</f>
        <v>Sacc</v>
      </c>
      <c r="Y118" s="5"/>
      <c r="Z118" s="5"/>
      <c r="AA118" s="5"/>
      <c r="AB118" s="5"/>
      <c r="AC118" s="5"/>
      <c r="AD118" s="5"/>
      <c r="AE118" s="5"/>
      <c r="AF118" s="5"/>
      <c r="AG118" s="14"/>
      <c r="AH118" s="14"/>
      <c r="AI118" s="14"/>
      <c r="AJ118" s="14"/>
      <c r="AK118" s="14"/>
      <c r="AL118" s="14"/>
      <c r="AM118" s="14"/>
      <c r="AN118" s="14"/>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c r="A119" s="5" t="str">
        <f>IFERROR(__xludf.DUMMYFUNCTION("""COMPUTED_VALUE"""),"Mt.Talkan")</f>
        <v>Mt.Talkan</v>
      </c>
      <c r="B119" s="5" t="str">
        <f>IFERROR(__xludf.DUMMYFUNCTION("""COMPUTED_VALUE"""),"UH")</f>
        <v>UH</v>
      </c>
      <c r="C119" s="5" t="str">
        <f>IFERROR(__xludf.DUMMYFUNCTION("""COMPUTED_VALUE"""),"Jintei")</f>
        <v>Jintei</v>
      </c>
      <c r="D119" s="5" t="str">
        <f>IFERROR(__xludf.DUMMYFUNCTION("""COMPUTED_VALUE"""),"Test Driver")</f>
        <v>Test Driver</v>
      </c>
      <c r="E119" s="5">
        <f>IFERROR(__xludf.DUMMYFUNCTION("""COMPUTED_VALUE"""),0.006944444444444444)</f>
        <v>0.006944444444</v>
      </c>
      <c r="F119" s="5" t="str">
        <f>IFERROR(__xludf.DUMMYFUNCTION("""COMPUTED_VALUE"""),"GT86/ZN6")</f>
        <v>GT86/ZN6</v>
      </c>
      <c r="G119" s="5"/>
      <c r="H119" s="5" t="str">
        <f>IFERROR(__xludf.DUMMYFUNCTION("""COMPUTED_VALUE"""),"Sacc")</f>
        <v>Sacc</v>
      </c>
      <c r="I119" s="14" t="str">
        <f>IFERROR(__xludf.DUMMYFUNCTION("LET(
  車輛, I118,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19" s="14" t="str">
        <f>IFERROR(__xludf.DUMMYFUNCTION("""COMPUTED_VALUE"""),"路線")</f>
        <v>路線</v>
      </c>
      <c r="K119" s="14" t="str">
        <f>IFERROR(__xludf.DUMMYFUNCTION("""COMPUTED_VALUE"""),"作者")</f>
        <v>作者</v>
      </c>
      <c r="L119" s="14" t="str">
        <f>IFERROR(__xludf.DUMMYFUNCTION("""COMPUTED_VALUE"""),"玩家")</f>
        <v>玩家</v>
      </c>
      <c r="M119" s="14" t="str">
        <f>IFERROR(__xludf.DUMMYFUNCTION("""COMPUTED_VALUE"""),"時間")</f>
        <v>時間</v>
      </c>
      <c r="N119" s="14" t="str">
        <f>IFERROR(__xludf.DUMMYFUNCTION("""COMPUTED_VALUE"""),"車輛")</f>
        <v>車輛</v>
      </c>
      <c r="O119" s="14" t="str">
        <f>IFERROR(__xludf.DUMMYFUNCTION("""COMPUTED_VALUE"""),"平台")</f>
        <v>平台</v>
      </c>
      <c r="P119" s="14" t="str">
        <f>IFERROR(__xludf.DUMMYFUNCTION("""COMPUTED_VALUE"""),"系統")</f>
        <v>系統</v>
      </c>
      <c r="Q119" s="5"/>
      <c r="R119" s="5"/>
      <c r="S119" s="5"/>
      <c r="T119" s="5"/>
      <c r="U119" s="5"/>
      <c r="V119" s="5"/>
      <c r="W119" s="5"/>
      <c r="X119" s="5"/>
      <c r="Y119" s="5"/>
      <c r="Z119" s="5"/>
      <c r="AA119" s="5"/>
      <c r="AB119" s="5"/>
      <c r="AC119" s="5"/>
      <c r="AD119" s="5"/>
      <c r="AE119" s="5"/>
      <c r="AF119" s="5"/>
      <c r="AG119" s="14"/>
      <c r="AH119" s="14"/>
      <c r="AI119" s="14"/>
      <c r="AJ119" s="14"/>
      <c r="AK119" s="14"/>
      <c r="AL119" s="14"/>
      <c r="AM119" s="14"/>
      <c r="AN119" s="14"/>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c r="A120" s="5" t="str">
        <f>IFERROR(__xludf.DUMMYFUNCTION("""COMPUTED_VALUE"""),"Hakone")</f>
        <v>Hakone</v>
      </c>
      <c r="B120" s="5" t="str">
        <f>IFERROR(__xludf.DUMMYFUNCTION("""COMPUTED_VALUE"""),"DH")</f>
        <v>DH</v>
      </c>
      <c r="C120" s="5" t="str">
        <f>IFERROR(__xludf.DUMMYFUNCTION("""COMPUTED_VALUE"""),"Jintei")</f>
        <v>Jintei</v>
      </c>
      <c r="D120" s="5" t="str">
        <f>IFERROR(__xludf.DUMMYFUNCTION("""COMPUTED_VALUE"""),"Test Driver")</f>
        <v>Test Driver</v>
      </c>
      <c r="E120" s="5">
        <f>IFERROR(__xludf.DUMMYFUNCTION("""COMPUTED_VALUE"""),0.006944444444444444)</f>
        <v>0.006944444444</v>
      </c>
      <c r="F120" s="5" t="str">
        <f>IFERROR(__xludf.DUMMYFUNCTION("""COMPUTED_VALUE"""),"GT86/ZN6")</f>
        <v>GT86/ZN6</v>
      </c>
      <c r="G120" s="5"/>
      <c r="H120" s="5" t="str">
        <f>IFERROR(__xludf.DUMMYFUNCTION("""COMPUTED_VALUE"""),"Sacc")</f>
        <v>Sacc</v>
      </c>
      <c r="I120" s="14" t="str">
        <f>IFERROR(__xludf.DUMMYFUNCTION("""COMPUTED_VALUE"""),"Akina")</f>
        <v>Akina</v>
      </c>
      <c r="J120" s="14" t="str">
        <f>IFERROR(__xludf.DUMMYFUNCTION("""COMPUTED_VALUE"""),"UH")</f>
        <v>UH</v>
      </c>
      <c r="K120" s="14" t="str">
        <f>IFERROR(__xludf.DUMMYFUNCTION("""COMPUTED_VALUE"""),"Jintei")</f>
        <v>Jintei</v>
      </c>
      <c r="L120" s="14" t="str">
        <f>IFERROR(__xludf.DUMMYFUNCTION("""COMPUTED_VALUE"""),"Test Driver")</f>
        <v>Test Driver</v>
      </c>
      <c r="M120" s="48">
        <f>IFERROR(__xludf.DUMMYFUNCTION("""COMPUTED_VALUE"""),0.006944444444444444)</f>
        <v>0.006944444444</v>
      </c>
      <c r="N120" s="14" t="str">
        <f>IFERROR(__xludf.DUMMYFUNCTION("""COMPUTED_VALUE"""),"S14")</f>
        <v>S14</v>
      </c>
      <c r="O120" s="14"/>
      <c r="P120" s="14" t="str">
        <f>IFERROR(__xludf.DUMMYFUNCTION("""COMPUTED_VALUE"""),"Sacc")</f>
        <v>Sacc</v>
      </c>
      <c r="Q120" s="5"/>
      <c r="R120" s="5"/>
      <c r="S120" s="5"/>
      <c r="T120" s="5"/>
      <c r="U120" s="5"/>
      <c r="V120" s="5"/>
      <c r="W120" s="5"/>
      <c r="X120" s="5"/>
      <c r="Y120" s="5"/>
      <c r="Z120" s="5"/>
      <c r="AA120" s="5"/>
      <c r="AB120" s="5"/>
      <c r="AC120" s="5"/>
      <c r="AD120" s="5"/>
      <c r="AE120" s="5"/>
      <c r="AF120" s="5"/>
      <c r="AG120" s="14"/>
      <c r="AH120" s="14"/>
      <c r="AI120" s="14"/>
      <c r="AJ120" s="14"/>
      <c r="AK120" s="14"/>
      <c r="AL120" s="14"/>
      <c r="AM120" s="14"/>
      <c r="AN120" s="14"/>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c r="A121" s="5" t="str">
        <f>IFERROR(__xludf.DUMMYFUNCTION("""COMPUTED_VALUE"""),"Hakone")</f>
        <v>Hakone</v>
      </c>
      <c r="B121" s="5" t="str">
        <f>IFERROR(__xludf.DUMMYFUNCTION("""COMPUTED_VALUE"""),"UH")</f>
        <v>UH</v>
      </c>
      <c r="C121" s="5" t="str">
        <f>IFERROR(__xludf.DUMMYFUNCTION("""COMPUTED_VALUE"""),"Jintei")</f>
        <v>Jintei</v>
      </c>
      <c r="D121" s="5" t="str">
        <f>IFERROR(__xludf.DUMMYFUNCTION("""COMPUTED_VALUE"""),"Test Driver")</f>
        <v>Test Driver</v>
      </c>
      <c r="E121" s="5">
        <f>IFERROR(__xludf.DUMMYFUNCTION("""COMPUTED_VALUE"""),0.006944444444444444)</f>
        <v>0.006944444444</v>
      </c>
      <c r="F121" s="5" t="str">
        <f>IFERROR(__xludf.DUMMYFUNCTION("""COMPUTED_VALUE"""),"GT86/ZN6")</f>
        <v>GT86/ZN6</v>
      </c>
      <c r="G121" s="5"/>
      <c r="H121" s="5" t="str">
        <f>IFERROR(__xludf.DUMMYFUNCTION("""COMPUTED_VALUE"""),"Sacc")</f>
        <v>Sacc</v>
      </c>
      <c r="I121" s="14" t="str">
        <f>IFERROR(__xludf.DUMMYFUNCTION("""COMPUTED_VALUE"""),"Akina")</f>
        <v>Akina</v>
      </c>
      <c r="J121" s="14" t="str">
        <f>IFERROR(__xludf.DUMMYFUNCTION("""COMPUTED_VALUE"""),"DH")</f>
        <v>DH</v>
      </c>
      <c r="K121" s="14" t="str">
        <f>IFERROR(__xludf.DUMMYFUNCTION("""COMPUTED_VALUE"""),"Jintei")</f>
        <v>Jintei</v>
      </c>
      <c r="L121" s="14" t="str">
        <f>IFERROR(__xludf.DUMMYFUNCTION("""COMPUTED_VALUE"""),"Test Driver")</f>
        <v>Test Driver</v>
      </c>
      <c r="M121" s="48">
        <f>IFERROR(__xludf.DUMMYFUNCTION("""COMPUTED_VALUE"""),0.006944444444444444)</f>
        <v>0.006944444444</v>
      </c>
      <c r="N121" s="14" t="str">
        <f>IFERROR(__xludf.DUMMYFUNCTION("""COMPUTED_VALUE"""),"S14")</f>
        <v>S14</v>
      </c>
      <c r="O121" s="14"/>
      <c r="P121" s="14" t="str">
        <f>IFERROR(__xludf.DUMMYFUNCTION("""COMPUTED_VALUE"""),"Sacc")</f>
        <v>Sacc</v>
      </c>
      <c r="Q121" s="5"/>
      <c r="R121" s="5"/>
      <c r="S121" s="5"/>
      <c r="T121" s="5"/>
      <c r="U121" s="5"/>
      <c r="V121" s="5"/>
      <c r="W121" s="5"/>
      <c r="X121" s="5"/>
      <c r="Y121" s="5"/>
      <c r="Z121" s="5"/>
      <c r="AA121" s="5"/>
      <c r="AB121" s="5"/>
      <c r="AC121" s="5"/>
      <c r="AD121" s="5"/>
      <c r="AE121" s="5"/>
      <c r="AF121" s="5"/>
      <c r="AG121" s="14"/>
      <c r="AH121" s="14"/>
      <c r="AI121" s="14"/>
      <c r="AJ121" s="14"/>
      <c r="AK121" s="14"/>
      <c r="AL121" s="14"/>
      <c r="AM121" s="14"/>
      <c r="AN121" s="14"/>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c r="A122" s="67" t="s">
        <v>181</v>
      </c>
      <c r="I122" s="14" t="str">
        <f>IFERROR(__xludf.DUMMYFUNCTION("""COMPUTED_VALUE"""),"Myogi(CC)")</f>
        <v>Myogi(CC)</v>
      </c>
      <c r="J122" s="14" t="str">
        <f>IFERROR(__xludf.DUMMYFUNCTION("""COMPUTED_VALUE"""),"CC")</f>
        <v>CC</v>
      </c>
      <c r="K122" s="14" t="str">
        <f>IFERROR(__xludf.DUMMYFUNCTION("""COMPUTED_VALUE"""),"Jintei")</f>
        <v>Jintei</v>
      </c>
      <c r="L122" s="14" t="str">
        <f>IFERROR(__xludf.DUMMYFUNCTION("""COMPUTED_VALUE"""),"Test Driver")</f>
        <v>Test Driver</v>
      </c>
      <c r="M122" s="14">
        <f>IFERROR(__xludf.DUMMYFUNCTION("""COMPUTED_VALUE"""),0.006944444444444444)</f>
        <v>0.006944444444</v>
      </c>
      <c r="N122" s="14" t="str">
        <f>IFERROR(__xludf.DUMMYFUNCTION("""COMPUTED_VALUE"""),"S14")</f>
        <v>S14</v>
      </c>
      <c r="O122" s="14"/>
      <c r="P122" s="14" t="str">
        <f>IFERROR(__xludf.DUMMYFUNCTION("""COMPUTED_VALUE"""),"Sacc")</f>
        <v>Sacc</v>
      </c>
      <c r="Q122" s="67" t="s">
        <v>182</v>
      </c>
      <c r="Y122" s="5"/>
      <c r="Z122" s="5"/>
      <c r="AA122" s="5"/>
      <c r="AB122" s="5"/>
      <c r="AC122" s="5"/>
      <c r="AD122" s="5"/>
      <c r="AE122" s="5"/>
      <c r="AF122" s="5"/>
      <c r="AG122" s="14"/>
      <c r="AH122" s="14"/>
      <c r="AI122" s="14"/>
      <c r="AJ122" s="14"/>
      <c r="AK122" s="14"/>
      <c r="AL122" s="14"/>
      <c r="AM122" s="14"/>
      <c r="AN122" s="14"/>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c r="A123" s="5" t="str">
        <f>IFERROR(__xludf.DUMMYFUNCTION("LET(
  車輛, A122,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23" s="5" t="str">
        <f>IFERROR(__xludf.DUMMYFUNCTION("""COMPUTED_VALUE"""),"路線")</f>
        <v>路線</v>
      </c>
      <c r="C123" s="5" t="str">
        <f>IFERROR(__xludf.DUMMYFUNCTION("""COMPUTED_VALUE"""),"作者")</f>
        <v>作者</v>
      </c>
      <c r="D123" s="5" t="str">
        <f>IFERROR(__xludf.DUMMYFUNCTION("""COMPUTED_VALUE"""),"玩家")</f>
        <v>玩家</v>
      </c>
      <c r="E123" s="5" t="str">
        <f>IFERROR(__xludf.DUMMYFUNCTION("""COMPUTED_VALUE"""),"時間")</f>
        <v>時間</v>
      </c>
      <c r="F123" s="5" t="str">
        <f>IFERROR(__xludf.DUMMYFUNCTION("""COMPUTED_VALUE"""),"車輛")</f>
        <v>車輛</v>
      </c>
      <c r="G123" s="5" t="str">
        <f>IFERROR(__xludf.DUMMYFUNCTION("""COMPUTED_VALUE"""),"平台")</f>
        <v>平台</v>
      </c>
      <c r="H123" s="5" t="str">
        <f>IFERROR(__xludf.DUMMYFUNCTION("""COMPUTED_VALUE"""),"系統")</f>
        <v>系統</v>
      </c>
      <c r="I123" s="14" t="str">
        <f>IFERROR(__xludf.DUMMYFUNCTION("""COMPUTED_VALUE"""),"Myogi(CC)")</f>
        <v>Myogi(CC)</v>
      </c>
      <c r="J123" s="14" t="str">
        <f>IFERROR(__xludf.DUMMYFUNCTION("""COMPUTED_VALUE"""),"CW")</f>
        <v>CW</v>
      </c>
      <c r="K123" s="14" t="str">
        <f>IFERROR(__xludf.DUMMYFUNCTION("""COMPUTED_VALUE"""),"Jintei")</f>
        <v>Jintei</v>
      </c>
      <c r="L123" s="14" t="str">
        <f>IFERROR(__xludf.DUMMYFUNCTION("""COMPUTED_VALUE"""),"Test Driver")</f>
        <v>Test Driver</v>
      </c>
      <c r="M123" s="14">
        <f>IFERROR(__xludf.DUMMYFUNCTION("""COMPUTED_VALUE"""),0.006944444444444444)</f>
        <v>0.006944444444</v>
      </c>
      <c r="N123" s="14" t="str">
        <f>IFERROR(__xludf.DUMMYFUNCTION("""COMPUTED_VALUE"""),"S14")</f>
        <v>S14</v>
      </c>
      <c r="O123" s="14"/>
      <c r="P123" s="14" t="str">
        <f>IFERROR(__xludf.DUMMYFUNCTION("""COMPUTED_VALUE"""),"Sacc")</f>
        <v>Sacc</v>
      </c>
      <c r="Q123" s="5" t="str">
        <f>IFERROR(__xludf.DUMMYFUNCTION("LET(
  車輛, Q122,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R123" s="5" t="str">
        <f>IFERROR(__xludf.DUMMYFUNCTION("""COMPUTED_VALUE"""),"路線")</f>
        <v>路線</v>
      </c>
      <c r="S123" s="5" t="str">
        <f>IFERROR(__xludf.DUMMYFUNCTION("""COMPUTED_VALUE"""),"作者")</f>
        <v>作者</v>
      </c>
      <c r="T123" s="5" t="str">
        <f>IFERROR(__xludf.DUMMYFUNCTION("""COMPUTED_VALUE"""),"玩家")</f>
        <v>玩家</v>
      </c>
      <c r="U123" s="5" t="str">
        <f>IFERROR(__xludf.DUMMYFUNCTION("""COMPUTED_VALUE"""),"時間")</f>
        <v>時間</v>
      </c>
      <c r="V123" s="5" t="str">
        <f>IFERROR(__xludf.DUMMYFUNCTION("""COMPUTED_VALUE"""),"車輛")</f>
        <v>車輛</v>
      </c>
      <c r="W123" s="5" t="str">
        <f>IFERROR(__xludf.DUMMYFUNCTION("""COMPUTED_VALUE"""),"平台")</f>
        <v>平台</v>
      </c>
      <c r="X123" s="5" t="str">
        <f>IFERROR(__xludf.DUMMYFUNCTION("""COMPUTED_VALUE"""),"系統")</f>
        <v>系統</v>
      </c>
      <c r="Y123" s="5"/>
      <c r="Z123" s="5"/>
      <c r="AA123" s="5"/>
      <c r="AB123" s="5"/>
      <c r="AC123" s="5"/>
      <c r="AD123" s="5"/>
      <c r="AE123" s="5"/>
      <c r="AF123" s="5"/>
      <c r="AG123" s="14"/>
      <c r="AH123" s="14"/>
      <c r="AI123" s="14"/>
      <c r="AJ123" s="14"/>
      <c r="AK123" s="14"/>
      <c r="AL123" s="14"/>
      <c r="AM123" s="14"/>
      <c r="AN123" s="14"/>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c r="A124" s="5" t="str">
        <f>IFERROR(__xludf.DUMMYFUNCTION("""COMPUTED_VALUE"""),"Odawara")</f>
        <v>Odawara</v>
      </c>
      <c r="B124" s="5" t="str">
        <f>IFERROR(__xludf.DUMMYFUNCTION("""COMPUTED_VALUE"""),"CW")</f>
        <v>CW</v>
      </c>
      <c r="C124" s="5" t="str">
        <f>IFERROR(__xludf.DUMMYFUNCTION("""COMPUTED_VALUE"""),"Jintei")</f>
        <v>Jintei</v>
      </c>
      <c r="D124" s="5" t="str">
        <f>IFERROR(__xludf.DUMMYFUNCTION("""COMPUTED_VALUE"""),"菲娜 希琉絲")</f>
        <v>菲娜 希琉絲</v>
      </c>
      <c r="E124" s="5">
        <f>IFERROR(__xludf.DUMMYFUNCTION("""COMPUTED_VALUE"""),0.0027771064814814815)</f>
        <v>0.002777106481</v>
      </c>
      <c r="F124" s="5" t="str">
        <f>IFERROR(__xludf.DUMMYFUNCTION("""COMPUTED_VALUE"""),"GT86/ZN6 V2")</f>
        <v>GT86/ZN6 V2</v>
      </c>
      <c r="G124" s="5" t="str">
        <f>IFERROR(__xludf.DUMMYFUNCTION("""COMPUTED_VALUE"""),"PCVR")</f>
        <v>PCVR</v>
      </c>
      <c r="H124" s="5" t="str">
        <f>IFERROR(__xludf.DUMMYFUNCTION("""COMPUTED_VALUE"""),"Sacc")</f>
        <v>Sacc</v>
      </c>
      <c r="I124" s="14" t="str">
        <f>IFERROR(__xludf.DUMMYFUNCTION("""COMPUTED_VALUE"""),"Shin Myogi")</f>
        <v>Shin Myogi</v>
      </c>
      <c r="J124" s="14" t="str">
        <f>IFERROR(__xludf.DUMMYFUNCTION("""COMPUTED_VALUE"""),"DH")</f>
        <v>DH</v>
      </c>
      <c r="K124" s="14" t="str">
        <f>IFERROR(__xludf.DUMMYFUNCTION("""COMPUTED_VALUE"""),"Jintei")</f>
        <v>Jintei</v>
      </c>
      <c r="L124" s="14" t="str">
        <f>IFERROR(__xludf.DUMMYFUNCTION("""COMPUTED_VALUE"""),"Test Driver")</f>
        <v>Test Driver</v>
      </c>
      <c r="M124" s="14">
        <f>IFERROR(__xludf.DUMMYFUNCTION("""COMPUTED_VALUE"""),0.006944444444444444)</f>
        <v>0.006944444444</v>
      </c>
      <c r="N124" s="14" t="str">
        <f>IFERROR(__xludf.DUMMYFUNCTION("""COMPUTED_VALUE"""),"S14")</f>
        <v>S14</v>
      </c>
      <c r="O124" s="14"/>
      <c r="P124" s="14" t="str">
        <f>IFERROR(__xludf.DUMMYFUNCTION("""COMPUTED_VALUE"""),"Sacc")</f>
        <v>Sacc</v>
      </c>
      <c r="Q124" s="5" t="str">
        <f>IFERROR(__xludf.DUMMYFUNCTION("""COMPUTED_VALUE"""),"Myogi(CC)")</f>
        <v>Myogi(CC)</v>
      </c>
      <c r="R124" s="5" t="str">
        <f>IFERROR(__xludf.DUMMYFUNCTION("""COMPUTED_VALUE"""),"CC")</f>
        <v>CC</v>
      </c>
      <c r="S124" s="5" t="str">
        <f>IFERROR(__xludf.DUMMYFUNCTION("""COMPUTED_VALUE"""),"Jintei")</f>
        <v>Jintei</v>
      </c>
      <c r="T124" s="5" t="str">
        <f>IFERROR(__xludf.DUMMYFUNCTION("""COMPUTED_VALUE"""),"StarRiver Arts")</f>
        <v>StarRiver Arts</v>
      </c>
      <c r="U124" s="5">
        <f>IFERROR(__xludf.DUMMYFUNCTION("""COMPUTED_VALUE"""),0.002621331018518519)</f>
        <v>0.002621331019</v>
      </c>
      <c r="V124" s="5" t="str">
        <f>IFERROR(__xludf.DUMMYFUNCTION("""COMPUTED_VALUE"""),"GC8-G (Impreza)")</f>
        <v>GC8-G (Impreza)</v>
      </c>
      <c r="W124" s="5" t="str">
        <f>IFERROR(__xludf.DUMMYFUNCTION("""COMPUTED_VALUE"""),"PC")</f>
        <v>PC</v>
      </c>
      <c r="X124" s="5" t="str">
        <f>IFERROR(__xludf.DUMMYFUNCTION("""COMPUTED_VALUE"""),"Sacc")</f>
        <v>Sacc</v>
      </c>
      <c r="Y124" s="5"/>
      <c r="Z124" s="5"/>
      <c r="AA124" s="5"/>
      <c r="AB124" s="5"/>
      <c r="AC124" s="5"/>
      <c r="AD124" s="5"/>
      <c r="AE124" s="5"/>
      <c r="AF124" s="5"/>
      <c r="AG124" s="14"/>
      <c r="AH124" s="14"/>
      <c r="AI124" s="14"/>
      <c r="AJ124" s="14"/>
      <c r="AK124" s="14"/>
      <c r="AL124" s="14"/>
      <c r="AM124" s="14"/>
      <c r="AN124" s="14"/>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c r="A125" s="5" t="str">
        <f>IFERROR(__xludf.DUMMYFUNCTION("""COMPUTED_VALUE"""),"Odawara")</f>
        <v>Odawara</v>
      </c>
      <c r="B125" s="5" t="str">
        <f>IFERROR(__xludf.DUMMYFUNCTION("""COMPUTED_VALUE"""),"CC")</f>
        <v>CC</v>
      </c>
      <c r="C125" s="5" t="str">
        <f>IFERROR(__xludf.DUMMYFUNCTION("""COMPUTED_VALUE"""),"Jintei")</f>
        <v>Jintei</v>
      </c>
      <c r="D125" s="5" t="str">
        <f>IFERROR(__xludf.DUMMYFUNCTION("""COMPUTED_VALUE"""),"アビドサスヒカリ")</f>
        <v>アビドサスヒカリ</v>
      </c>
      <c r="E125" s="5">
        <f>IFERROR(__xludf.DUMMYFUNCTION("""COMPUTED_VALUE"""),0.0032572800925925924)</f>
        <v>0.003257280093</v>
      </c>
      <c r="F125" s="5" t="str">
        <f>IFERROR(__xludf.DUMMYFUNCTION("""COMPUTED_VALUE"""),"GT86/ZN6 V2")</f>
        <v>GT86/ZN6 V2</v>
      </c>
      <c r="G125" s="5" t="str">
        <f>IFERROR(__xludf.DUMMYFUNCTION("""COMPUTED_VALUE"""),"PC")</f>
        <v>PC</v>
      </c>
      <c r="H125" s="5" t="str">
        <f>IFERROR(__xludf.DUMMYFUNCTION("""COMPUTED_VALUE"""),"Sacc")</f>
        <v>Sacc</v>
      </c>
      <c r="I125" s="14" t="str">
        <f>IFERROR(__xludf.DUMMYFUNCTION("""COMPUTED_VALUE"""),"Shin Myogi")</f>
        <v>Shin Myogi</v>
      </c>
      <c r="J125" s="14" t="str">
        <f>IFERROR(__xludf.DUMMYFUNCTION("""COMPUTED_VALUE"""),"UH")</f>
        <v>UH</v>
      </c>
      <c r="K125" s="14" t="str">
        <f>IFERROR(__xludf.DUMMYFUNCTION("""COMPUTED_VALUE"""),"Jintei")</f>
        <v>Jintei</v>
      </c>
      <c r="L125" s="14" t="str">
        <f>IFERROR(__xludf.DUMMYFUNCTION("""COMPUTED_VALUE"""),"Test Driver")</f>
        <v>Test Driver</v>
      </c>
      <c r="M125" s="48">
        <f>IFERROR(__xludf.DUMMYFUNCTION("""COMPUTED_VALUE"""),0.006944444444444444)</f>
        <v>0.006944444444</v>
      </c>
      <c r="N125" s="14" t="str">
        <f>IFERROR(__xludf.DUMMYFUNCTION("""COMPUTED_VALUE"""),"S14")</f>
        <v>S14</v>
      </c>
      <c r="O125" s="14"/>
      <c r="P125" s="14" t="str">
        <f>IFERROR(__xludf.DUMMYFUNCTION("""COMPUTED_VALUE"""),"Sacc")</f>
        <v>Sacc</v>
      </c>
      <c r="Q125" s="5" t="str">
        <f>IFERROR(__xludf.DUMMYFUNCTION("""COMPUTED_VALUE"""),"Myogi(CC)")</f>
        <v>Myogi(CC)</v>
      </c>
      <c r="R125" s="5" t="str">
        <f>IFERROR(__xludf.DUMMYFUNCTION("""COMPUTED_VALUE"""),"CW")</f>
        <v>CW</v>
      </c>
      <c r="S125" s="5" t="str">
        <f>IFERROR(__xludf.DUMMYFUNCTION("""COMPUTED_VALUE"""),"Jintei")</f>
        <v>Jintei</v>
      </c>
      <c r="T125" s="5" t="str">
        <f>IFERROR(__xludf.DUMMYFUNCTION("""COMPUTED_VALUE"""),"Test Driver")</f>
        <v>Test Driver</v>
      </c>
      <c r="U125" s="5">
        <f>IFERROR(__xludf.DUMMYFUNCTION("""COMPUTED_VALUE"""),0.006944444444444444)</f>
        <v>0.006944444444</v>
      </c>
      <c r="V125" s="5" t="str">
        <f>IFERROR(__xludf.DUMMYFUNCTION("""COMPUTED_VALUE"""),"GC8-G (Impreza)")</f>
        <v>GC8-G (Impreza)</v>
      </c>
      <c r="W125" s="5"/>
      <c r="X125" s="5" t="str">
        <f>IFERROR(__xludf.DUMMYFUNCTION("""COMPUTED_VALUE"""),"Sacc")</f>
        <v>Sacc</v>
      </c>
      <c r="Y125" s="5"/>
      <c r="Z125" s="5"/>
      <c r="AA125" s="5"/>
      <c r="AB125" s="5"/>
      <c r="AC125" s="5"/>
      <c r="AD125" s="5"/>
      <c r="AE125" s="5"/>
      <c r="AF125" s="5"/>
      <c r="AG125" s="14"/>
      <c r="AH125" s="14"/>
      <c r="AI125" s="14"/>
      <c r="AJ125" s="14"/>
      <c r="AK125" s="14"/>
      <c r="AL125" s="14"/>
      <c r="AM125" s="14"/>
      <c r="AN125" s="14"/>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c r="A126" s="5"/>
      <c r="B126" s="5"/>
      <c r="C126" s="5"/>
      <c r="D126" s="5"/>
      <c r="E126" s="5"/>
      <c r="F126" s="5"/>
      <c r="G126" s="5"/>
      <c r="H126" s="5"/>
      <c r="I126" s="14"/>
      <c r="J126" s="14"/>
      <c r="K126" s="14"/>
      <c r="L126" s="14"/>
      <c r="M126" s="48"/>
      <c r="N126" s="14"/>
      <c r="O126" s="14"/>
      <c r="P126" s="14"/>
      <c r="Q126" s="5"/>
      <c r="R126" s="5"/>
      <c r="S126" s="5"/>
      <c r="T126" s="5"/>
      <c r="U126" s="5"/>
      <c r="V126" s="5"/>
      <c r="W126" s="5"/>
      <c r="X126" s="5"/>
      <c r="Y126" s="5"/>
      <c r="Z126" s="5"/>
      <c r="AA126" s="5"/>
      <c r="AB126" s="5"/>
      <c r="AC126" s="5"/>
      <c r="AD126" s="5"/>
      <c r="AE126" s="5"/>
      <c r="AF126" s="5"/>
      <c r="AG126" s="14"/>
      <c r="AH126" s="14"/>
      <c r="AI126" s="14"/>
      <c r="AJ126" s="14"/>
      <c r="AK126" s="14"/>
      <c r="AL126" s="14"/>
      <c r="AM126" s="14"/>
      <c r="AN126" s="14"/>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c r="A127" s="5"/>
      <c r="B127" s="5"/>
      <c r="C127" s="5"/>
      <c r="D127" s="5"/>
      <c r="E127" s="5"/>
      <c r="F127" s="5"/>
      <c r="G127" s="5"/>
      <c r="H127" s="5"/>
      <c r="I127" s="14"/>
      <c r="J127" s="14"/>
      <c r="K127" s="14"/>
      <c r="L127" s="14"/>
      <c r="M127" s="14"/>
      <c r="N127" s="14"/>
      <c r="O127" s="14"/>
      <c r="P127" s="14"/>
      <c r="Q127" s="5"/>
      <c r="R127" s="5"/>
      <c r="S127" s="5"/>
      <c r="T127" s="5"/>
      <c r="U127" s="5"/>
      <c r="V127" s="5"/>
      <c r="W127" s="5"/>
      <c r="X127" s="5"/>
      <c r="Y127" s="5"/>
      <c r="Z127" s="5"/>
      <c r="AA127" s="5"/>
      <c r="AB127" s="5"/>
      <c r="AC127" s="5"/>
      <c r="AD127" s="5"/>
      <c r="AE127" s="5"/>
      <c r="AF127" s="5"/>
      <c r="AG127" s="14"/>
      <c r="AH127" s="14"/>
      <c r="AI127" s="14"/>
      <c r="AJ127" s="14"/>
      <c r="AK127" s="14"/>
      <c r="AL127" s="14"/>
      <c r="AM127" s="14"/>
      <c r="AN127" s="14"/>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c r="A128" s="67" t="s">
        <v>183</v>
      </c>
      <c r="I128" s="14"/>
      <c r="J128" s="14"/>
      <c r="K128" s="14"/>
      <c r="L128" s="14"/>
      <c r="M128" s="14"/>
      <c r="N128" s="14"/>
      <c r="O128" s="14"/>
      <c r="P128" s="14"/>
      <c r="Q128" s="67" t="s">
        <v>184</v>
      </c>
      <c r="Y128" s="5"/>
      <c r="Z128" s="5"/>
      <c r="AA128" s="5"/>
      <c r="AB128" s="5"/>
      <c r="AC128" s="5"/>
      <c r="AD128" s="5"/>
      <c r="AE128" s="5"/>
      <c r="AF128" s="5"/>
      <c r="AG128" s="14"/>
      <c r="AH128" s="14"/>
      <c r="AI128" s="14"/>
      <c r="AJ128" s="14"/>
      <c r="AK128" s="14"/>
      <c r="AL128" s="14"/>
      <c r="AM128" s="14"/>
      <c r="AN128" s="14"/>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c r="A129" s="5" t="str">
        <f>IFERROR(__xludf.DUMMYFUNCTION("LET(
  車輛, A128,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29" s="5" t="str">
        <f>IFERROR(__xludf.DUMMYFUNCTION("""COMPUTED_VALUE"""),"路線")</f>
        <v>路線</v>
      </c>
      <c r="C129" s="5" t="str">
        <f>IFERROR(__xludf.DUMMYFUNCTION("""COMPUTED_VALUE"""),"作者")</f>
        <v>作者</v>
      </c>
      <c r="D129" s="5" t="str">
        <f>IFERROR(__xludf.DUMMYFUNCTION("""COMPUTED_VALUE"""),"玩家")</f>
        <v>玩家</v>
      </c>
      <c r="E129" s="5" t="str">
        <f>IFERROR(__xludf.DUMMYFUNCTION("""COMPUTED_VALUE"""),"時間")</f>
        <v>時間</v>
      </c>
      <c r="F129" s="5" t="str">
        <f>IFERROR(__xludf.DUMMYFUNCTION("""COMPUTED_VALUE"""),"車輛")</f>
        <v>車輛</v>
      </c>
      <c r="G129" s="5" t="str">
        <f>IFERROR(__xludf.DUMMYFUNCTION("""COMPUTED_VALUE"""),"平台")</f>
        <v>平台</v>
      </c>
      <c r="H129" s="5" t="str">
        <f>IFERROR(__xludf.DUMMYFUNCTION("""COMPUTED_VALUE"""),"系統")</f>
        <v>系統</v>
      </c>
      <c r="I129" s="14"/>
      <c r="J129" s="14"/>
      <c r="K129" s="14"/>
      <c r="L129" s="14"/>
      <c r="M129" s="14"/>
      <c r="N129" s="14"/>
      <c r="O129" s="14"/>
      <c r="P129" s="14"/>
      <c r="Q129" s="5" t="str">
        <f>IFERROR(__xludf.DUMMYFUNCTION("LET(
  車輛, Q128,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R129" s="5" t="str">
        <f>IFERROR(__xludf.DUMMYFUNCTION("""COMPUTED_VALUE"""),"路線")</f>
        <v>路線</v>
      </c>
      <c r="S129" s="5" t="str">
        <f>IFERROR(__xludf.DUMMYFUNCTION("""COMPUTED_VALUE"""),"作者")</f>
        <v>作者</v>
      </c>
      <c r="T129" s="5" t="str">
        <f>IFERROR(__xludf.DUMMYFUNCTION("""COMPUTED_VALUE"""),"玩家")</f>
        <v>玩家</v>
      </c>
      <c r="U129" s="5" t="str">
        <f>IFERROR(__xludf.DUMMYFUNCTION("""COMPUTED_VALUE"""),"時間")</f>
        <v>時間</v>
      </c>
      <c r="V129" s="5" t="str">
        <f>IFERROR(__xludf.DUMMYFUNCTION("""COMPUTED_VALUE"""),"車輛")</f>
        <v>車輛</v>
      </c>
      <c r="W129" s="5" t="str">
        <f>IFERROR(__xludf.DUMMYFUNCTION("""COMPUTED_VALUE"""),"平台")</f>
        <v>平台</v>
      </c>
      <c r="X129" s="5" t="str">
        <f>IFERROR(__xludf.DUMMYFUNCTION("""COMPUTED_VALUE"""),"系統")</f>
        <v>系統</v>
      </c>
      <c r="Y129" s="5"/>
      <c r="Z129" s="5"/>
      <c r="AA129" s="5"/>
      <c r="AB129" s="5"/>
      <c r="AC129" s="5"/>
      <c r="AD129" s="5"/>
      <c r="AE129" s="5"/>
      <c r="AF129" s="5"/>
      <c r="AG129" s="14"/>
      <c r="AH129" s="14"/>
      <c r="AI129" s="14"/>
      <c r="AJ129" s="14"/>
      <c r="AK129" s="14"/>
      <c r="AL129" s="14"/>
      <c r="AM129" s="14"/>
      <c r="AN129" s="14"/>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c r="A130" s="5" t="str">
        <f>IFERROR(__xludf.DUMMYFUNCTION("""COMPUTED_VALUE"""),"Akina")</f>
        <v>Akina</v>
      </c>
      <c r="B130" s="5" t="str">
        <f>IFERROR(__xludf.DUMMYFUNCTION("""COMPUTED_VALUE"""),"DH")</f>
        <v>DH</v>
      </c>
      <c r="C130" s="5" t="str">
        <f>IFERROR(__xludf.DUMMYFUNCTION("""COMPUTED_VALUE"""),"Jintei")</f>
        <v>Jintei</v>
      </c>
      <c r="D130" s="5" t="str">
        <f>IFERROR(__xludf.DUMMYFUNCTION("""COMPUTED_VALUE"""),"Lolidia")</f>
        <v>Lolidia</v>
      </c>
      <c r="E130" s="5">
        <f>IFERROR(__xludf.DUMMYFUNCTION("""COMPUTED_VALUE"""),0.0024071527777777776)</f>
        <v>0.002407152778</v>
      </c>
      <c r="F130" s="5" t="str">
        <f>IFERROR(__xludf.DUMMYFUNCTION("""COMPUTED_VALUE"""),"GR86/ZN8")</f>
        <v>GR86/ZN8</v>
      </c>
      <c r="G130" s="5" t="str">
        <f>IFERROR(__xludf.DUMMYFUNCTION("""COMPUTED_VALUE"""),"PCVR")</f>
        <v>PCVR</v>
      </c>
      <c r="H130" s="5" t="str">
        <f>IFERROR(__xludf.DUMMYFUNCTION("""COMPUTED_VALUE"""),"Sacc")</f>
        <v>Sacc</v>
      </c>
      <c r="I130" s="71" t="s">
        <v>185</v>
      </c>
      <c r="Q130" s="5" t="str">
        <f>IFERROR(__xludf.DUMMYFUNCTION("""COMPUTED_VALUE"""),"Tsukuba")</f>
        <v>Tsukuba</v>
      </c>
      <c r="R130" s="5" t="str">
        <f>IFERROR(__xludf.DUMMYFUNCTION("""COMPUTED_VALUE"""),"Double")</f>
        <v>Double</v>
      </c>
      <c r="S130" s="5" t="str">
        <f>IFERROR(__xludf.DUMMYFUNCTION("""COMPUTED_VALUE"""),"Jintei")</f>
        <v>Jintei</v>
      </c>
      <c r="T130" s="5" t="str">
        <f>IFERROR(__xludf.DUMMYFUNCTION("""COMPUTED_VALUE"""),"Kinokono_Tenka")</f>
        <v>Kinokono_Tenka</v>
      </c>
      <c r="U130" s="5">
        <f>IFERROR(__xludf.DUMMYFUNCTION("""COMPUTED_VALUE"""),0.0025760300925925924)</f>
        <v>0.002576030093</v>
      </c>
      <c r="V130" s="5" t="str">
        <f>IFERROR(__xludf.DUMMYFUNCTION("""COMPUTED_VALUE"""),"GDB-F (Impreza WRX STi)")</f>
        <v>GDB-F (Impreza WRX STi)</v>
      </c>
      <c r="W130" s="5" t="str">
        <f>IFERROR(__xludf.DUMMYFUNCTION("""COMPUTED_VALUE"""),"PCVR")</f>
        <v>PCVR</v>
      </c>
      <c r="X130" s="5" t="str">
        <f>IFERROR(__xludf.DUMMYFUNCTION("""COMPUTED_VALUE"""),"Sacc")</f>
        <v>Sacc</v>
      </c>
      <c r="Y130" s="5"/>
      <c r="Z130" s="5"/>
      <c r="AA130" s="5"/>
      <c r="AB130" s="5"/>
      <c r="AC130" s="5"/>
      <c r="AD130" s="5"/>
      <c r="AE130" s="5"/>
      <c r="AF130" s="5"/>
      <c r="AG130" s="14"/>
      <c r="AH130" s="14"/>
      <c r="AI130" s="14"/>
      <c r="AJ130" s="14"/>
      <c r="AK130" s="14"/>
      <c r="AL130" s="14"/>
      <c r="AM130" s="14"/>
      <c r="AN130" s="14"/>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c r="A131" s="5" t="str">
        <f>IFERROR(__xludf.DUMMYFUNCTION("""COMPUTED_VALUE"""),"Usui V2")</f>
        <v>Usui V2</v>
      </c>
      <c r="B131" s="5" t="str">
        <f>IFERROR(__xludf.DUMMYFUNCTION("""COMPUTED_VALUE"""),"CW")</f>
        <v>CW</v>
      </c>
      <c r="C131" s="5" t="str">
        <f>IFERROR(__xludf.DUMMYFUNCTION("""COMPUTED_VALUE"""),"Jintei")</f>
        <v>Jintei</v>
      </c>
      <c r="D131" s="5" t="str">
        <f>IFERROR(__xludf.DUMMYFUNCTION("""COMPUTED_VALUE"""),"アビドサスヒカリ")</f>
        <v>アビドサスヒカリ</v>
      </c>
      <c r="E131" s="5">
        <f>IFERROR(__xludf.DUMMYFUNCTION("""COMPUTED_VALUE"""),0.0026407291666666667)</f>
        <v>0.002640729167</v>
      </c>
      <c r="F131" s="5" t="str">
        <f>IFERROR(__xludf.DUMMYFUNCTION("""COMPUTED_VALUE"""),"GR86/ZN8")</f>
        <v>GR86/ZN8</v>
      </c>
      <c r="G131" s="5" t="str">
        <f>IFERROR(__xludf.DUMMYFUNCTION("""COMPUTED_VALUE"""),"PC")</f>
        <v>PC</v>
      </c>
      <c r="H131" s="5" t="str">
        <f>IFERROR(__xludf.DUMMYFUNCTION("""COMPUTED_VALUE"""),"Sacc")</f>
        <v>Sacc</v>
      </c>
      <c r="I131" s="14" t="str">
        <f>IFERROR(__xludf.DUMMYFUNCTION("LET(
  車輛, I130,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31" s="14" t="str">
        <f>IFERROR(__xludf.DUMMYFUNCTION("""COMPUTED_VALUE"""),"路線")</f>
        <v>路線</v>
      </c>
      <c r="K131" s="14" t="str">
        <f>IFERROR(__xludf.DUMMYFUNCTION("""COMPUTED_VALUE"""),"作者")</f>
        <v>作者</v>
      </c>
      <c r="L131" s="14" t="str">
        <f>IFERROR(__xludf.DUMMYFUNCTION("""COMPUTED_VALUE"""),"玩家")</f>
        <v>玩家</v>
      </c>
      <c r="M131" s="14" t="str">
        <f>IFERROR(__xludf.DUMMYFUNCTION("""COMPUTED_VALUE"""),"時間")</f>
        <v>時間</v>
      </c>
      <c r="N131" s="14" t="str">
        <f>IFERROR(__xludf.DUMMYFUNCTION("""COMPUTED_VALUE"""),"車輛")</f>
        <v>車輛</v>
      </c>
      <c r="O131" s="14" t="str">
        <f>IFERROR(__xludf.DUMMYFUNCTION("""COMPUTED_VALUE"""),"平台")</f>
        <v>平台</v>
      </c>
      <c r="P131" s="14" t="str">
        <f>IFERROR(__xludf.DUMMYFUNCTION("""COMPUTED_VALUE"""),"系統")</f>
        <v>系統</v>
      </c>
      <c r="Q131" s="5" t="str">
        <f>IFERROR(__xludf.DUMMYFUNCTION("""COMPUTED_VALUE"""),"Tsukuba")</f>
        <v>Tsukuba</v>
      </c>
      <c r="R131" s="5" t="str">
        <f>IFERROR(__xludf.DUMMYFUNCTION("""COMPUTED_VALUE"""),"UH")</f>
        <v>UH</v>
      </c>
      <c r="S131" s="5" t="str">
        <f>IFERROR(__xludf.DUMMYFUNCTION("""COMPUTED_VALUE"""),"Jintei")</f>
        <v>Jintei</v>
      </c>
      <c r="T131" s="5" t="str">
        <f>IFERROR(__xludf.DUMMYFUNCTION("""COMPUTED_VALUE"""),"ikuhopen")</f>
        <v>ikuhopen</v>
      </c>
      <c r="U131" s="5">
        <f>IFERROR(__xludf.DUMMYFUNCTION("""COMPUTED_VALUE"""),0.0012766435185185185)</f>
        <v>0.001276643519</v>
      </c>
      <c r="V131" s="5" t="str">
        <f>IFERROR(__xludf.DUMMYFUNCTION("""COMPUTED_VALUE"""),"GDB-F (Impreza WRX STi)")</f>
        <v>GDB-F (Impreza WRX STi)</v>
      </c>
      <c r="W131" s="5" t="str">
        <f>IFERROR(__xludf.DUMMYFUNCTION("""COMPUTED_VALUE"""),"PCVR")</f>
        <v>PCVR</v>
      </c>
      <c r="X131" s="5" t="str">
        <f>IFERROR(__xludf.DUMMYFUNCTION("""COMPUTED_VALUE"""),"Sacc")</f>
        <v>Sacc</v>
      </c>
      <c r="Y131" s="5"/>
      <c r="Z131" s="5"/>
      <c r="AA131" s="5"/>
      <c r="AB131" s="5"/>
      <c r="AC131" s="5"/>
      <c r="AD131" s="5"/>
      <c r="AE131" s="5"/>
      <c r="AF131" s="5"/>
      <c r="AG131" s="14"/>
      <c r="AH131" s="14"/>
      <c r="AI131" s="14"/>
      <c r="AJ131" s="14"/>
      <c r="AK131" s="14"/>
      <c r="AL131" s="14"/>
      <c r="AM131" s="14"/>
      <c r="AN131" s="14"/>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c r="A132" s="5" t="str">
        <f>IFERROR(__xludf.DUMMYFUNCTION("""COMPUTED_VALUE"""),"Akina")</f>
        <v>Akina</v>
      </c>
      <c r="B132" s="5" t="str">
        <f>IFERROR(__xludf.DUMMYFUNCTION("""COMPUTED_VALUE"""),"UH")</f>
        <v>UH</v>
      </c>
      <c r="C132" s="5" t="str">
        <f>IFERROR(__xludf.DUMMYFUNCTION("""COMPUTED_VALUE"""),"Jintei")</f>
        <v>Jintei</v>
      </c>
      <c r="D132" s="5" t="str">
        <f>IFERROR(__xludf.DUMMYFUNCTION("""COMPUTED_VALUE"""),"Test Driver")</f>
        <v>Test Driver</v>
      </c>
      <c r="E132" s="5">
        <f>IFERROR(__xludf.DUMMYFUNCTION("""COMPUTED_VALUE"""),0.006944444444444444)</f>
        <v>0.006944444444</v>
      </c>
      <c r="F132" s="5" t="str">
        <f>IFERROR(__xludf.DUMMYFUNCTION("""COMPUTED_VALUE"""),"GR86/ZN8")</f>
        <v>GR86/ZN8</v>
      </c>
      <c r="G132" s="5"/>
      <c r="H132" s="5" t="str">
        <f>IFERROR(__xludf.DUMMYFUNCTION("""COMPUTED_VALUE"""),"Sacc")</f>
        <v>Sacc</v>
      </c>
      <c r="I132" s="14" t="str">
        <f>IFERROR(__xludf.DUMMYFUNCTION("""COMPUTED_VALUE"""),"Akagi")</f>
        <v>Akagi</v>
      </c>
      <c r="J132" s="14" t="str">
        <f>IFERROR(__xludf.DUMMYFUNCTION("""COMPUTED_VALUE"""),"DH")</f>
        <v>DH</v>
      </c>
      <c r="K132" s="14" t="str">
        <f>IFERROR(__xludf.DUMMYFUNCTION("""COMPUTED_VALUE"""),"Jintei")</f>
        <v>Jintei</v>
      </c>
      <c r="L132" s="14" t="str">
        <f>IFERROR(__xludf.DUMMYFUNCTION("""COMPUTED_VALUE"""),"Sakanakokokoko")</f>
        <v>Sakanakokokoko</v>
      </c>
      <c r="M132" s="48">
        <f>IFERROR(__xludf.DUMMYFUNCTION("""COMPUTED_VALUE"""),0.0028111458333333335)</f>
        <v>0.002811145833</v>
      </c>
      <c r="N132" s="14" t="str">
        <f>IFERROR(__xludf.DUMMYFUNCTION("""COMPUTED_VALUE"""),"S14Q")</f>
        <v>S14Q</v>
      </c>
      <c r="O132" s="14" t="str">
        <f>IFERROR(__xludf.DUMMYFUNCTION("""COMPUTED_VALUE"""),"PC")</f>
        <v>PC</v>
      </c>
      <c r="P132" s="14" t="str">
        <f>IFERROR(__xludf.DUMMYFUNCTION("""COMPUTED_VALUE"""),"Sacc")</f>
        <v>Sacc</v>
      </c>
      <c r="Q132" s="5" t="str">
        <f>IFERROR(__xludf.DUMMYFUNCTION("""COMPUTED_VALUE"""),"Myogi(CC)")</f>
        <v>Myogi(CC)</v>
      </c>
      <c r="R132" s="5" t="str">
        <f>IFERROR(__xludf.DUMMYFUNCTION("""COMPUTED_VALUE"""),"CC")</f>
        <v>CC</v>
      </c>
      <c r="S132" s="5" t="str">
        <f>IFERROR(__xludf.DUMMYFUNCTION("""COMPUTED_VALUE"""),"Jintei")</f>
        <v>Jintei</v>
      </c>
      <c r="T132" s="5" t="str">
        <f>IFERROR(__xludf.DUMMYFUNCTION("""COMPUTED_VALUE"""),"Test Driver")</f>
        <v>Test Driver</v>
      </c>
      <c r="U132" s="5">
        <f>IFERROR(__xludf.DUMMYFUNCTION("""COMPUTED_VALUE"""),0.006944444444444444)</f>
        <v>0.006944444444</v>
      </c>
      <c r="V132" s="5" t="str">
        <f>IFERROR(__xludf.DUMMYFUNCTION("""COMPUTED_VALUE"""),"GDB-F (Impreza WRX STi)")</f>
        <v>GDB-F (Impreza WRX STi)</v>
      </c>
      <c r="W132" s="5"/>
      <c r="X132" s="5" t="str">
        <f>IFERROR(__xludf.DUMMYFUNCTION("""COMPUTED_VALUE"""),"Sacc")</f>
        <v>Sacc</v>
      </c>
      <c r="Y132" s="5"/>
      <c r="Z132" s="5"/>
      <c r="AA132" s="5"/>
      <c r="AB132" s="5"/>
      <c r="AC132" s="5"/>
      <c r="AD132" s="5"/>
      <c r="AE132" s="5"/>
      <c r="AF132" s="5"/>
      <c r="AG132" s="14"/>
      <c r="AH132" s="14"/>
      <c r="AI132" s="14"/>
      <c r="AJ132" s="14"/>
      <c r="AK132" s="14"/>
      <c r="AL132" s="14"/>
      <c r="AM132" s="14"/>
      <c r="AN132" s="14"/>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c r="A133" s="5" t="str">
        <f>IFERROR(__xludf.DUMMYFUNCTION("""COMPUTED_VALUE"""),"Usui V2")</f>
        <v>Usui V2</v>
      </c>
      <c r="B133" s="5" t="str">
        <f>IFERROR(__xludf.DUMMYFUNCTION("""COMPUTED_VALUE"""),"CC")</f>
        <v>CC</v>
      </c>
      <c r="C133" s="5" t="str">
        <f>IFERROR(__xludf.DUMMYFUNCTION("""COMPUTED_VALUE"""),"Jintei")</f>
        <v>Jintei</v>
      </c>
      <c r="D133" s="5" t="str">
        <f>IFERROR(__xludf.DUMMYFUNCTION("""COMPUTED_VALUE"""),"Test Driver")</f>
        <v>Test Driver</v>
      </c>
      <c r="E133" s="5">
        <f>IFERROR(__xludf.DUMMYFUNCTION("""COMPUTED_VALUE"""),0.006944444444444444)</f>
        <v>0.006944444444</v>
      </c>
      <c r="F133" s="5" t="str">
        <f>IFERROR(__xludf.DUMMYFUNCTION("""COMPUTED_VALUE"""),"GR86/ZN8")</f>
        <v>GR86/ZN8</v>
      </c>
      <c r="G133" s="5"/>
      <c r="H133" s="5" t="str">
        <f>IFERROR(__xludf.DUMMYFUNCTION("""COMPUTED_VALUE"""),"Sacc")</f>
        <v>Sacc</v>
      </c>
      <c r="I133" s="14" t="str">
        <f>IFERROR(__xludf.DUMMYFUNCTION("""COMPUTED_VALUE"""),"Myogi (ASV)")</f>
        <v>Myogi (ASV)</v>
      </c>
      <c r="J133" s="14" t="str">
        <f>IFERROR(__xludf.DUMMYFUNCTION("""COMPUTED_VALUE"""),"DH")</f>
        <v>DH</v>
      </c>
      <c r="K133" s="14" t="str">
        <f>IFERROR(__xludf.DUMMYFUNCTION("""COMPUTED_VALUE"""),"Jintei")</f>
        <v>Jintei</v>
      </c>
      <c r="L133" s="14" t="str">
        <f>IFERROR(__xludf.DUMMYFUNCTION("""COMPUTED_VALUE"""),"ikuhopen")</f>
        <v>ikuhopen</v>
      </c>
      <c r="M133" s="48">
        <f>IFERROR(__xludf.DUMMYFUNCTION("""COMPUTED_VALUE"""),0.0022929050925925925)</f>
        <v>0.002292905093</v>
      </c>
      <c r="N133" s="14" t="str">
        <f>IFERROR(__xludf.DUMMYFUNCTION("""COMPUTED_VALUE"""),"S14Q")</f>
        <v>S14Q</v>
      </c>
      <c r="O133" s="14" t="str">
        <f>IFERROR(__xludf.DUMMYFUNCTION("""COMPUTED_VALUE"""),"PC")</f>
        <v>PC</v>
      </c>
      <c r="P133" s="14" t="str">
        <f>IFERROR(__xludf.DUMMYFUNCTION("""COMPUTED_VALUE"""),"Sacc")</f>
        <v>Sacc</v>
      </c>
      <c r="Q133" s="5" t="str">
        <f>IFERROR(__xludf.DUMMYFUNCTION("""COMPUTED_VALUE"""),"Myogi(CC)")</f>
        <v>Myogi(CC)</v>
      </c>
      <c r="R133" s="5" t="str">
        <f>IFERROR(__xludf.DUMMYFUNCTION("""COMPUTED_VALUE"""),"CW")</f>
        <v>CW</v>
      </c>
      <c r="S133" s="5" t="str">
        <f>IFERROR(__xludf.DUMMYFUNCTION("""COMPUTED_VALUE"""),"Jintei")</f>
        <v>Jintei</v>
      </c>
      <c r="T133" s="5" t="str">
        <f>IFERROR(__xludf.DUMMYFUNCTION("""COMPUTED_VALUE"""),"Test Driver")</f>
        <v>Test Driver</v>
      </c>
      <c r="U133" s="5">
        <f>IFERROR(__xludf.DUMMYFUNCTION("""COMPUTED_VALUE"""),0.006944444444444444)</f>
        <v>0.006944444444</v>
      </c>
      <c r="V133" s="5" t="str">
        <f>IFERROR(__xludf.DUMMYFUNCTION("""COMPUTED_VALUE"""),"GDB-F (Impreza WRX STi)")</f>
        <v>GDB-F (Impreza WRX STi)</v>
      </c>
      <c r="W133" s="5"/>
      <c r="X133" s="5" t="str">
        <f>IFERROR(__xludf.DUMMYFUNCTION("""COMPUTED_VALUE"""),"Sacc")</f>
        <v>Sacc</v>
      </c>
      <c r="Y133" s="5"/>
      <c r="Z133" s="5"/>
      <c r="AA133" s="5"/>
      <c r="AB133" s="5"/>
      <c r="AC133" s="5"/>
      <c r="AD133" s="5"/>
      <c r="AE133" s="5"/>
      <c r="AF133" s="5"/>
      <c r="AG133" s="14"/>
      <c r="AH133" s="14"/>
      <c r="AI133" s="14"/>
      <c r="AJ133" s="14"/>
      <c r="AK133" s="14"/>
      <c r="AL133" s="14"/>
      <c r="AM133" s="14"/>
      <c r="AN133" s="14"/>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c r="A134" s="67" t="s">
        <v>186</v>
      </c>
      <c r="I134" s="14" t="str">
        <f>IFERROR(__xludf.DUMMYFUNCTION("""COMPUTED_VALUE"""),"Akagi")</f>
        <v>Akagi</v>
      </c>
      <c r="J134" s="14" t="str">
        <f>IFERROR(__xludf.DUMMYFUNCTION("""COMPUTED_VALUE"""),"UH")</f>
        <v>UH</v>
      </c>
      <c r="K134" s="14" t="str">
        <f>IFERROR(__xludf.DUMMYFUNCTION("""COMPUTED_VALUE"""),"Jintei")</f>
        <v>Jintei</v>
      </c>
      <c r="L134" s="14" t="str">
        <f>IFERROR(__xludf.DUMMYFUNCTION("""COMPUTED_VALUE"""),"Test Driver")</f>
        <v>Test Driver</v>
      </c>
      <c r="M134" s="48">
        <f>IFERROR(__xludf.DUMMYFUNCTION("""COMPUTED_VALUE"""),0.006944444444444444)</f>
        <v>0.006944444444</v>
      </c>
      <c r="N134" s="14" t="str">
        <f>IFERROR(__xludf.DUMMYFUNCTION("""COMPUTED_VALUE"""),"S14Q")</f>
        <v>S14Q</v>
      </c>
      <c r="O134" s="14"/>
      <c r="P134" s="14" t="str">
        <f>IFERROR(__xludf.DUMMYFUNCTION("""COMPUTED_VALUE"""),"Sacc")</f>
        <v>Sacc</v>
      </c>
      <c r="Q134" s="5" t="str">
        <f>IFERROR(__xludf.DUMMYFUNCTION("""COMPUTED_VALUE"""),"Tsukuba")</f>
        <v>Tsukuba</v>
      </c>
      <c r="R134" s="5" t="str">
        <f>IFERROR(__xludf.DUMMYFUNCTION("""COMPUTED_VALUE"""),"DH")</f>
        <v>DH</v>
      </c>
      <c r="S134" s="5" t="str">
        <f>IFERROR(__xludf.DUMMYFUNCTION("""COMPUTED_VALUE"""),"Jintei")</f>
        <v>Jintei</v>
      </c>
      <c r="T134" s="5" t="str">
        <f>IFERROR(__xludf.DUMMYFUNCTION("""COMPUTED_VALUE"""),"Test Driver")</f>
        <v>Test Driver</v>
      </c>
      <c r="U134" s="5">
        <f>IFERROR(__xludf.DUMMYFUNCTION("""COMPUTED_VALUE"""),0.006944444444444444)</f>
        <v>0.006944444444</v>
      </c>
      <c r="V134" s="5" t="str">
        <f>IFERROR(__xludf.DUMMYFUNCTION("""COMPUTED_VALUE"""),"GDB-F (Impreza WRX STi)")</f>
        <v>GDB-F (Impreza WRX STi)</v>
      </c>
      <c r="W134" s="5"/>
      <c r="X134" s="5" t="str">
        <f>IFERROR(__xludf.DUMMYFUNCTION("""COMPUTED_VALUE"""),"Sacc")</f>
        <v>Sacc</v>
      </c>
      <c r="Y134" s="5"/>
      <c r="Z134" s="5"/>
      <c r="AA134" s="5"/>
      <c r="AB134" s="5"/>
      <c r="AC134" s="5"/>
      <c r="AD134" s="5"/>
      <c r="AE134" s="5"/>
      <c r="AF134" s="5"/>
      <c r="AG134" s="14"/>
      <c r="AH134" s="14"/>
      <c r="AI134" s="14"/>
      <c r="AJ134" s="14"/>
      <c r="AK134" s="14"/>
      <c r="AL134" s="14"/>
      <c r="AM134" s="14"/>
      <c r="AN134" s="14"/>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c r="A135" s="5" t="str">
        <f>IFERROR(__xludf.DUMMYFUNCTION("LET(
  車輛, A134,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35" s="5" t="str">
        <f>IFERROR(__xludf.DUMMYFUNCTION("""COMPUTED_VALUE"""),"路線")</f>
        <v>路線</v>
      </c>
      <c r="C135" s="5" t="str">
        <f>IFERROR(__xludf.DUMMYFUNCTION("""COMPUTED_VALUE"""),"作者")</f>
        <v>作者</v>
      </c>
      <c r="D135" s="5" t="str">
        <f>IFERROR(__xludf.DUMMYFUNCTION("""COMPUTED_VALUE"""),"玩家")</f>
        <v>玩家</v>
      </c>
      <c r="E135" s="5" t="str">
        <f>IFERROR(__xludf.DUMMYFUNCTION("""COMPUTED_VALUE"""),"時間")</f>
        <v>時間</v>
      </c>
      <c r="F135" s="5" t="str">
        <f>IFERROR(__xludf.DUMMYFUNCTION("""COMPUTED_VALUE"""),"車輛")</f>
        <v>車輛</v>
      </c>
      <c r="G135" s="5" t="str">
        <f>IFERROR(__xludf.DUMMYFUNCTION("""COMPUTED_VALUE"""),"平台")</f>
        <v>平台</v>
      </c>
      <c r="H135" s="5" t="str">
        <f>IFERROR(__xludf.DUMMYFUNCTION("""COMPUTED_VALUE"""),"系統")</f>
        <v>系統</v>
      </c>
      <c r="I135" s="14" t="str">
        <f>IFERROR(__xludf.DUMMYFUNCTION("""COMPUTED_VALUE"""),"Myogi (ASV)")</f>
        <v>Myogi (ASV)</v>
      </c>
      <c r="J135" s="14" t="str">
        <f>IFERROR(__xludf.DUMMYFUNCTION("""COMPUTED_VALUE"""),"UH")</f>
        <v>UH</v>
      </c>
      <c r="K135" s="14" t="str">
        <f>IFERROR(__xludf.DUMMYFUNCTION("""COMPUTED_VALUE"""),"Jintei")</f>
        <v>Jintei</v>
      </c>
      <c r="L135" s="14" t="str">
        <f>IFERROR(__xludf.DUMMYFUNCTION("""COMPUTED_VALUE"""),"Test Driver")</f>
        <v>Test Driver</v>
      </c>
      <c r="M135" s="48">
        <f>IFERROR(__xludf.DUMMYFUNCTION("""COMPUTED_VALUE"""),0.006944444444444444)</f>
        <v>0.006944444444</v>
      </c>
      <c r="N135" s="14" t="str">
        <f>IFERROR(__xludf.DUMMYFUNCTION("""COMPUTED_VALUE"""),"S14Q")</f>
        <v>S14Q</v>
      </c>
      <c r="O135" s="14"/>
      <c r="P135" s="14" t="str">
        <f>IFERROR(__xludf.DUMMYFUNCTION("""COMPUTED_VALUE"""),"Sacc")</f>
        <v>Sacc</v>
      </c>
      <c r="Q135" s="5" t="str">
        <f>IFERROR(__xludf.DUMMYFUNCTION("""COMPUTED_VALUE"""),"Tsukuba")</f>
        <v>Tsukuba</v>
      </c>
      <c r="R135" s="5" t="str">
        <f>IFERROR(__xludf.DUMMYFUNCTION("""COMPUTED_VALUE"""),"OB")</f>
        <v>OB</v>
      </c>
      <c r="S135" s="5" t="str">
        <f>IFERROR(__xludf.DUMMYFUNCTION("""COMPUTED_VALUE"""),"Jintei")</f>
        <v>Jintei</v>
      </c>
      <c r="T135" s="5" t="str">
        <f>IFERROR(__xludf.DUMMYFUNCTION("""COMPUTED_VALUE"""),"Test Driver")</f>
        <v>Test Driver</v>
      </c>
      <c r="U135" s="5">
        <f>IFERROR(__xludf.DUMMYFUNCTION("""COMPUTED_VALUE"""),0.006944444444444444)</f>
        <v>0.006944444444</v>
      </c>
      <c r="V135" s="5" t="str">
        <f>IFERROR(__xludf.DUMMYFUNCTION("""COMPUTED_VALUE"""),"GDB-F (Impreza WRX STi)")</f>
        <v>GDB-F (Impreza WRX STi)</v>
      </c>
      <c r="W135" s="5"/>
      <c r="X135" s="5" t="str">
        <f>IFERROR(__xludf.DUMMYFUNCTION("""COMPUTED_VALUE"""),"Sacc")</f>
        <v>Sacc</v>
      </c>
      <c r="Y135" s="5"/>
      <c r="Z135" s="5"/>
      <c r="AA135" s="5"/>
      <c r="AB135" s="5"/>
      <c r="AC135" s="5"/>
      <c r="AD135" s="5"/>
      <c r="AE135" s="5"/>
      <c r="AF135" s="5"/>
      <c r="AG135" s="14"/>
      <c r="AH135" s="14"/>
      <c r="AI135" s="14"/>
      <c r="AJ135" s="14"/>
      <c r="AK135" s="14"/>
      <c r="AL135" s="14"/>
      <c r="AM135" s="14"/>
      <c r="AN135" s="14"/>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c r="A136" s="5" t="str">
        <f>IFERROR(__xludf.DUMMYFUNCTION("""COMPUTED_VALUE"""),"Akina")</f>
        <v>Akina</v>
      </c>
      <c r="B136" s="5" t="str">
        <f>IFERROR(__xludf.DUMMYFUNCTION("""COMPUTED_VALUE"""),"DH")</f>
        <v>DH</v>
      </c>
      <c r="C136" s="5" t="str">
        <f>IFERROR(__xludf.DUMMYFUNCTION("""COMPUTED_VALUE"""),"Jintei")</f>
        <v>Jintei</v>
      </c>
      <c r="D136" s="5" t="str">
        <f>IFERROR(__xludf.DUMMYFUNCTION("""COMPUTED_VALUE"""),"Test Driver")</f>
        <v>Test Driver</v>
      </c>
      <c r="E136" s="5">
        <f>IFERROR(__xludf.DUMMYFUNCTION("""COMPUTED_VALUE"""),0.006944444444444444)</f>
        <v>0.006944444444</v>
      </c>
      <c r="F136" s="5" t="str">
        <f>IFERROR(__xludf.DUMMYFUNCTION("""COMPUTED_VALUE"""),"AE86L")</f>
        <v>AE86L</v>
      </c>
      <c r="G136" s="5"/>
      <c r="H136" s="5" t="str">
        <f>IFERROR(__xludf.DUMMYFUNCTION("""COMPUTED_VALUE"""),"Sacc")</f>
        <v>Sacc</v>
      </c>
      <c r="I136" s="14"/>
      <c r="J136" s="14"/>
      <c r="K136" s="14"/>
      <c r="L136" s="14"/>
      <c r="M136" s="14"/>
      <c r="N136" s="14"/>
      <c r="O136" s="14"/>
      <c r="P136" s="14"/>
      <c r="Q136" s="5" t="str">
        <f>IFERROR(__xludf.DUMMYFUNCTION("""COMPUTED_VALUE"""),"Tsukuba")</f>
        <v>Tsukuba</v>
      </c>
      <c r="R136" s="5" t="str">
        <f>IFERROR(__xludf.DUMMYFUNCTION("""COMPUTED_VALUE"""),"IB")</f>
        <v>IB</v>
      </c>
      <c r="S136" s="5" t="str">
        <f>IFERROR(__xludf.DUMMYFUNCTION("""COMPUTED_VALUE"""),"Jintei")</f>
        <v>Jintei</v>
      </c>
      <c r="T136" s="5" t="str">
        <f>IFERROR(__xludf.DUMMYFUNCTION("""COMPUTED_VALUE"""),"Test Driver")</f>
        <v>Test Driver</v>
      </c>
      <c r="U136" s="5">
        <f>IFERROR(__xludf.DUMMYFUNCTION("""COMPUTED_VALUE"""),0.006944444444444444)</f>
        <v>0.006944444444</v>
      </c>
      <c r="V136" s="5" t="str">
        <f>IFERROR(__xludf.DUMMYFUNCTION("""COMPUTED_VALUE"""),"GDB-F (Impreza WRX STi)")</f>
        <v>GDB-F (Impreza WRX STi)</v>
      </c>
      <c r="W136" s="5"/>
      <c r="X136" s="5" t="str">
        <f>IFERROR(__xludf.DUMMYFUNCTION("""COMPUTED_VALUE"""),"Sacc")</f>
        <v>Sacc</v>
      </c>
      <c r="Y136" s="5"/>
      <c r="Z136" s="5"/>
      <c r="AA136" s="5"/>
      <c r="AB136" s="5"/>
      <c r="AC136" s="5"/>
      <c r="AD136" s="5"/>
      <c r="AE136" s="5"/>
      <c r="AF136" s="5"/>
      <c r="AG136" s="14"/>
      <c r="AH136" s="14"/>
      <c r="AI136" s="14"/>
      <c r="AJ136" s="14"/>
      <c r="AK136" s="14"/>
      <c r="AL136" s="14"/>
      <c r="AM136" s="14"/>
      <c r="AN136" s="14"/>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c r="A137" s="5" t="str">
        <f>IFERROR(__xludf.DUMMYFUNCTION("""COMPUTED_VALUE"""),"Akina")</f>
        <v>Akina</v>
      </c>
      <c r="B137" s="5" t="str">
        <f>IFERROR(__xludf.DUMMYFUNCTION("""COMPUTED_VALUE"""),"UH")</f>
        <v>UH</v>
      </c>
      <c r="C137" s="5" t="str">
        <f>IFERROR(__xludf.DUMMYFUNCTION("""COMPUTED_VALUE"""),"Jintei")</f>
        <v>Jintei</v>
      </c>
      <c r="D137" s="5" t="str">
        <f>IFERROR(__xludf.DUMMYFUNCTION("""COMPUTED_VALUE"""),"Test Driver")</f>
        <v>Test Driver</v>
      </c>
      <c r="E137" s="5">
        <f>IFERROR(__xludf.DUMMYFUNCTION("""COMPUTED_VALUE"""),0.006944444444444444)</f>
        <v>0.006944444444</v>
      </c>
      <c r="F137" s="5" t="str">
        <f>IFERROR(__xludf.DUMMYFUNCTION("""COMPUTED_VALUE"""),"AE86L")</f>
        <v>AE86L</v>
      </c>
      <c r="G137" s="5"/>
      <c r="H137" s="5" t="str">
        <f>IFERROR(__xludf.DUMMYFUNCTION("""COMPUTED_VALUE"""),"Sacc")</f>
        <v>Sacc</v>
      </c>
      <c r="I137" s="14"/>
      <c r="J137" s="14"/>
      <c r="K137" s="14"/>
      <c r="L137" s="14"/>
      <c r="M137" s="14"/>
      <c r="N137" s="14"/>
      <c r="O137" s="14"/>
      <c r="P137" s="14"/>
      <c r="Q137" s="5"/>
      <c r="R137" s="5"/>
      <c r="S137" s="5"/>
      <c r="T137" s="5"/>
      <c r="U137" s="5"/>
      <c r="V137" s="5"/>
      <c r="W137" s="5"/>
      <c r="X137" s="5"/>
      <c r="Y137" s="5"/>
      <c r="Z137" s="5"/>
      <c r="AA137" s="5"/>
      <c r="AB137" s="5"/>
      <c r="AC137" s="5"/>
      <c r="AD137" s="5"/>
      <c r="AE137" s="5"/>
      <c r="AF137" s="5"/>
      <c r="AG137" s="14"/>
      <c r="AH137" s="14"/>
      <c r="AI137" s="14"/>
      <c r="AJ137" s="14"/>
      <c r="AK137" s="14"/>
      <c r="AL137" s="14"/>
      <c r="AM137" s="14"/>
      <c r="AN137" s="14"/>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c r="A138" s="5" t="str">
        <f>IFERROR(__xludf.DUMMYFUNCTION("""COMPUTED_VALUE"""),"Lake Akina")</f>
        <v>Lake Akina</v>
      </c>
      <c r="B138" s="5" t="str">
        <f>IFERROR(__xludf.DUMMYFUNCTION("""COMPUTED_VALUE"""),"CC")</f>
        <v>CC</v>
      </c>
      <c r="C138" s="5" t="str">
        <f>IFERROR(__xludf.DUMMYFUNCTION("""COMPUTED_VALUE"""),"Jintei")</f>
        <v>Jintei</v>
      </c>
      <c r="D138" s="5" t="str">
        <f>IFERROR(__xludf.DUMMYFUNCTION("""COMPUTED_VALUE"""),"Test Driver")</f>
        <v>Test Driver</v>
      </c>
      <c r="E138" s="5">
        <f>IFERROR(__xludf.DUMMYFUNCTION("""COMPUTED_VALUE"""),0.006944444444444444)</f>
        <v>0.006944444444</v>
      </c>
      <c r="F138" s="5" t="str">
        <f>IFERROR(__xludf.DUMMYFUNCTION("""COMPUTED_VALUE"""),"AE86L")</f>
        <v>AE86L</v>
      </c>
      <c r="G138" s="5"/>
      <c r="H138" s="5" t="str">
        <f>IFERROR(__xludf.DUMMYFUNCTION("""COMPUTED_VALUE"""),"Sacc")</f>
        <v>Sacc</v>
      </c>
      <c r="I138" s="68" t="s">
        <v>187</v>
      </c>
      <c r="Q138" s="5"/>
      <c r="R138" s="5"/>
      <c r="S138" s="5"/>
      <c r="T138" s="5"/>
      <c r="U138" s="5"/>
      <c r="V138" s="5"/>
      <c r="W138" s="5"/>
      <c r="X138" s="5"/>
      <c r="Y138" s="5"/>
      <c r="Z138" s="5"/>
      <c r="AA138" s="5"/>
      <c r="AB138" s="5"/>
      <c r="AC138" s="5"/>
      <c r="AD138" s="5"/>
      <c r="AE138" s="5"/>
      <c r="AF138" s="5"/>
      <c r="AG138" s="14"/>
      <c r="AH138" s="14"/>
      <c r="AI138" s="14"/>
      <c r="AJ138" s="14"/>
      <c r="AK138" s="14"/>
      <c r="AL138" s="14"/>
      <c r="AM138" s="14"/>
      <c r="AN138" s="14"/>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c r="A139" s="5" t="str">
        <f>IFERROR(__xludf.DUMMYFUNCTION("""COMPUTED_VALUE"""),"Lake Akina")</f>
        <v>Lake Akina</v>
      </c>
      <c r="B139" s="5" t="str">
        <f>IFERROR(__xludf.DUMMYFUNCTION("""COMPUTED_VALUE"""),"CW")</f>
        <v>CW</v>
      </c>
      <c r="C139" s="5" t="str">
        <f>IFERROR(__xludf.DUMMYFUNCTION("""COMPUTED_VALUE"""),"Jintei")</f>
        <v>Jintei</v>
      </c>
      <c r="D139" s="5" t="str">
        <f>IFERROR(__xludf.DUMMYFUNCTION("""COMPUTED_VALUE"""),"Test Driver")</f>
        <v>Test Driver</v>
      </c>
      <c r="E139" s="5">
        <f>IFERROR(__xludf.DUMMYFUNCTION("""COMPUTED_VALUE"""),0.006944444444444444)</f>
        <v>0.006944444444</v>
      </c>
      <c r="F139" s="5" t="str">
        <f>IFERROR(__xludf.DUMMYFUNCTION("""COMPUTED_VALUE"""),"AE86L")</f>
        <v>AE86L</v>
      </c>
      <c r="G139" s="5"/>
      <c r="H139" s="5" t="str">
        <f>IFERROR(__xludf.DUMMYFUNCTION("""COMPUTED_VALUE"""),"Sacc")</f>
        <v>Sacc</v>
      </c>
      <c r="I139" s="14" t="str">
        <f>IFERROR(__xludf.DUMMYFUNCTION("LET(
  車輛, I138,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39" s="14" t="str">
        <f>IFERROR(__xludf.DUMMYFUNCTION("""COMPUTED_VALUE"""),"路線")</f>
        <v>路線</v>
      </c>
      <c r="K139" s="14" t="str">
        <f>IFERROR(__xludf.DUMMYFUNCTION("""COMPUTED_VALUE"""),"作者")</f>
        <v>作者</v>
      </c>
      <c r="L139" s="14" t="str">
        <f>IFERROR(__xludf.DUMMYFUNCTION("""COMPUTED_VALUE"""),"玩家")</f>
        <v>玩家</v>
      </c>
      <c r="M139" s="14" t="str">
        <f>IFERROR(__xludf.DUMMYFUNCTION("""COMPUTED_VALUE"""),"時間")</f>
        <v>時間</v>
      </c>
      <c r="N139" s="14" t="str">
        <f>IFERROR(__xludf.DUMMYFUNCTION("""COMPUTED_VALUE"""),"車輛")</f>
        <v>車輛</v>
      </c>
      <c r="O139" s="14" t="str">
        <f>IFERROR(__xludf.DUMMYFUNCTION("""COMPUTED_VALUE"""),"平台")</f>
        <v>平台</v>
      </c>
      <c r="P139" s="14" t="str">
        <f>IFERROR(__xludf.DUMMYFUNCTION("""COMPUTED_VALUE"""),"系統")</f>
        <v>系統</v>
      </c>
      <c r="Q139" s="67" t="s">
        <v>188</v>
      </c>
      <c r="Y139" s="5"/>
      <c r="Z139" s="5"/>
      <c r="AA139" s="5"/>
      <c r="AB139" s="5"/>
      <c r="AC139" s="5"/>
      <c r="AD139" s="5"/>
      <c r="AE139" s="5"/>
      <c r="AF139" s="5"/>
      <c r="AG139" s="14"/>
      <c r="AH139" s="14"/>
      <c r="AI139" s="14"/>
      <c r="AJ139" s="14"/>
      <c r="AK139" s="14"/>
      <c r="AL139" s="14"/>
      <c r="AM139" s="14"/>
      <c r="AN139" s="14"/>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c r="A140" s="5" t="str">
        <f>IFERROR(__xludf.DUMMYFUNCTION("""COMPUTED_VALUE"""),"Usui V1")</f>
        <v>Usui V1</v>
      </c>
      <c r="B140" s="5" t="str">
        <f>IFERROR(__xludf.DUMMYFUNCTION("""COMPUTED_VALUE"""),"CC")</f>
        <v>CC</v>
      </c>
      <c r="C140" s="5" t="str">
        <f>IFERROR(__xludf.DUMMYFUNCTION("""COMPUTED_VALUE"""),"Jintei")</f>
        <v>Jintei</v>
      </c>
      <c r="D140" s="5" t="str">
        <f>IFERROR(__xludf.DUMMYFUNCTION("""COMPUTED_VALUE"""),"Test Driver")</f>
        <v>Test Driver</v>
      </c>
      <c r="E140" s="5">
        <f>IFERROR(__xludf.DUMMYFUNCTION("""COMPUTED_VALUE"""),0.006944444444444444)</f>
        <v>0.006944444444</v>
      </c>
      <c r="F140" s="5" t="str">
        <f>IFERROR(__xludf.DUMMYFUNCTION("""COMPUTED_VALUE"""),"AE86L")</f>
        <v>AE86L</v>
      </c>
      <c r="G140" s="5"/>
      <c r="H140" s="5" t="str">
        <f>IFERROR(__xludf.DUMMYFUNCTION("""COMPUTED_VALUE"""),"Sacc")</f>
        <v>Sacc</v>
      </c>
      <c r="I140" s="14" t="str">
        <f>IFERROR(__xludf.DUMMYFUNCTION("""COMPUTED_VALUE"""),"Myogi (ASV)")</f>
        <v>Myogi (ASV)</v>
      </c>
      <c r="J140" s="14" t="str">
        <f>IFERROR(__xludf.DUMMYFUNCTION("""COMPUTED_VALUE"""),"DH")</f>
        <v>DH</v>
      </c>
      <c r="K140" s="14" t="str">
        <f>IFERROR(__xludf.DUMMYFUNCTION("""COMPUTED_VALUE"""),"Jintei")</f>
        <v>Jintei</v>
      </c>
      <c r="L140" s="14" t="str">
        <f>IFERROR(__xludf.DUMMYFUNCTION("""COMPUTED_VALUE"""),"Yuanji Deca")</f>
        <v>Yuanji Deca</v>
      </c>
      <c r="M140" s="48">
        <f>IFERROR(__xludf.DUMMYFUNCTION("""COMPUTED_VALUE"""),0.0030103009259259254)</f>
        <v>0.003010300926</v>
      </c>
      <c r="N140" s="14" t="str">
        <f>IFERROR(__xludf.DUMMYFUNCTION("""COMPUTED_VALUE"""),"RPS13 (180SX)")</f>
        <v>RPS13 (180SX)</v>
      </c>
      <c r="O140" s="14" t="str">
        <f>IFERROR(__xludf.DUMMYFUNCTION("""COMPUTED_VALUE"""),"PC")</f>
        <v>PC</v>
      </c>
      <c r="P140" s="14" t="str">
        <f>IFERROR(__xludf.DUMMYFUNCTION("""COMPUTED_VALUE"""),"Sacc")</f>
        <v>Sacc</v>
      </c>
      <c r="Q140" s="5" t="str">
        <f>IFERROR(__xludf.DUMMYFUNCTION("LET(
  車輛, Q139,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R140" s="5" t="str">
        <f>IFERROR(__xludf.DUMMYFUNCTION("""COMPUTED_VALUE"""),"路線")</f>
        <v>路線</v>
      </c>
      <c r="S140" s="5" t="str">
        <f>IFERROR(__xludf.DUMMYFUNCTION("""COMPUTED_VALUE"""),"作者")</f>
        <v>作者</v>
      </c>
      <c r="T140" s="5" t="str">
        <f>IFERROR(__xludf.DUMMYFUNCTION("""COMPUTED_VALUE"""),"玩家")</f>
        <v>玩家</v>
      </c>
      <c r="U140" s="5" t="str">
        <f>IFERROR(__xludf.DUMMYFUNCTION("""COMPUTED_VALUE"""),"時間")</f>
        <v>時間</v>
      </c>
      <c r="V140" s="5" t="str">
        <f>IFERROR(__xludf.DUMMYFUNCTION("""COMPUTED_VALUE"""),"車輛")</f>
        <v>車輛</v>
      </c>
      <c r="W140" s="5" t="str">
        <f>IFERROR(__xludf.DUMMYFUNCTION("""COMPUTED_VALUE"""),"平台")</f>
        <v>平台</v>
      </c>
      <c r="X140" s="5" t="str">
        <f>IFERROR(__xludf.DUMMYFUNCTION("""COMPUTED_VALUE"""),"系統")</f>
        <v>系統</v>
      </c>
      <c r="Y140" s="5"/>
      <c r="Z140" s="5"/>
      <c r="AA140" s="5"/>
      <c r="AB140" s="5"/>
      <c r="AC140" s="5"/>
      <c r="AD140" s="5"/>
      <c r="AE140" s="5"/>
      <c r="AF140" s="5"/>
      <c r="AG140" s="14"/>
      <c r="AH140" s="14"/>
      <c r="AI140" s="14"/>
      <c r="AJ140" s="14"/>
      <c r="AK140" s="14"/>
      <c r="AL140" s="14"/>
      <c r="AM140" s="14"/>
      <c r="AN140" s="14"/>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c r="A141" s="5" t="str">
        <f>IFERROR(__xludf.DUMMYFUNCTION("""COMPUTED_VALUE"""),"Usui V1")</f>
        <v>Usui V1</v>
      </c>
      <c r="B141" s="5" t="str">
        <f>IFERROR(__xludf.DUMMYFUNCTION("""COMPUTED_VALUE"""),"CW")</f>
        <v>CW</v>
      </c>
      <c r="C141" s="5" t="str">
        <f>IFERROR(__xludf.DUMMYFUNCTION("""COMPUTED_VALUE"""),"Jintei")</f>
        <v>Jintei</v>
      </c>
      <c r="D141" s="5" t="str">
        <f>IFERROR(__xludf.DUMMYFUNCTION("""COMPUTED_VALUE"""),"Test Driver")</f>
        <v>Test Driver</v>
      </c>
      <c r="E141" s="5">
        <f>IFERROR(__xludf.DUMMYFUNCTION("""COMPUTED_VALUE"""),0.006944444444444444)</f>
        <v>0.006944444444</v>
      </c>
      <c r="F141" s="5" t="str">
        <f>IFERROR(__xludf.DUMMYFUNCTION("""COMPUTED_VALUE"""),"AE86L")</f>
        <v>AE86L</v>
      </c>
      <c r="G141" s="5"/>
      <c r="H141" s="5" t="str">
        <f>IFERROR(__xludf.DUMMYFUNCTION("""COMPUTED_VALUE"""),"Sacc")</f>
        <v>Sacc</v>
      </c>
      <c r="I141" s="14" t="str">
        <f>IFERROR(__xludf.DUMMYFUNCTION("""COMPUTED_VALUE"""),"Myogi (ASV)")</f>
        <v>Myogi (ASV)</v>
      </c>
      <c r="J141" s="14" t="str">
        <f>IFERROR(__xludf.DUMMYFUNCTION("""COMPUTED_VALUE"""),"UH")</f>
        <v>UH</v>
      </c>
      <c r="K141" s="14" t="str">
        <f>IFERROR(__xludf.DUMMYFUNCTION("""COMPUTED_VALUE"""),"Jintei")</f>
        <v>Jintei</v>
      </c>
      <c r="L141" s="14" t="str">
        <f>IFERROR(__xludf.DUMMYFUNCTION("""COMPUTED_VALUE"""),"Test Driver")</f>
        <v>Test Driver</v>
      </c>
      <c r="M141" s="48">
        <f>IFERROR(__xludf.DUMMYFUNCTION("""COMPUTED_VALUE"""),0.006944444444444444)</f>
        <v>0.006944444444</v>
      </c>
      <c r="N141" s="14" t="str">
        <f>IFERROR(__xludf.DUMMYFUNCTION("""COMPUTED_VALUE"""),"RPS13 (180SX)")</f>
        <v>RPS13 (180SX)</v>
      </c>
      <c r="O141" s="14"/>
      <c r="P141" s="14" t="str">
        <f>IFERROR(__xludf.DUMMYFUNCTION("""COMPUTED_VALUE"""),"Sacc")</f>
        <v>Sacc</v>
      </c>
      <c r="Q141" s="5" t="str">
        <f>IFERROR(__xludf.DUMMYFUNCTION("""COMPUTED_VALUE"""),"Momiji")</f>
        <v>Momiji</v>
      </c>
      <c r="R141" s="5" t="str">
        <f>IFERROR(__xludf.DUMMYFUNCTION("""COMPUTED_VALUE"""),"DH")</f>
        <v>DH</v>
      </c>
      <c r="S141" s="5" t="str">
        <f>IFERROR(__xludf.DUMMYFUNCTION("""COMPUTED_VALUE"""),"FoxBG")</f>
        <v>FoxBG</v>
      </c>
      <c r="T141" s="5" t="str">
        <f>IFERROR(__xludf.DUMMYFUNCTION("""COMPUTED_VALUE"""),"VRCGPaul")</f>
        <v>VRCGPaul</v>
      </c>
      <c r="U141" s="5">
        <f>IFERROR(__xludf.DUMMYFUNCTION("""COMPUTED_VALUE"""),0.002528541666666667)</f>
        <v>0.002528541667</v>
      </c>
      <c r="V141" s="5" t="str">
        <f>IFERROR(__xludf.DUMMYFUNCTION("""COMPUTED_VALUE"""),"Emrydes")</f>
        <v>Emrydes</v>
      </c>
      <c r="W141" s="5" t="str">
        <f>IFERROR(__xludf.DUMMYFUNCTION("""COMPUTED_VALUE"""),"PCVR")</f>
        <v>PCVR</v>
      </c>
      <c r="X141" s="5" t="str">
        <f>IFERROR(__xludf.DUMMYFUNCTION("""COMPUTED_VALUE"""),"CVS")</f>
        <v>CVS</v>
      </c>
      <c r="Y141" s="5"/>
      <c r="Z141" s="5"/>
      <c r="AA141" s="5"/>
      <c r="AB141" s="5"/>
      <c r="AC141" s="5"/>
      <c r="AD141" s="5"/>
      <c r="AE141" s="5"/>
      <c r="AF141" s="5"/>
      <c r="AG141" s="14"/>
      <c r="AH141" s="14"/>
      <c r="AI141" s="14"/>
      <c r="AJ141" s="14"/>
      <c r="AK141" s="14"/>
      <c r="AL141" s="14"/>
      <c r="AM141" s="14"/>
      <c r="AN141" s="14"/>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c r="A142" s="5" t="str">
        <f>IFERROR(__xludf.DUMMYFUNCTION("""COMPUTED_VALUE"""),"Maze")</f>
        <v>Maze</v>
      </c>
      <c r="B142" s="5" t="str">
        <f>IFERROR(__xludf.DUMMYFUNCTION("""COMPUTED_VALUE"""),"DH")</f>
        <v>DH</v>
      </c>
      <c r="C142" s="5" t="str">
        <f>IFERROR(__xludf.DUMMYFUNCTION("""COMPUTED_VALUE"""),"Jintei")</f>
        <v>Jintei</v>
      </c>
      <c r="D142" s="5" t="str">
        <f>IFERROR(__xludf.DUMMYFUNCTION("""COMPUTED_VALUE"""),"Test Driver")</f>
        <v>Test Driver</v>
      </c>
      <c r="E142" s="5">
        <f>IFERROR(__xludf.DUMMYFUNCTION("""COMPUTED_VALUE"""),0.006944444444444444)</f>
        <v>0.006944444444</v>
      </c>
      <c r="F142" s="5" t="str">
        <f>IFERROR(__xludf.DUMMYFUNCTION("""COMPUTED_VALUE"""),"AE86L")</f>
        <v>AE86L</v>
      </c>
      <c r="G142" s="5"/>
      <c r="H142" s="5" t="str">
        <f>IFERROR(__xludf.DUMMYFUNCTION("""COMPUTED_VALUE"""),"Sacc")</f>
        <v>Sacc</v>
      </c>
      <c r="I142" s="14"/>
      <c r="J142" s="14"/>
      <c r="K142" s="14"/>
      <c r="L142" s="14"/>
      <c r="M142" s="14"/>
      <c r="N142" s="14"/>
      <c r="O142" s="14"/>
      <c r="P142" s="14"/>
      <c r="Q142" s="5"/>
      <c r="R142" s="5"/>
      <c r="S142" s="5"/>
      <c r="T142" s="5"/>
      <c r="U142" s="5"/>
      <c r="V142" s="5"/>
      <c r="W142" s="5"/>
      <c r="X142" s="5"/>
      <c r="Y142" s="5"/>
      <c r="Z142" s="5"/>
      <c r="AA142" s="5"/>
      <c r="AB142" s="5"/>
      <c r="AC142" s="5"/>
      <c r="AD142" s="5"/>
      <c r="AE142" s="5"/>
      <c r="AF142" s="5"/>
      <c r="AG142" s="14"/>
      <c r="AH142" s="14"/>
      <c r="AI142" s="14"/>
      <c r="AJ142" s="14"/>
      <c r="AK142" s="14"/>
      <c r="AL142" s="14"/>
      <c r="AM142" s="14"/>
      <c r="AN142" s="14"/>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c r="A143" s="5" t="str">
        <f>IFERROR(__xludf.DUMMYFUNCTION("""COMPUTED_VALUE"""),"Maze")</f>
        <v>Maze</v>
      </c>
      <c r="B143" s="5" t="str">
        <f>IFERROR(__xludf.DUMMYFUNCTION("""COMPUTED_VALUE"""),"UH")</f>
        <v>UH</v>
      </c>
      <c r="C143" s="5" t="str">
        <f>IFERROR(__xludf.DUMMYFUNCTION("""COMPUTED_VALUE"""),"Jintei")</f>
        <v>Jintei</v>
      </c>
      <c r="D143" s="5" t="str">
        <f>IFERROR(__xludf.DUMMYFUNCTION("""COMPUTED_VALUE"""),"Test Driver")</f>
        <v>Test Driver</v>
      </c>
      <c r="E143" s="5">
        <f>IFERROR(__xludf.DUMMYFUNCTION("""COMPUTED_VALUE"""),0.006944444444444444)</f>
        <v>0.006944444444</v>
      </c>
      <c r="F143" s="5" t="str">
        <f>IFERROR(__xludf.DUMMYFUNCTION("""COMPUTED_VALUE"""),"AE86L")</f>
        <v>AE86L</v>
      </c>
      <c r="G143" s="5"/>
      <c r="H143" s="5" t="str">
        <f>IFERROR(__xludf.DUMMYFUNCTION("""COMPUTED_VALUE"""),"Sacc")</f>
        <v>Sacc</v>
      </c>
      <c r="I143" s="14"/>
      <c r="J143" s="14"/>
      <c r="K143" s="14"/>
      <c r="L143" s="14"/>
      <c r="M143" s="14"/>
      <c r="N143" s="14"/>
      <c r="O143" s="14"/>
      <c r="P143" s="14"/>
      <c r="Q143" s="5"/>
      <c r="R143" s="5"/>
      <c r="S143" s="5"/>
      <c r="T143" s="5"/>
      <c r="U143" s="5"/>
      <c r="V143" s="5"/>
      <c r="W143" s="5"/>
      <c r="X143" s="5"/>
      <c r="Y143" s="5"/>
      <c r="Z143" s="5"/>
      <c r="AA143" s="5"/>
      <c r="AB143" s="5"/>
      <c r="AC143" s="5"/>
      <c r="AD143" s="5"/>
      <c r="AE143" s="5"/>
      <c r="AF143" s="5"/>
      <c r="AG143" s="14"/>
      <c r="AH143" s="14"/>
      <c r="AI143" s="14"/>
      <c r="AJ143" s="14"/>
      <c r="AK143" s="14"/>
      <c r="AL143" s="14"/>
      <c r="AM143" s="14"/>
      <c r="AN143" s="14"/>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c r="A144" s="75" t="s">
        <v>189</v>
      </c>
      <c r="I144" s="68" t="s">
        <v>190</v>
      </c>
      <c r="Q144" s="5"/>
      <c r="R144" s="5"/>
      <c r="S144" s="5"/>
      <c r="T144" s="5"/>
      <c r="U144" s="5"/>
      <c r="V144" s="5"/>
      <c r="W144" s="5"/>
      <c r="X144" s="5"/>
      <c r="Y144" s="5"/>
      <c r="Z144" s="5"/>
      <c r="AA144" s="5"/>
      <c r="AB144" s="5"/>
      <c r="AC144" s="5"/>
      <c r="AD144" s="5"/>
      <c r="AE144" s="5"/>
      <c r="AF144" s="5"/>
      <c r="AG144" s="14"/>
      <c r="AH144" s="14"/>
      <c r="AI144" s="14"/>
      <c r="AJ144" s="14"/>
      <c r="AK144" s="14"/>
      <c r="AL144" s="14"/>
      <c r="AM144" s="14"/>
      <c r="AN144" s="14"/>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c r="A145" s="67" t="s">
        <v>191</v>
      </c>
      <c r="I145" s="14" t="str">
        <f>IFERROR(__xludf.DUMMYFUNCTION("LET(
  車輛, I144,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45" s="14" t="str">
        <f>IFERROR(__xludf.DUMMYFUNCTION("""COMPUTED_VALUE"""),"路線")</f>
        <v>路線</v>
      </c>
      <c r="K145" s="14" t="str">
        <f>IFERROR(__xludf.DUMMYFUNCTION("""COMPUTED_VALUE"""),"作者")</f>
        <v>作者</v>
      </c>
      <c r="L145" s="14" t="str">
        <f>IFERROR(__xludf.DUMMYFUNCTION("""COMPUTED_VALUE"""),"玩家")</f>
        <v>玩家</v>
      </c>
      <c r="M145" s="14" t="str">
        <f>IFERROR(__xludf.DUMMYFUNCTION("""COMPUTED_VALUE"""),"時間")</f>
        <v>時間</v>
      </c>
      <c r="N145" s="14" t="str">
        <f>IFERROR(__xludf.DUMMYFUNCTION("""COMPUTED_VALUE"""),"車輛")</f>
        <v>車輛</v>
      </c>
      <c r="O145" s="14" t="str">
        <f>IFERROR(__xludf.DUMMYFUNCTION("""COMPUTED_VALUE"""),"平台")</f>
        <v>平台</v>
      </c>
      <c r="P145" s="14" t="str">
        <f>IFERROR(__xludf.DUMMYFUNCTION("""COMPUTED_VALUE"""),"系統")</f>
        <v>系統</v>
      </c>
      <c r="Q145" s="5"/>
      <c r="R145" s="5"/>
      <c r="S145" s="5"/>
      <c r="T145" s="5"/>
      <c r="U145" s="5"/>
      <c r="V145" s="5"/>
      <c r="W145" s="5"/>
      <c r="X145" s="5"/>
      <c r="Y145" s="5"/>
      <c r="Z145" s="5"/>
      <c r="AA145" s="5"/>
      <c r="AB145" s="5"/>
      <c r="AC145" s="5"/>
      <c r="AD145" s="5"/>
      <c r="AE145" s="5"/>
      <c r="AF145" s="5"/>
      <c r="AG145" s="14"/>
      <c r="AH145" s="14"/>
      <c r="AI145" s="14"/>
      <c r="AJ145" s="14"/>
      <c r="AK145" s="14"/>
      <c r="AL145" s="14"/>
      <c r="AM145" s="14"/>
      <c r="AN145" s="14"/>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c r="A146" s="5" t="str">
        <f>IFERROR(__xludf.DUMMYFUNCTION("LET(
  車輛, A145,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46" s="5" t="str">
        <f>IFERROR(__xludf.DUMMYFUNCTION("""COMPUTED_VALUE"""),"路線")</f>
        <v>路線</v>
      </c>
      <c r="C146" s="5" t="str">
        <f>IFERROR(__xludf.DUMMYFUNCTION("""COMPUTED_VALUE"""),"作者")</f>
        <v>作者</v>
      </c>
      <c r="D146" s="5" t="str">
        <f>IFERROR(__xludf.DUMMYFUNCTION("""COMPUTED_VALUE"""),"玩家")</f>
        <v>玩家</v>
      </c>
      <c r="E146" s="5" t="str">
        <f>IFERROR(__xludf.DUMMYFUNCTION("""COMPUTED_VALUE"""),"時間")</f>
        <v>時間</v>
      </c>
      <c r="F146" s="5" t="str">
        <f>IFERROR(__xludf.DUMMYFUNCTION("""COMPUTED_VALUE"""),"車輛")</f>
        <v>車輛</v>
      </c>
      <c r="G146" s="5" t="str">
        <f>IFERROR(__xludf.DUMMYFUNCTION("""COMPUTED_VALUE"""),"平台")</f>
        <v>平台</v>
      </c>
      <c r="H146" s="5" t="str">
        <f>IFERROR(__xludf.DUMMYFUNCTION("""COMPUTED_VALUE"""),"系統")</f>
        <v>系統</v>
      </c>
      <c r="I146" s="14" t="str">
        <f>IFERROR(__xludf.DUMMYFUNCTION("""COMPUTED_VALUE"""),"Myogi (ASV)")</f>
        <v>Myogi (ASV)</v>
      </c>
      <c r="J146" s="14" t="str">
        <f>IFERROR(__xludf.DUMMYFUNCTION("""COMPUTED_VALUE"""),"DH")</f>
        <v>DH</v>
      </c>
      <c r="K146" s="14" t="str">
        <f>IFERROR(__xludf.DUMMYFUNCTION("""COMPUTED_VALUE"""),"Jintei")</f>
        <v>Jintei</v>
      </c>
      <c r="L146" s="14" t="str">
        <f>IFERROR(__xludf.DUMMYFUNCTION("""COMPUTED_VALUE"""),"LinWu_05")</f>
        <v>LinWu_05</v>
      </c>
      <c r="M146" s="48">
        <f>IFERROR(__xludf.DUMMYFUNCTION("""COMPUTED_VALUE"""),0.0023516666666666664)</f>
        <v>0.002351666667</v>
      </c>
      <c r="N146" s="14" t="str">
        <f>IFERROR(__xludf.DUMMYFUNCTION("""COMPUTED_VALUE"""),"380SX")</f>
        <v>380SX</v>
      </c>
      <c r="O146" s="14" t="str">
        <f>IFERROR(__xludf.DUMMYFUNCTION("""COMPUTED_VALUE"""),"PC")</f>
        <v>PC</v>
      </c>
      <c r="P146" s="14" t="str">
        <f>IFERROR(__xludf.DUMMYFUNCTION("""COMPUTED_VALUE"""),"Sacc")</f>
        <v>Sacc</v>
      </c>
      <c r="Q146" s="5"/>
      <c r="R146" s="5"/>
      <c r="S146" s="5"/>
      <c r="T146" s="5"/>
      <c r="U146" s="5"/>
      <c r="V146" s="5"/>
      <c r="W146" s="5"/>
      <c r="X146" s="5"/>
      <c r="Y146" s="5"/>
      <c r="Z146" s="5"/>
      <c r="AA146" s="5"/>
      <c r="AB146" s="5"/>
      <c r="AC146" s="5"/>
      <c r="AD146" s="5"/>
      <c r="AE146" s="5"/>
      <c r="AF146" s="5"/>
      <c r="AG146" s="14"/>
      <c r="AH146" s="14"/>
      <c r="AI146" s="14"/>
      <c r="AJ146" s="14"/>
      <c r="AK146" s="14"/>
      <c r="AL146" s="14"/>
      <c r="AM146" s="14"/>
      <c r="AN146" s="14"/>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c r="A147" s="5" t="str">
        <f>IFERROR(__xludf.DUMMYFUNCTION("""COMPUTED_VALUE"""),"Akagi")</f>
        <v>Akagi</v>
      </c>
      <c r="B147" s="5" t="str">
        <f>IFERROR(__xludf.DUMMYFUNCTION("""COMPUTED_VALUE"""),"DH")</f>
        <v>DH</v>
      </c>
      <c r="C147" s="5" t="str">
        <f>IFERROR(__xludf.DUMMYFUNCTION("""COMPUTED_VALUE"""),"Jintei")</f>
        <v>Jintei</v>
      </c>
      <c r="D147" s="5" t="str">
        <f>IFERROR(__xludf.DUMMYFUNCTION("""COMPUTED_VALUE"""),"Yuanji Deca")</f>
        <v>Yuanji Deca</v>
      </c>
      <c r="E147" s="5">
        <f>IFERROR(__xludf.DUMMYFUNCTION("""COMPUTED_VALUE"""),0.0026181481481481485)</f>
        <v>0.002618148148</v>
      </c>
      <c r="F147" s="5" t="str">
        <f>IFERROR(__xludf.DUMMYFUNCTION("""COMPUTED_VALUE"""),"DB42 (GR Supra)")</f>
        <v>DB42 (GR Supra)</v>
      </c>
      <c r="G147" s="5" t="str">
        <f>IFERROR(__xludf.DUMMYFUNCTION("""COMPUTED_VALUE"""),"PC")</f>
        <v>PC</v>
      </c>
      <c r="H147" s="5" t="str">
        <f>IFERROR(__xludf.DUMMYFUNCTION("""COMPUTED_VALUE"""),"Sacc")</f>
        <v>Sacc</v>
      </c>
      <c r="I147" s="14" t="str">
        <f>IFERROR(__xludf.DUMMYFUNCTION("""COMPUTED_VALUE"""),"Myogi (ASV)")</f>
        <v>Myogi (ASV)</v>
      </c>
      <c r="J147" s="14" t="str">
        <f>IFERROR(__xludf.DUMMYFUNCTION("""COMPUTED_VALUE"""),"UH")</f>
        <v>UH</v>
      </c>
      <c r="K147" s="14" t="str">
        <f>IFERROR(__xludf.DUMMYFUNCTION("""COMPUTED_VALUE"""),"Jintei")</f>
        <v>Jintei</v>
      </c>
      <c r="L147" s="14" t="str">
        <f>IFERROR(__xludf.DUMMYFUNCTION("""COMPUTED_VALUE"""),"LinWu_05")</f>
        <v>LinWu_05</v>
      </c>
      <c r="M147" s="48">
        <f>IFERROR(__xludf.DUMMYFUNCTION("""COMPUTED_VALUE"""),0.0024857407407407406)</f>
        <v>0.002485740741</v>
      </c>
      <c r="N147" s="14" t="str">
        <f>IFERROR(__xludf.DUMMYFUNCTION("""COMPUTED_VALUE"""),"380SX")</f>
        <v>380SX</v>
      </c>
      <c r="O147" s="14" t="str">
        <f>IFERROR(__xludf.DUMMYFUNCTION("""COMPUTED_VALUE"""),"PC")</f>
        <v>PC</v>
      </c>
      <c r="P147" s="14" t="str">
        <f>IFERROR(__xludf.DUMMYFUNCTION("""COMPUTED_VALUE"""),"Sacc")</f>
        <v>Sacc</v>
      </c>
      <c r="Q147" s="5"/>
      <c r="R147" s="5"/>
      <c r="S147" s="5"/>
      <c r="T147" s="5"/>
      <c r="U147" s="5"/>
      <c r="V147" s="5"/>
      <c r="W147" s="5"/>
      <c r="X147" s="5"/>
      <c r="Y147" s="5"/>
      <c r="Z147" s="5"/>
      <c r="AA147" s="5"/>
      <c r="AB147" s="5"/>
      <c r="AC147" s="5"/>
      <c r="AD147" s="5"/>
      <c r="AE147" s="5"/>
      <c r="AF147" s="5"/>
      <c r="AG147" s="14"/>
      <c r="AH147" s="14"/>
      <c r="AI147" s="14"/>
      <c r="AJ147" s="14"/>
      <c r="AK147" s="14"/>
      <c r="AL147" s="14"/>
      <c r="AM147" s="14"/>
      <c r="AN147" s="14"/>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c r="A148" s="5" t="str">
        <f>IFERROR(__xludf.DUMMYFUNCTION("""COMPUTED_VALUE"""),"Odawara")</f>
        <v>Odawara</v>
      </c>
      <c r="B148" s="5" t="str">
        <f>IFERROR(__xludf.DUMMYFUNCTION("""COMPUTED_VALUE"""),"CC")</f>
        <v>CC</v>
      </c>
      <c r="C148" s="5" t="str">
        <f>IFERROR(__xludf.DUMMYFUNCTION("""COMPUTED_VALUE"""),"Jintei")</f>
        <v>Jintei</v>
      </c>
      <c r="D148" s="5" t="str">
        <f>IFERROR(__xludf.DUMMYFUNCTION("""COMPUTED_VALUE"""),"Yuanji Deca")</f>
        <v>Yuanji Deca</v>
      </c>
      <c r="E148" s="5">
        <f>IFERROR(__xludf.DUMMYFUNCTION("""COMPUTED_VALUE"""),0.003983738425925926)</f>
        <v>0.003983738426</v>
      </c>
      <c r="F148" s="5" t="str">
        <f>IFERROR(__xludf.DUMMYFUNCTION("""COMPUTED_VALUE"""),"DB42 (GR Supra)")</f>
        <v>DB42 (GR Supra)</v>
      </c>
      <c r="G148" s="5" t="str">
        <f>IFERROR(__xludf.DUMMYFUNCTION("""COMPUTED_VALUE"""),"PC")</f>
        <v>PC</v>
      </c>
      <c r="H148" s="5" t="str">
        <f>IFERROR(__xludf.DUMMYFUNCTION("""COMPUTED_VALUE"""),"Sacc")</f>
        <v>Sacc</v>
      </c>
      <c r="I148" s="14" t="str">
        <f>IFERROR(__xludf.DUMMYFUNCTION("""COMPUTED_VALUE"""),"Usui V2")</f>
        <v>Usui V2</v>
      </c>
      <c r="J148" s="14" t="str">
        <f>IFERROR(__xludf.DUMMYFUNCTION("""COMPUTED_VALUE"""),"CC")</f>
        <v>CC</v>
      </c>
      <c r="K148" s="14" t="str">
        <f>IFERROR(__xludf.DUMMYFUNCTION("""COMPUTED_VALUE"""),"Jintei")</f>
        <v>Jintei</v>
      </c>
      <c r="L148" s="14" t="str">
        <f>IFERROR(__xludf.DUMMYFUNCTION("""COMPUTED_VALUE"""),"LinWu_05")</f>
        <v>LinWu_05</v>
      </c>
      <c r="M148" s="48">
        <f>IFERROR(__xludf.DUMMYFUNCTION("""COMPUTED_VALUE"""),0.0026084143518518518)</f>
        <v>0.002608414352</v>
      </c>
      <c r="N148" s="14" t="str">
        <f>IFERROR(__xludf.DUMMYFUNCTION("""COMPUTED_VALUE"""),"380SX")</f>
        <v>380SX</v>
      </c>
      <c r="O148" s="14" t="str">
        <f>IFERROR(__xludf.DUMMYFUNCTION("""COMPUTED_VALUE"""),"PC")</f>
        <v>PC</v>
      </c>
      <c r="P148" s="14" t="str">
        <f>IFERROR(__xludf.DUMMYFUNCTION("""COMPUTED_VALUE"""),"Sacc")</f>
        <v>Sacc</v>
      </c>
      <c r="Q148" s="5"/>
      <c r="R148" s="5"/>
      <c r="S148" s="5"/>
      <c r="T148" s="5"/>
      <c r="U148" s="5"/>
      <c r="V148" s="5"/>
      <c r="W148" s="5"/>
      <c r="X148" s="5"/>
      <c r="Y148" s="5"/>
      <c r="Z148" s="5"/>
      <c r="AA148" s="5"/>
      <c r="AB148" s="5"/>
      <c r="AC148" s="5"/>
      <c r="AD148" s="5"/>
      <c r="AE148" s="5"/>
      <c r="AF148" s="5"/>
      <c r="AG148" s="14"/>
      <c r="AH148" s="14"/>
      <c r="AI148" s="14"/>
      <c r="AJ148" s="14"/>
      <c r="AK148" s="14"/>
      <c r="AL148" s="14"/>
      <c r="AM148" s="14"/>
      <c r="AN148" s="14"/>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c r="A149" s="5" t="str">
        <f>IFERROR(__xludf.DUMMYFUNCTION("""COMPUTED_VALUE"""),"Odawara")</f>
        <v>Odawara</v>
      </c>
      <c r="B149" s="5" t="str">
        <f>IFERROR(__xludf.DUMMYFUNCTION("""COMPUTED_VALUE"""),"CW")</f>
        <v>CW</v>
      </c>
      <c r="C149" s="5" t="str">
        <f>IFERROR(__xludf.DUMMYFUNCTION("""COMPUTED_VALUE"""),"Jintei")</f>
        <v>Jintei</v>
      </c>
      <c r="D149" s="5" t="str">
        <f>IFERROR(__xludf.DUMMYFUNCTION("""COMPUTED_VALUE"""),"Lolidia")</f>
        <v>Lolidia</v>
      </c>
      <c r="E149" s="5">
        <f>IFERROR(__xludf.DUMMYFUNCTION("""COMPUTED_VALUE"""),0.0027067939814814815)</f>
        <v>0.002706793981</v>
      </c>
      <c r="F149" s="5" t="str">
        <f>IFERROR(__xludf.DUMMYFUNCTION("""COMPUTED_VALUE"""),"DB42 (GR Supra)")</f>
        <v>DB42 (GR Supra)</v>
      </c>
      <c r="G149" s="5" t="str">
        <f>IFERROR(__xludf.DUMMYFUNCTION("""COMPUTED_VALUE"""),"PCVR")</f>
        <v>PCVR</v>
      </c>
      <c r="H149" s="5" t="str">
        <f>IFERROR(__xludf.DUMMYFUNCTION("""COMPUTED_VALUE"""),"Sacc")</f>
        <v>Sacc</v>
      </c>
      <c r="I149" s="14" t="str">
        <f>IFERROR(__xludf.DUMMYFUNCTION("""COMPUTED_VALUE"""),"Usui V2")</f>
        <v>Usui V2</v>
      </c>
      <c r="J149" s="14" t="str">
        <f>IFERROR(__xludf.DUMMYFUNCTION("""COMPUTED_VALUE"""),"CW")</f>
        <v>CW</v>
      </c>
      <c r="K149" s="14" t="str">
        <f>IFERROR(__xludf.DUMMYFUNCTION("""COMPUTED_VALUE"""),"Jintei")</f>
        <v>Jintei</v>
      </c>
      <c r="L149" s="14" t="str">
        <f>IFERROR(__xludf.DUMMYFUNCTION("""COMPUTED_VALUE"""),"LinWu_05")</f>
        <v>LinWu_05</v>
      </c>
      <c r="M149" s="48">
        <f>IFERROR(__xludf.DUMMYFUNCTION("""COMPUTED_VALUE"""),0.0026306018518518514)</f>
        <v>0.002630601852</v>
      </c>
      <c r="N149" s="14" t="str">
        <f>IFERROR(__xludf.DUMMYFUNCTION("""COMPUTED_VALUE"""),"380SX")</f>
        <v>380SX</v>
      </c>
      <c r="O149" s="14" t="str">
        <f>IFERROR(__xludf.DUMMYFUNCTION("""COMPUTED_VALUE"""),"PC")</f>
        <v>PC</v>
      </c>
      <c r="P149" s="14" t="str">
        <f>IFERROR(__xludf.DUMMYFUNCTION("""COMPUTED_VALUE"""),"Sacc")</f>
        <v>Sacc</v>
      </c>
      <c r="Q149" s="5"/>
      <c r="R149" s="5"/>
      <c r="S149" s="5"/>
      <c r="T149" s="5"/>
      <c r="U149" s="5"/>
      <c r="V149" s="5"/>
      <c r="W149" s="5"/>
      <c r="X149" s="5"/>
      <c r="Y149" s="5"/>
      <c r="Z149" s="5"/>
      <c r="AA149" s="5"/>
      <c r="AB149" s="5"/>
      <c r="AC149" s="5"/>
      <c r="AD149" s="5"/>
      <c r="AE149" s="5"/>
      <c r="AF149" s="5"/>
      <c r="AG149" s="14"/>
      <c r="AH149" s="14"/>
      <c r="AI149" s="14"/>
      <c r="AJ149" s="14"/>
      <c r="AK149" s="14"/>
      <c r="AL149" s="14"/>
      <c r="AM149" s="14"/>
      <c r="AN149" s="14"/>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c r="A150" s="5" t="str">
        <f>IFERROR(__xludf.DUMMYFUNCTION("""COMPUTED_VALUE"""),"Akina")</f>
        <v>Akina</v>
      </c>
      <c r="B150" s="5" t="str">
        <f>IFERROR(__xludf.DUMMYFUNCTION("""COMPUTED_VALUE"""),"UH")</f>
        <v>UH</v>
      </c>
      <c r="C150" s="5" t="str">
        <f>IFERROR(__xludf.DUMMYFUNCTION("""COMPUTED_VALUE"""),"Jintei")</f>
        <v>Jintei</v>
      </c>
      <c r="D150" s="5" t="str">
        <f>IFERROR(__xludf.DUMMYFUNCTION("""COMPUTED_VALUE"""),"Test Driver")</f>
        <v>Test Driver</v>
      </c>
      <c r="E150" s="5">
        <f>IFERROR(__xludf.DUMMYFUNCTION("""COMPUTED_VALUE"""),0.006944444444444444)</f>
        <v>0.006944444444</v>
      </c>
      <c r="F150" s="5" t="str">
        <f>IFERROR(__xludf.DUMMYFUNCTION("""COMPUTED_VALUE"""),"DB42 (GR Supra)")</f>
        <v>DB42 (GR Supra)</v>
      </c>
      <c r="G150" s="5"/>
      <c r="H150" s="5" t="str">
        <f>IFERROR(__xludf.DUMMYFUNCTION("""COMPUTED_VALUE"""),"Sacc")</f>
        <v>Sacc</v>
      </c>
      <c r="I150" s="14"/>
      <c r="J150" s="14"/>
      <c r="K150" s="14"/>
      <c r="L150" s="14"/>
      <c r="M150" s="14"/>
      <c r="N150" s="14"/>
      <c r="O150" s="14"/>
      <c r="P150" s="14"/>
      <c r="Q150" s="5"/>
      <c r="R150" s="5"/>
      <c r="S150" s="5"/>
      <c r="T150" s="5"/>
      <c r="U150" s="5"/>
      <c r="V150" s="5"/>
      <c r="W150" s="5"/>
      <c r="X150" s="5"/>
      <c r="Y150" s="5"/>
      <c r="Z150" s="5"/>
      <c r="AA150" s="5"/>
      <c r="AB150" s="5"/>
      <c r="AC150" s="5"/>
      <c r="AD150" s="5"/>
      <c r="AE150" s="5"/>
      <c r="AF150" s="5"/>
      <c r="AG150" s="14"/>
      <c r="AH150" s="14"/>
      <c r="AI150" s="14"/>
      <c r="AJ150" s="14"/>
      <c r="AK150" s="14"/>
      <c r="AL150" s="14"/>
      <c r="AM150" s="14"/>
      <c r="AN150" s="14"/>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c r="A151" s="5" t="str">
        <f>IFERROR(__xludf.DUMMYFUNCTION("""COMPUTED_VALUE"""),"Akina")</f>
        <v>Akina</v>
      </c>
      <c r="B151" s="5" t="str">
        <f>IFERROR(__xludf.DUMMYFUNCTION("""COMPUTED_VALUE"""),"DH")</f>
        <v>DH</v>
      </c>
      <c r="C151" s="5" t="str">
        <f>IFERROR(__xludf.DUMMYFUNCTION("""COMPUTED_VALUE"""),"Jintei")</f>
        <v>Jintei</v>
      </c>
      <c r="D151" s="5" t="str">
        <f>IFERROR(__xludf.DUMMYFUNCTION("""COMPUTED_VALUE"""),"Test Driver")</f>
        <v>Test Driver</v>
      </c>
      <c r="E151" s="5">
        <f>IFERROR(__xludf.DUMMYFUNCTION("""COMPUTED_VALUE"""),0.006944444444444444)</f>
        <v>0.006944444444</v>
      </c>
      <c r="F151" s="5" t="str">
        <f>IFERROR(__xludf.DUMMYFUNCTION("""COMPUTED_VALUE"""),"DB42 (GR Supra)")</f>
        <v>DB42 (GR Supra)</v>
      </c>
      <c r="G151" s="5"/>
      <c r="H151" s="5" t="str">
        <f>IFERROR(__xludf.DUMMYFUNCTION("""COMPUTED_VALUE"""),"Sacc")</f>
        <v>Sacc</v>
      </c>
      <c r="I151" s="68" t="s">
        <v>190</v>
      </c>
      <c r="Q151" s="5"/>
      <c r="R151" s="5"/>
      <c r="S151" s="5"/>
      <c r="T151" s="5"/>
      <c r="U151" s="5"/>
      <c r="V151" s="5"/>
      <c r="W151" s="5"/>
      <c r="X151" s="5"/>
      <c r="Y151" s="5"/>
      <c r="Z151" s="5"/>
      <c r="AA151" s="5"/>
      <c r="AB151" s="5"/>
      <c r="AC151" s="5"/>
      <c r="AD151" s="5"/>
      <c r="AE151" s="5"/>
      <c r="AF151" s="5"/>
      <c r="AG151" s="14"/>
      <c r="AH151" s="14"/>
      <c r="AI151" s="14"/>
      <c r="AJ151" s="14"/>
      <c r="AK151" s="14"/>
      <c r="AL151" s="14"/>
      <c r="AM151" s="14"/>
      <c r="AN151" s="14"/>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c r="A152" s="5" t="str">
        <f>IFERROR(__xludf.DUMMYFUNCTION("""COMPUTED_VALUE"""),"Akagi")</f>
        <v>Akagi</v>
      </c>
      <c r="B152" s="5" t="str">
        <f>IFERROR(__xludf.DUMMYFUNCTION("""COMPUTED_VALUE"""),"UH")</f>
        <v>UH</v>
      </c>
      <c r="C152" s="5" t="str">
        <f>IFERROR(__xludf.DUMMYFUNCTION("""COMPUTED_VALUE"""),"Jintei")</f>
        <v>Jintei</v>
      </c>
      <c r="D152" s="5" t="str">
        <f>IFERROR(__xludf.DUMMYFUNCTION("""COMPUTED_VALUE"""),"Test Driver")</f>
        <v>Test Driver</v>
      </c>
      <c r="E152" s="5">
        <f>IFERROR(__xludf.DUMMYFUNCTION("""COMPUTED_VALUE"""),0.006944444444444444)</f>
        <v>0.006944444444</v>
      </c>
      <c r="F152" s="5" t="str">
        <f>IFERROR(__xludf.DUMMYFUNCTION("""COMPUTED_VALUE"""),"DB42 (GR Supra)")</f>
        <v>DB42 (GR Supra)</v>
      </c>
      <c r="G152" s="5"/>
      <c r="H152" s="5" t="str">
        <f>IFERROR(__xludf.DUMMYFUNCTION("""COMPUTED_VALUE"""),"Sacc")</f>
        <v>Sacc</v>
      </c>
      <c r="I152" s="14" t="str">
        <f>IFERROR(__xludf.DUMMYFUNCTION("LET(
  車輛, I151,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52" s="14" t="str">
        <f>IFERROR(__xludf.DUMMYFUNCTION("""COMPUTED_VALUE"""),"路線")</f>
        <v>路線</v>
      </c>
      <c r="K152" s="14" t="str">
        <f>IFERROR(__xludf.DUMMYFUNCTION("""COMPUTED_VALUE"""),"作者")</f>
        <v>作者</v>
      </c>
      <c r="L152" s="14" t="str">
        <f>IFERROR(__xludf.DUMMYFUNCTION("""COMPUTED_VALUE"""),"玩家")</f>
        <v>玩家</v>
      </c>
      <c r="M152" s="14" t="str">
        <f>IFERROR(__xludf.DUMMYFUNCTION("""COMPUTED_VALUE"""),"時間")</f>
        <v>時間</v>
      </c>
      <c r="N152" s="14" t="str">
        <f>IFERROR(__xludf.DUMMYFUNCTION("""COMPUTED_VALUE"""),"車輛")</f>
        <v>車輛</v>
      </c>
      <c r="O152" s="14" t="str">
        <f>IFERROR(__xludf.DUMMYFUNCTION("""COMPUTED_VALUE"""),"平台")</f>
        <v>平台</v>
      </c>
      <c r="P152" s="14" t="str">
        <f>IFERROR(__xludf.DUMMYFUNCTION("""COMPUTED_VALUE"""),"系統")</f>
        <v>系統</v>
      </c>
      <c r="Q152" s="5"/>
      <c r="R152" s="5"/>
      <c r="S152" s="5"/>
      <c r="T152" s="5"/>
      <c r="U152" s="5"/>
      <c r="V152" s="5"/>
      <c r="W152" s="5"/>
      <c r="X152" s="5"/>
      <c r="Y152" s="5"/>
      <c r="Z152" s="5"/>
      <c r="AA152" s="5"/>
      <c r="AB152" s="5"/>
      <c r="AC152" s="5"/>
      <c r="AD152" s="5"/>
      <c r="AE152" s="5"/>
      <c r="AF152" s="5"/>
      <c r="AG152" s="14"/>
      <c r="AH152" s="14"/>
      <c r="AI152" s="14"/>
      <c r="AJ152" s="14"/>
      <c r="AK152" s="14"/>
      <c r="AL152" s="14"/>
      <c r="AM152" s="14"/>
      <c r="AN152" s="14"/>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c r="A153" s="5" t="str">
        <f>IFERROR(__xludf.DUMMYFUNCTION("""COMPUTED_VALUE"""),"Tsukuba")</f>
        <v>Tsukuba</v>
      </c>
      <c r="B153" s="5" t="str">
        <f>IFERROR(__xludf.DUMMYFUNCTION("""COMPUTED_VALUE"""),"Double")</f>
        <v>Double</v>
      </c>
      <c r="C153" s="5" t="str">
        <f>IFERROR(__xludf.DUMMYFUNCTION("""COMPUTED_VALUE"""),"Jintei")</f>
        <v>Jintei</v>
      </c>
      <c r="D153" s="5" t="str">
        <f>IFERROR(__xludf.DUMMYFUNCTION("""COMPUTED_VALUE"""),"Test Driver")</f>
        <v>Test Driver</v>
      </c>
      <c r="E153" s="5">
        <f>IFERROR(__xludf.DUMMYFUNCTION("""COMPUTED_VALUE"""),0.006944444444444444)</f>
        <v>0.006944444444</v>
      </c>
      <c r="F153" s="5" t="str">
        <f>IFERROR(__xludf.DUMMYFUNCTION("""COMPUTED_VALUE"""),"DB42 (GR Supra)")</f>
        <v>DB42 (GR Supra)</v>
      </c>
      <c r="G153" s="5"/>
      <c r="H153" s="5" t="str">
        <f>IFERROR(__xludf.DUMMYFUNCTION("""COMPUTED_VALUE"""),"Sacc")</f>
        <v>Sacc</v>
      </c>
      <c r="I153" s="14" t="str">
        <f>IFERROR(__xludf.DUMMYFUNCTION("""COMPUTED_VALUE"""),"Myogi (ASV)")</f>
        <v>Myogi (ASV)</v>
      </c>
      <c r="J153" s="14" t="str">
        <f>IFERROR(__xludf.DUMMYFUNCTION("""COMPUTED_VALUE"""),"DH")</f>
        <v>DH</v>
      </c>
      <c r="K153" s="14" t="str">
        <f>IFERROR(__xludf.DUMMYFUNCTION("""COMPUTED_VALUE"""),"Jintei")</f>
        <v>Jintei</v>
      </c>
      <c r="L153" s="14" t="str">
        <f>IFERROR(__xludf.DUMMYFUNCTION("""COMPUTED_VALUE"""),"LinWu_05")</f>
        <v>LinWu_05</v>
      </c>
      <c r="M153" s="48">
        <f>IFERROR(__xludf.DUMMYFUNCTION("""COMPUTED_VALUE"""),0.0023516666666666664)</f>
        <v>0.002351666667</v>
      </c>
      <c r="N153" s="14" t="str">
        <f>IFERROR(__xludf.DUMMYFUNCTION("""COMPUTED_VALUE"""),"380SX")</f>
        <v>380SX</v>
      </c>
      <c r="O153" s="14" t="str">
        <f>IFERROR(__xludf.DUMMYFUNCTION("""COMPUTED_VALUE"""),"PC")</f>
        <v>PC</v>
      </c>
      <c r="P153" s="14" t="str">
        <f>IFERROR(__xludf.DUMMYFUNCTION("""COMPUTED_VALUE"""),"Sacc")</f>
        <v>Sacc</v>
      </c>
      <c r="Q153" s="5"/>
      <c r="R153" s="5"/>
      <c r="S153" s="5"/>
      <c r="T153" s="5"/>
      <c r="U153" s="5"/>
      <c r="V153" s="5"/>
      <c r="W153" s="5"/>
      <c r="X153" s="5"/>
      <c r="Y153" s="5"/>
      <c r="Z153" s="5"/>
      <c r="AA153" s="5"/>
      <c r="AB153" s="5"/>
      <c r="AC153" s="5"/>
      <c r="AD153" s="5"/>
      <c r="AE153" s="5"/>
      <c r="AF153" s="5"/>
      <c r="AG153" s="14"/>
      <c r="AH153" s="14"/>
      <c r="AI153" s="14"/>
      <c r="AJ153" s="14"/>
      <c r="AK153" s="14"/>
      <c r="AL153" s="14"/>
      <c r="AM153" s="14"/>
      <c r="AN153" s="14"/>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c r="A154" s="5" t="str">
        <f>IFERROR(__xludf.DUMMYFUNCTION("""COMPUTED_VALUE"""),"Tsukuba")</f>
        <v>Tsukuba</v>
      </c>
      <c r="B154" s="5" t="str">
        <f>IFERROR(__xludf.DUMMYFUNCTION("""COMPUTED_VALUE"""),"DH")</f>
        <v>DH</v>
      </c>
      <c r="C154" s="5" t="str">
        <f>IFERROR(__xludf.DUMMYFUNCTION("""COMPUTED_VALUE"""),"Jintei")</f>
        <v>Jintei</v>
      </c>
      <c r="D154" s="5" t="str">
        <f>IFERROR(__xludf.DUMMYFUNCTION("""COMPUTED_VALUE"""),"Test Driver")</f>
        <v>Test Driver</v>
      </c>
      <c r="E154" s="5">
        <f>IFERROR(__xludf.DUMMYFUNCTION("""COMPUTED_VALUE"""),0.006944444444444444)</f>
        <v>0.006944444444</v>
      </c>
      <c r="F154" s="5" t="str">
        <f>IFERROR(__xludf.DUMMYFUNCTION("""COMPUTED_VALUE"""),"DB42 (GR Supra)")</f>
        <v>DB42 (GR Supra)</v>
      </c>
      <c r="G154" s="5"/>
      <c r="H154" s="5" t="str">
        <f>IFERROR(__xludf.DUMMYFUNCTION("""COMPUTED_VALUE"""),"Sacc")</f>
        <v>Sacc</v>
      </c>
      <c r="I154" s="14" t="str">
        <f>IFERROR(__xludf.DUMMYFUNCTION("""COMPUTED_VALUE"""),"Myogi (ASV)")</f>
        <v>Myogi (ASV)</v>
      </c>
      <c r="J154" s="14" t="str">
        <f>IFERROR(__xludf.DUMMYFUNCTION("""COMPUTED_VALUE"""),"UH")</f>
        <v>UH</v>
      </c>
      <c r="K154" s="14" t="str">
        <f>IFERROR(__xludf.DUMMYFUNCTION("""COMPUTED_VALUE"""),"Jintei")</f>
        <v>Jintei</v>
      </c>
      <c r="L154" s="14" t="str">
        <f>IFERROR(__xludf.DUMMYFUNCTION("""COMPUTED_VALUE"""),"LinWu_05")</f>
        <v>LinWu_05</v>
      </c>
      <c r="M154" s="48">
        <f>IFERROR(__xludf.DUMMYFUNCTION("""COMPUTED_VALUE"""),0.0024857407407407406)</f>
        <v>0.002485740741</v>
      </c>
      <c r="N154" s="14" t="str">
        <f>IFERROR(__xludf.DUMMYFUNCTION("""COMPUTED_VALUE"""),"380SX")</f>
        <v>380SX</v>
      </c>
      <c r="O154" s="14" t="str">
        <f>IFERROR(__xludf.DUMMYFUNCTION("""COMPUTED_VALUE"""),"PC")</f>
        <v>PC</v>
      </c>
      <c r="P154" s="14" t="str">
        <f>IFERROR(__xludf.DUMMYFUNCTION("""COMPUTED_VALUE"""),"Sacc")</f>
        <v>Sacc</v>
      </c>
      <c r="Q154" s="5"/>
      <c r="R154" s="5"/>
      <c r="S154" s="5"/>
      <c r="T154" s="5"/>
      <c r="U154" s="5"/>
      <c r="V154" s="5"/>
      <c r="W154" s="5"/>
      <c r="X154" s="5"/>
      <c r="Y154" s="5"/>
      <c r="Z154" s="5"/>
      <c r="AA154" s="5"/>
      <c r="AB154" s="5"/>
      <c r="AC154" s="5"/>
      <c r="AD154" s="5"/>
      <c r="AE154" s="5"/>
      <c r="AF154" s="5"/>
      <c r="AG154" s="14"/>
      <c r="AH154" s="14"/>
      <c r="AI154" s="14"/>
      <c r="AJ154" s="14"/>
      <c r="AK154" s="14"/>
      <c r="AL154" s="14"/>
      <c r="AM154" s="14"/>
      <c r="AN154" s="14"/>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c r="A155" s="5" t="str">
        <f>IFERROR(__xludf.DUMMYFUNCTION("""COMPUTED_VALUE"""),"Tsukuba")</f>
        <v>Tsukuba</v>
      </c>
      <c r="B155" s="5" t="str">
        <f>IFERROR(__xludf.DUMMYFUNCTION("""COMPUTED_VALUE"""),"UH")</f>
        <v>UH</v>
      </c>
      <c r="C155" s="5" t="str">
        <f>IFERROR(__xludf.DUMMYFUNCTION("""COMPUTED_VALUE"""),"Jintei")</f>
        <v>Jintei</v>
      </c>
      <c r="D155" s="5" t="str">
        <f>IFERROR(__xludf.DUMMYFUNCTION("""COMPUTED_VALUE"""),"Test Driver")</f>
        <v>Test Driver</v>
      </c>
      <c r="E155" s="5">
        <f>IFERROR(__xludf.DUMMYFUNCTION("""COMPUTED_VALUE"""),0.006944444444444444)</f>
        <v>0.006944444444</v>
      </c>
      <c r="F155" s="5" t="str">
        <f>IFERROR(__xludf.DUMMYFUNCTION("""COMPUTED_VALUE"""),"DB42 (GR Supra)")</f>
        <v>DB42 (GR Supra)</v>
      </c>
      <c r="G155" s="5"/>
      <c r="H155" s="5" t="str">
        <f>IFERROR(__xludf.DUMMYFUNCTION("""COMPUTED_VALUE"""),"Sacc")</f>
        <v>Sacc</v>
      </c>
      <c r="I155" s="14" t="str">
        <f>IFERROR(__xludf.DUMMYFUNCTION("""COMPUTED_VALUE"""),"Usui V2")</f>
        <v>Usui V2</v>
      </c>
      <c r="J155" s="14" t="str">
        <f>IFERROR(__xludf.DUMMYFUNCTION("""COMPUTED_VALUE"""),"CC")</f>
        <v>CC</v>
      </c>
      <c r="K155" s="14" t="str">
        <f>IFERROR(__xludf.DUMMYFUNCTION("""COMPUTED_VALUE"""),"Jintei")</f>
        <v>Jintei</v>
      </c>
      <c r="L155" s="14" t="str">
        <f>IFERROR(__xludf.DUMMYFUNCTION("""COMPUTED_VALUE"""),"LinWu_05")</f>
        <v>LinWu_05</v>
      </c>
      <c r="M155" s="48">
        <f>IFERROR(__xludf.DUMMYFUNCTION("""COMPUTED_VALUE"""),0.0026084143518518518)</f>
        <v>0.002608414352</v>
      </c>
      <c r="N155" s="14" t="str">
        <f>IFERROR(__xludf.DUMMYFUNCTION("""COMPUTED_VALUE"""),"380SX")</f>
        <v>380SX</v>
      </c>
      <c r="O155" s="14" t="str">
        <f>IFERROR(__xludf.DUMMYFUNCTION("""COMPUTED_VALUE"""),"PC")</f>
        <v>PC</v>
      </c>
      <c r="P155" s="14" t="str">
        <f>IFERROR(__xludf.DUMMYFUNCTION("""COMPUTED_VALUE"""),"Sacc")</f>
        <v>Sacc</v>
      </c>
      <c r="Q155" s="5"/>
      <c r="R155" s="5"/>
      <c r="S155" s="5"/>
      <c r="T155" s="5"/>
      <c r="U155" s="5"/>
      <c r="V155" s="5"/>
      <c r="W155" s="5"/>
      <c r="X155" s="5"/>
      <c r="Y155" s="5"/>
      <c r="Z155" s="5"/>
      <c r="AA155" s="5"/>
      <c r="AB155" s="5"/>
      <c r="AC155" s="5"/>
      <c r="AD155" s="5"/>
      <c r="AE155" s="5"/>
      <c r="AF155" s="5"/>
      <c r="AG155" s="14"/>
      <c r="AH155" s="14"/>
      <c r="AI155" s="14"/>
      <c r="AJ155" s="14"/>
      <c r="AK155" s="14"/>
      <c r="AL155" s="14"/>
      <c r="AM155" s="14"/>
      <c r="AN155" s="14"/>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c r="A156" s="5" t="str">
        <f>IFERROR(__xludf.DUMMYFUNCTION("""COMPUTED_VALUE"""),"Tsukuba")</f>
        <v>Tsukuba</v>
      </c>
      <c r="B156" s="5" t="str">
        <f>IFERROR(__xludf.DUMMYFUNCTION("""COMPUTED_VALUE"""),"OB")</f>
        <v>OB</v>
      </c>
      <c r="C156" s="5" t="str">
        <f>IFERROR(__xludf.DUMMYFUNCTION("""COMPUTED_VALUE"""),"Jintei")</f>
        <v>Jintei</v>
      </c>
      <c r="D156" s="5" t="str">
        <f>IFERROR(__xludf.DUMMYFUNCTION("""COMPUTED_VALUE"""),"Test Driver")</f>
        <v>Test Driver</v>
      </c>
      <c r="E156" s="5">
        <f>IFERROR(__xludf.DUMMYFUNCTION("""COMPUTED_VALUE"""),0.006944444444444444)</f>
        <v>0.006944444444</v>
      </c>
      <c r="F156" s="5" t="str">
        <f>IFERROR(__xludf.DUMMYFUNCTION("""COMPUTED_VALUE"""),"DB42 (GR Supra)")</f>
        <v>DB42 (GR Supra)</v>
      </c>
      <c r="G156" s="5"/>
      <c r="H156" s="5" t="str">
        <f>IFERROR(__xludf.DUMMYFUNCTION("""COMPUTED_VALUE"""),"Sacc")</f>
        <v>Sacc</v>
      </c>
      <c r="I156" s="14" t="str">
        <f>IFERROR(__xludf.DUMMYFUNCTION("""COMPUTED_VALUE"""),"Usui V2")</f>
        <v>Usui V2</v>
      </c>
      <c r="J156" s="14" t="str">
        <f>IFERROR(__xludf.DUMMYFUNCTION("""COMPUTED_VALUE"""),"CW")</f>
        <v>CW</v>
      </c>
      <c r="K156" s="14" t="str">
        <f>IFERROR(__xludf.DUMMYFUNCTION("""COMPUTED_VALUE"""),"Jintei")</f>
        <v>Jintei</v>
      </c>
      <c r="L156" s="14" t="str">
        <f>IFERROR(__xludf.DUMMYFUNCTION("""COMPUTED_VALUE"""),"LinWu_05")</f>
        <v>LinWu_05</v>
      </c>
      <c r="M156" s="48">
        <f>IFERROR(__xludf.DUMMYFUNCTION("""COMPUTED_VALUE"""),0.0026306018518518514)</f>
        <v>0.002630601852</v>
      </c>
      <c r="N156" s="14" t="str">
        <f>IFERROR(__xludf.DUMMYFUNCTION("""COMPUTED_VALUE"""),"380SX")</f>
        <v>380SX</v>
      </c>
      <c r="O156" s="14" t="str">
        <f>IFERROR(__xludf.DUMMYFUNCTION("""COMPUTED_VALUE"""),"PC")</f>
        <v>PC</v>
      </c>
      <c r="P156" s="14" t="str">
        <f>IFERROR(__xludf.DUMMYFUNCTION("""COMPUTED_VALUE"""),"Sacc")</f>
        <v>Sacc</v>
      </c>
      <c r="Q156" s="5"/>
      <c r="R156" s="5"/>
      <c r="S156" s="5"/>
      <c r="T156" s="5"/>
      <c r="U156" s="5"/>
      <c r="V156" s="5"/>
      <c r="W156" s="5"/>
      <c r="X156" s="5"/>
      <c r="Y156" s="5"/>
      <c r="Z156" s="5"/>
      <c r="AA156" s="5"/>
      <c r="AB156" s="5"/>
      <c r="AC156" s="5"/>
      <c r="AD156" s="5"/>
      <c r="AE156" s="5"/>
      <c r="AF156" s="5"/>
      <c r="AG156" s="14"/>
      <c r="AH156" s="14"/>
      <c r="AI156" s="14"/>
      <c r="AJ156" s="14"/>
      <c r="AK156" s="14"/>
      <c r="AL156" s="14"/>
      <c r="AM156" s="14"/>
      <c r="AN156" s="14"/>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c r="A157" s="5" t="str">
        <f>IFERROR(__xludf.DUMMYFUNCTION("""COMPUTED_VALUE"""),"Tsukuba")</f>
        <v>Tsukuba</v>
      </c>
      <c r="B157" s="5" t="str">
        <f>IFERROR(__xludf.DUMMYFUNCTION("""COMPUTED_VALUE"""),"IB")</f>
        <v>IB</v>
      </c>
      <c r="C157" s="5" t="str">
        <f>IFERROR(__xludf.DUMMYFUNCTION("""COMPUTED_VALUE"""),"Jintei")</f>
        <v>Jintei</v>
      </c>
      <c r="D157" s="5" t="str">
        <f>IFERROR(__xludf.DUMMYFUNCTION("""COMPUTED_VALUE"""),"Test Driver")</f>
        <v>Test Driver</v>
      </c>
      <c r="E157" s="5">
        <f>IFERROR(__xludf.DUMMYFUNCTION("""COMPUTED_VALUE"""),0.006944444444444444)</f>
        <v>0.006944444444</v>
      </c>
      <c r="F157" s="5" t="str">
        <f>IFERROR(__xludf.DUMMYFUNCTION("""COMPUTED_VALUE"""),"DB42 (GR Supra)")</f>
        <v>DB42 (GR Supra)</v>
      </c>
      <c r="G157" s="5"/>
      <c r="H157" s="5" t="str">
        <f>IFERROR(__xludf.DUMMYFUNCTION("""COMPUTED_VALUE"""),"Sacc")</f>
        <v>Sacc</v>
      </c>
      <c r="I157" s="14"/>
      <c r="J157" s="14"/>
      <c r="K157" s="14"/>
      <c r="L157" s="14"/>
      <c r="M157" s="14"/>
      <c r="N157" s="14"/>
      <c r="O157" s="14"/>
      <c r="P157" s="14"/>
      <c r="Q157" s="5"/>
      <c r="R157" s="5"/>
      <c r="S157" s="5"/>
      <c r="T157" s="5"/>
      <c r="U157" s="5"/>
      <c r="V157" s="5"/>
      <c r="W157" s="5"/>
      <c r="X157" s="5"/>
      <c r="Y157" s="5"/>
      <c r="Z157" s="5"/>
      <c r="AA157" s="5"/>
      <c r="AB157" s="5"/>
      <c r="AC157" s="5"/>
      <c r="AD157" s="5"/>
      <c r="AE157" s="5"/>
      <c r="AF157" s="5"/>
      <c r="AG157" s="14"/>
      <c r="AH157" s="14"/>
      <c r="AI157" s="14"/>
      <c r="AJ157" s="14"/>
      <c r="AK157" s="14"/>
      <c r="AL157" s="14"/>
      <c r="AM157" s="14"/>
      <c r="AN157" s="14"/>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c r="A158" s="5" t="str">
        <f>IFERROR(__xludf.DUMMYFUNCTION("""COMPUTED_VALUE"""),"Shin Myogi")</f>
        <v>Shin Myogi</v>
      </c>
      <c r="B158" s="5" t="str">
        <f>IFERROR(__xludf.DUMMYFUNCTION("""COMPUTED_VALUE"""),"DH")</f>
        <v>DH</v>
      </c>
      <c r="C158" s="5" t="str">
        <f>IFERROR(__xludf.DUMMYFUNCTION("""COMPUTED_VALUE"""),"Jintei")</f>
        <v>Jintei</v>
      </c>
      <c r="D158" s="5" t="str">
        <f>IFERROR(__xludf.DUMMYFUNCTION("""COMPUTED_VALUE"""),"Test Driver")</f>
        <v>Test Driver</v>
      </c>
      <c r="E158" s="5">
        <f>IFERROR(__xludf.DUMMYFUNCTION("""COMPUTED_VALUE"""),0.006944444444444444)</f>
        <v>0.006944444444</v>
      </c>
      <c r="F158" s="5" t="str">
        <f>IFERROR(__xludf.DUMMYFUNCTION("""COMPUTED_VALUE"""),"DB42 (GR Supra)")</f>
        <v>DB42 (GR Supra)</v>
      </c>
      <c r="G158" s="5"/>
      <c r="H158" s="5" t="str">
        <f>IFERROR(__xludf.DUMMYFUNCTION("""COMPUTED_VALUE"""),"Sacc")</f>
        <v>Sacc</v>
      </c>
      <c r="I158" s="71" t="s">
        <v>192</v>
      </c>
      <c r="Q158" s="5"/>
      <c r="R158" s="5"/>
      <c r="S158" s="5"/>
      <c r="T158" s="5"/>
      <c r="U158" s="5"/>
      <c r="V158" s="5"/>
      <c r="W158" s="5"/>
      <c r="X158" s="5"/>
      <c r="Y158" s="5"/>
      <c r="Z158" s="5"/>
      <c r="AA158" s="5"/>
      <c r="AB158" s="5"/>
      <c r="AC158" s="5"/>
      <c r="AD158" s="5"/>
      <c r="AE158" s="5"/>
      <c r="AF158" s="5"/>
      <c r="AG158" s="14"/>
      <c r="AH158" s="14"/>
      <c r="AI158" s="14"/>
      <c r="AJ158" s="14"/>
      <c r="AK158" s="14"/>
      <c r="AL158" s="14"/>
      <c r="AM158" s="14"/>
      <c r="AN158" s="14"/>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c r="A159" s="5" t="str">
        <f>IFERROR(__xludf.DUMMYFUNCTION("""COMPUTED_VALUE"""),"Shin Myogi")</f>
        <v>Shin Myogi</v>
      </c>
      <c r="B159" s="5" t="str">
        <f>IFERROR(__xludf.DUMMYFUNCTION("""COMPUTED_VALUE"""),"UH")</f>
        <v>UH</v>
      </c>
      <c r="C159" s="5" t="str">
        <f>IFERROR(__xludf.DUMMYFUNCTION("""COMPUTED_VALUE"""),"Jintei")</f>
        <v>Jintei</v>
      </c>
      <c r="D159" s="5" t="str">
        <f>IFERROR(__xludf.DUMMYFUNCTION("""COMPUTED_VALUE"""),"Test Driver")</f>
        <v>Test Driver</v>
      </c>
      <c r="E159" s="5">
        <f>IFERROR(__xludf.DUMMYFUNCTION("""COMPUTED_VALUE"""),0.006944444444444444)</f>
        <v>0.006944444444</v>
      </c>
      <c r="F159" s="5" t="str">
        <f>IFERROR(__xludf.DUMMYFUNCTION("""COMPUTED_VALUE"""),"DB42 (GR Supra)")</f>
        <v>DB42 (GR Supra)</v>
      </c>
      <c r="G159" s="5"/>
      <c r="H159" s="5" t="str">
        <f>IFERROR(__xludf.DUMMYFUNCTION("""COMPUTED_VALUE"""),"Sacc")</f>
        <v>Sacc</v>
      </c>
      <c r="I159" s="14" t="str">
        <f>IFERROR(__xludf.DUMMYFUNCTION("LET(
  車輛, I158,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59" s="14" t="str">
        <f>IFERROR(__xludf.DUMMYFUNCTION("""COMPUTED_VALUE"""),"路線")</f>
        <v>路線</v>
      </c>
      <c r="K159" s="14" t="str">
        <f>IFERROR(__xludf.DUMMYFUNCTION("""COMPUTED_VALUE"""),"作者")</f>
        <v>作者</v>
      </c>
      <c r="L159" s="14" t="str">
        <f>IFERROR(__xludf.DUMMYFUNCTION("""COMPUTED_VALUE"""),"玩家")</f>
        <v>玩家</v>
      </c>
      <c r="M159" s="14" t="str">
        <f>IFERROR(__xludf.DUMMYFUNCTION("""COMPUTED_VALUE"""),"時間")</f>
        <v>時間</v>
      </c>
      <c r="N159" s="14" t="str">
        <f>IFERROR(__xludf.DUMMYFUNCTION("""COMPUTED_VALUE"""),"車輛")</f>
        <v>車輛</v>
      </c>
      <c r="O159" s="14" t="str">
        <f>IFERROR(__xludf.DUMMYFUNCTION("""COMPUTED_VALUE"""),"平台")</f>
        <v>平台</v>
      </c>
      <c r="P159" s="14" t="str">
        <f>IFERROR(__xludf.DUMMYFUNCTION("""COMPUTED_VALUE"""),"系統")</f>
        <v>系統</v>
      </c>
      <c r="Q159" s="5"/>
      <c r="R159" s="5"/>
      <c r="S159" s="5"/>
      <c r="T159" s="5"/>
      <c r="U159" s="5"/>
      <c r="V159" s="5"/>
      <c r="W159" s="5"/>
      <c r="X159" s="5"/>
      <c r="Y159" s="5"/>
      <c r="Z159" s="5"/>
      <c r="AA159" s="5"/>
      <c r="AB159" s="5"/>
      <c r="AC159" s="5"/>
      <c r="AD159" s="5"/>
      <c r="AE159" s="5"/>
      <c r="AF159" s="5"/>
      <c r="AG159" s="14"/>
      <c r="AH159" s="14"/>
      <c r="AI159" s="14"/>
      <c r="AJ159" s="14"/>
      <c r="AK159" s="14"/>
      <c r="AL159" s="14"/>
      <c r="AM159" s="14"/>
      <c r="AN159" s="14"/>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c r="A160" s="5"/>
      <c r="B160" s="5"/>
      <c r="C160" s="5"/>
      <c r="D160" s="5"/>
      <c r="E160" s="5"/>
      <c r="F160" s="5"/>
      <c r="G160" s="5"/>
      <c r="H160" s="5"/>
      <c r="I160" s="14" t="str">
        <f>IFERROR(__xludf.DUMMYFUNCTION("""COMPUTED_VALUE"""),"Akina")</f>
        <v>Akina</v>
      </c>
      <c r="J160" s="14" t="str">
        <f>IFERROR(__xludf.DUMMYFUNCTION("""COMPUTED_VALUE"""),"DH")</f>
        <v>DH</v>
      </c>
      <c r="K160" s="14" t="str">
        <f>IFERROR(__xludf.DUMMYFUNCTION("""COMPUTED_VALUE"""),"Jintei")</f>
        <v>Jintei</v>
      </c>
      <c r="L160" s="14" t="str">
        <f>IFERROR(__xludf.DUMMYFUNCTION("""COMPUTED_VALUE"""),"アビドサスヒカリ")</f>
        <v>アビドサスヒカリ</v>
      </c>
      <c r="M160" s="48">
        <f>IFERROR(__xludf.DUMMYFUNCTION("""COMPUTED_VALUE"""),0.0025991550925925926)</f>
        <v>0.002599155093</v>
      </c>
      <c r="N160" s="14" t="str">
        <f>IFERROR(__xludf.DUMMYFUNCTION("""COMPUTED_VALUE"""),"S30Z(Nissan Fairlady Z/Devil Z)")</f>
        <v>S30Z(Nissan Fairlady Z/Devil Z)</v>
      </c>
      <c r="O160" s="14" t="str">
        <f>IFERROR(__xludf.DUMMYFUNCTION("""COMPUTED_VALUE"""),"PC")</f>
        <v>PC</v>
      </c>
      <c r="P160" s="14" t="str">
        <f>IFERROR(__xludf.DUMMYFUNCTION("""COMPUTED_VALUE"""),"Sacc")</f>
        <v>Sacc</v>
      </c>
      <c r="Q160" s="5"/>
      <c r="R160" s="5"/>
      <c r="S160" s="5"/>
      <c r="T160" s="5"/>
      <c r="U160" s="5"/>
      <c r="V160" s="5"/>
      <c r="W160" s="5"/>
      <c r="X160" s="5"/>
      <c r="Y160" s="5"/>
      <c r="Z160" s="5"/>
      <c r="AA160" s="5"/>
      <c r="AB160" s="5"/>
      <c r="AC160" s="5"/>
      <c r="AD160" s="5"/>
      <c r="AE160" s="5"/>
      <c r="AF160" s="5"/>
      <c r="AG160" s="14"/>
      <c r="AH160" s="14"/>
      <c r="AI160" s="14"/>
      <c r="AJ160" s="14"/>
      <c r="AK160" s="14"/>
      <c r="AL160" s="14"/>
      <c r="AM160" s="14"/>
      <c r="AN160" s="14"/>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c r="A161" s="5"/>
      <c r="B161" s="5"/>
      <c r="C161" s="5"/>
      <c r="D161" s="5"/>
      <c r="E161" s="5"/>
      <c r="F161" s="5"/>
      <c r="G161" s="5"/>
      <c r="H161" s="5"/>
      <c r="I161" s="14" t="str">
        <f>IFERROR(__xludf.DUMMYFUNCTION("""COMPUTED_VALUE"""),"Akina")</f>
        <v>Akina</v>
      </c>
      <c r="J161" s="14" t="str">
        <f>IFERROR(__xludf.DUMMYFUNCTION("""COMPUTED_VALUE"""),"UH")</f>
        <v>UH</v>
      </c>
      <c r="K161" s="14" t="str">
        <f>IFERROR(__xludf.DUMMYFUNCTION("""COMPUTED_VALUE"""),"Jintei")</f>
        <v>Jintei</v>
      </c>
      <c r="L161" s="14" t="str">
        <f>IFERROR(__xludf.DUMMYFUNCTION("""COMPUTED_VALUE"""),"Test Driver")</f>
        <v>Test Driver</v>
      </c>
      <c r="M161" s="48">
        <f>IFERROR(__xludf.DUMMYFUNCTION("""COMPUTED_VALUE"""),0.006944444444444444)</f>
        <v>0.006944444444</v>
      </c>
      <c r="N161" s="14" t="str">
        <f>IFERROR(__xludf.DUMMYFUNCTION("""COMPUTED_VALUE"""),"S30Z(Nissan Fairlady Z/Devil Z)")</f>
        <v>S30Z(Nissan Fairlady Z/Devil Z)</v>
      </c>
      <c r="O161" s="14"/>
      <c r="P161" s="14" t="str">
        <f>IFERROR(__xludf.DUMMYFUNCTION("""COMPUTED_VALUE"""),"Sacc")</f>
        <v>Sacc</v>
      </c>
      <c r="Q161" s="5"/>
      <c r="R161" s="5"/>
      <c r="S161" s="5"/>
      <c r="T161" s="5"/>
      <c r="U161" s="5"/>
      <c r="V161" s="5"/>
      <c r="W161" s="5"/>
      <c r="X161" s="5"/>
      <c r="Y161" s="5"/>
      <c r="Z161" s="5"/>
      <c r="AA161" s="5"/>
      <c r="AB161" s="5"/>
      <c r="AC161" s="5"/>
      <c r="AD161" s="5"/>
      <c r="AE161" s="5"/>
      <c r="AF161" s="5"/>
      <c r="AG161" s="14"/>
      <c r="AH161" s="14"/>
      <c r="AI161" s="14"/>
      <c r="AJ161" s="14"/>
      <c r="AK161" s="14"/>
      <c r="AL161" s="14"/>
      <c r="AM161" s="14"/>
      <c r="AN161" s="14"/>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c r="A162" s="5"/>
      <c r="B162" s="5"/>
      <c r="C162" s="5"/>
      <c r="D162" s="5"/>
      <c r="E162" s="5"/>
      <c r="F162" s="5"/>
      <c r="G162" s="5"/>
      <c r="H162" s="5"/>
      <c r="I162" s="14" t="str">
        <f>IFERROR(__xludf.DUMMYFUNCTION("""COMPUTED_VALUE"""),"Tsukuba Snow")</f>
        <v>Tsukuba Snow</v>
      </c>
      <c r="J162" s="14" t="str">
        <f>IFERROR(__xludf.DUMMYFUNCTION("""COMPUTED_VALUE"""),"OB")</f>
        <v>OB</v>
      </c>
      <c r="K162" s="14" t="str">
        <f>IFERROR(__xludf.DUMMYFUNCTION("""COMPUTED_VALUE"""),"Jintei")</f>
        <v>Jintei</v>
      </c>
      <c r="L162" s="14" t="str">
        <f>IFERROR(__xludf.DUMMYFUNCTION("""COMPUTED_VALUE"""),"Test Driver")</f>
        <v>Test Driver</v>
      </c>
      <c r="M162" s="14">
        <f>IFERROR(__xludf.DUMMYFUNCTION("""COMPUTED_VALUE"""),0.006944444444444444)</f>
        <v>0.006944444444</v>
      </c>
      <c r="N162" s="14" t="str">
        <f>IFERROR(__xludf.DUMMYFUNCTION("""COMPUTED_VALUE"""),"S30Z(Nissan Fairlady Z/Devil Z)")</f>
        <v>S30Z(Nissan Fairlady Z/Devil Z)</v>
      </c>
      <c r="O162" s="14"/>
      <c r="P162" s="14" t="str">
        <f>IFERROR(__xludf.DUMMYFUNCTION("""COMPUTED_VALUE"""),"Sacc")</f>
        <v>Sacc</v>
      </c>
      <c r="Q162" s="5"/>
      <c r="R162" s="5"/>
      <c r="S162" s="5"/>
      <c r="T162" s="5"/>
      <c r="U162" s="5"/>
      <c r="V162" s="5"/>
      <c r="W162" s="5"/>
      <c r="X162" s="5"/>
      <c r="Y162" s="5"/>
      <c r="Z162" s="5"/>
      <c r="AA162" s="5"/>
      <c r="AB162" s="5"/>
      <c r="AC162" s="5"/>
      <c r="AD162" s="5"/>
      <c r="AE162" s="5"/>
      <c r="AF162" s="5"/>
      <c r="AG162" s="14"/>
      <c r="AH162" s="14"/>
      <c r="AI162" s="14"/>
      <c r="AJ162" s="14"/>
      <c r="AK162" s="14"/>
      <c r="AL162" s="14"/>
      <c r="AM162" s="14"/>
      <c r="AN162" s="14"/>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c r="A163" s="5"/>
      <c r="B163" s="5"/>
      <c r="C163" s="5"/>
      <c r="D163" s="5"/>
      <c r="E163" s="5"/>
      <c r="F163" s="5"/>
      <c r="G163" s="5"/>
      <c r="H163" s="5"/>
      <c r="I163" s="14" t="str">
        <f>IFERROR(__xludf.DUMMYFUNCTION("""COMPUTED_VALUE"""),"Tsukuba Snow")</f>
        <v>Tsukuba Snow</v>
      </c>
      <c r="J163" s="14" t="str">
        <f>IFERROR(__xludf.DUMMYFUNCTION("""COMPUTED_VALUE"""),"IB")</f>
        <v>IB</v>
      </c>
      <c r="K163" s="14" t="str">
        <f>IFERROR(__xludf.DUMMYFUNCTION("""COMPUTED_VALUE"""),"Jintei")</f>
        <v>Jintei</v>
      </c>
      <c r="L163" s="14" t="str">
        <f>IFERROR(__xludf.DUMMYFUNCTION("""COMPUTED_VALUE"""),"Test Driver")</f>
        <v>Test Driver</v>
      </c>
      <c r="M163" s="14">
        <f>IFERROR(__xludf.DUMMYFUNCTION("""COMPUTED_VALUE"""),0.006944444444444444)</f>
        <v>0.006944444444</v>
      </c>
      <c r="N163" s="14" t="str">
        <f>IFERROR(__xludf.DUMMYFUNCTION("""COMPUTED_VALUE"""),"S30Z(Nissan Fairlady Z/Devil Z)")</f>
        <v>S30Z(Nissan Fairlady Z/Devil Z)</v>
      </c>
      <c r="O163" s="14"/>
      <c r="P163" s="14" t="str">
        <f>IFERROR(__xludf.DUMMYFUNCTION("""COMPUTED_VALUE"""),"Sacc")</f>
        <v>Sacc</v>
      </c>
      <c r="Q163" s="5"/>
      <c r="R163" s="5"/>
      <c r="S163" s="5"/>
      <c r="T163" s="5"/>
      <c r="U163" s="5"/>
      <c r="V163" s="5"/>
      <c r="W163" s="5"/>
      <c r="X163" s="5"/>
      <c r="Y163" s="5"/>
      <c r="Z163" s="5"/>
      <c r="AA163" s="5"/>
      <c r="AB163" s="5"/>
      <c r="AC163" s="5"/>
      <c r="AD163" s="5"/>
      <c r="AE163" s="5"/>
      <c r="AF163" s="5"/>
      <c r="AG163" s="14"/>
      <c r="AH163" s="14"/>
      <c r="AI163" s="14"/>
      <c r="AJ163" s="14"/>
      <c r="AK163" s="14"/>
      <c r="AL163" s="14"/>
      <c r="AM163" s="14"/>
      <c r="AN163" s="14"/>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c r="A164" s="5"/>
      <c r="B164" s="5"/>
      <c r="C164" s="5"/>
      <c r="D164" s="5"/>
      <c r="E164" s="5"/>
      <c r="F164" s="5"/>
      <c r="G164" s="5"/>
      <c r="H164" s="5"/>
      <c r="I164" s="14" t="str">
        <f>IFERROR(__xludf.DUMMYFUNCTION("""COMPUTED_VALUE"""),"Mt.Hakone")</f>
        <v>Mt.Hakone</v>
      </c>
      <c r="J164" s="14" t="str">
        <f>IFERROR(__xludf.DUMMYFUNCTION("""COMPUTED_VALUE"""),"OB")</f>
        <v>OB</v>
      </c>
      <c r="K164" s="14" t="str">
        <f>IFERROR(__xludf.DUMMYFUNCTION("""COMPUTED_VALUE"""),"Jintei")</f>
        <v>Jintei</v>
      </c>
      <c r="L164" s="14" t="str">
        <f>IFERROR(__xludf.DUMMYFUNCTION("""COMPUTED_VALUE"""),"Test Driver")</f>
        <v>Test Driver</v>
      </c>
      <c r="M164" s="14">
        <f>IFERROR(__xludf.DUMMYFUNCTION("""COMPUTED_VALUE"""),0.006944444444444444)</f>
        <v>0.006944444444</v>
      </c>
      <c r="N164" s="14" t="str">
        <f>IFERROR(__xludf.DUMMYFUNCTION("""COMPUTED_VALUE"""),"S30Z(Nissan Fairlady Z/Devil Z)")</f>
        <v>S30Z(Nissan Fairlady Z/Devil Z)</v>
      </c>
      <c r="O164" s="14"/>
      <c r="P164" s="14" t="str">
        <f>IFERROR(__xludf.DUMMYFUNCTION("""COMPUTED_VALUE"""),"Sacc")</f>
        <v>Sacc</v>
      </c>
      <c r="Q164" s="5"/>
      <c r="R164" s="5"/>
      <c r="S164" s="5"/>
      <c r="T164" s="5"/>
      <c r="U164" s="5"/>
      <c r="V164" s="5"/>
      <c r="W164" s="5"/>
      <c r="X164" s="5"/>
      <c r="Y164" s="5"/>
      <c r="Z164" s="5"/>
      <c r="AA164" s="5"/>
      <c r="AB164" s="5"/>
      <c r="AC164" s="5"/>
      <c r="AD164" s="5"/>
      <c r="AE164" s="5"/>
      <c r="AF164" s="5"/>
      <c r="AG164" s="14"/>
      <c r="AH164" s="14"/>
      <c r="AI164" s="14"/>
      <c r="AJ164" s="14"/>
      <c r="AK164" s="14"/>
      <c r="AL164" s="14"/>
      <c r="AM164" s="14"/>
      <c r="AN164" s="14"/>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c r="A165" s="5"/>
      <c r="B165" s="5"/>
      <c r="C165" s="5"/>
      <c r="D165" s="5"/>
      <c r="E165" s="5"/>
      <c r="F165" s="5"/>
      <c r="G165" s="5"/>
      <c r="H165" s="5"/>
      <c r="I165" s="14" t="str">
        <f>IFERROR(__xludf.DUMMYFUNCTION("""COMPUTED_VALUE"""),"Mt.Hakone")</f>
        <v>Mt.Hakone</v>
      </c>
      <c r="J165" s="14" t="str">
        <f>IFERROR(__xludf.DUMMYFUNCTION("""COMPUTED_VALUE"""),"IB")</f>
        <v>IB</v>
      </c>
      <c r="K165" s="14" t="str">
        <f>IFERROR(__xludf.DUMMYFUNCTION("""COMPUTED_VALUE"""),"Jintei")</f>
        <v>Jintei</v>
      </c>
      <c r="L165" s="14" t="str">
        <f>IFERROR(__xludf.DUMMYFUNCTION("""COMPUTED_VALUE"""),"Test Driver")</f>
        <v>Test Driver</v>
      </c>
      <c r="M165" s="14">
        <f>IFERROR(__xludf.DUMMYFUNCTION("""COMPUTED_VALUE"""),0.006944444444444444)</f>
        <v>0.006944444444</v>
      </c>
      <c r="N165" s="14" t="str">
        <f>IFERROR(__xludf.DUMMYFUNCTION("""COMPUTED_VALUE"""),"S30Z(Nissan Fairlady Z/Devil Z)")</f>
        <v>S30Z(Nissan Fairlady Z/Devil Z)</v>
      </c>
      <c r="O165" s="14"/>
      <c r="P165" s="14" t="str">
        <f>IFERROR(__xludf.DUMMYFUNCTION("""COMPUTED_VALUE"""),"Sacc")</f>
        <v>Sacc</v>
      </c>
      <c r="Q165" s="5"/>
      <c r="R165" s="5"/>
      <c r="S165" s="5"/>
      <c r="T165" s="5"/>
      <c r="U165" s="5"/>
      <c r="V165" s="5"/>
      <c r="W165" s="5"/>
      <c r="X165" s="5"/>
      <c r="Y165" s="5"/>
      <c r="Z165" s="5"/>
      <c r="AA165" s="5"/>
      <c r="AB165" s="5"/>
      <c r="AC165" s="5"/>
      <c r="AD165" s="5"/>
      <c r="AE165" s="5"/>
      <c r="AF165" s="5"/>
      <c r="AG165" s="14"/>
      <c r="AH165" s="14"/>
      <c r="AI165" s="14"/>
      <c r="AJ165" s="14"/>
      <c r="AK165" s="14"/>
      <c r="AL165" s="14"/>
      <c r="AM165" s="14"/>
      <c r="AN165" s="14"/>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c r="A166" s="5"/>
      <c r="B166" s="5"/>
      <c r="C166" s="5"/>
      <c r="D166" s="5"/>
      <c r="E166" s="5"/>
      <c r="F166" s="5"/>
      <c r="G166" s="5"/>
      <c r="H166" s="5"/>
      <c r="I166" s="14"/>
      <c r="J166" s="14"/>
      <c r="K166" s="14"/>
      <c r="L166" s="14"/>
      <c r="M166" s="14"/>
      <c r="N166" s="14"/>
      <c r="O166" s="14"/>
      <c r="P166" s="14"/>
      <c r="Q166" s="5"/>
      <c r="R166" s="5"/>
      <c r="S166" s="5"/>
      <c r="T166" s="5"/>
      <c r="U166" s="5"/>
      <c r="V166" s="5"/>
      <c r="W166" s="5"/>
      <c r="X166" s="5"/>
      <c r="Y166" s="5"/>
      <c r="Z166" s="5"/>
      <c r="AA166" s="5"/>
      <c r="AB166" s="5"/>
      <c r="AC166" s="5"/>
      <c r="AD166" s="5"/>
      <c r="AE166" s="5"/>
      <c r="AF166" s="5"/>
      <c r="AG166" s="14"/>
      <c r="AH166" s="14"/>
      <c r="AI166" s="14"/>
      <c r="AJ166" s="14"/>
      <c r="AK166" s="14"/>
      <c r="AL166" s="14"/>
      <c r="AM166" s="14"/>
      <c r="AN166" s="14"/>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c r="A167" s="5"/>
      <c r="B167" s="5"/>
      <c r="C167" s="5"/>
      <c r="D167" s="5"/>
      <c r="E167" s="5"/>
      <c r="F167" s="5"/>
      <c r="G167" s="5"/>
      <c r="H167" s="5"/>
      <c r="I167" s="14"/>
      <c r="J167" s="14"/>
      <c r="K167" s="14"/>
      <c r="L167" s="14"/>
      <c r="M167" s="14"/>
      <c r="N167" s="14"/>
      <c r="O167" s="14"/>
      <c r="P167" s="14"/>
      <c r="Q167" s="5"/>
      <c r="R167" s="5"/>
      <c r="S167" s="5"/>
      <c r="T167" s="5"/>
      <c r="U167" s="5"/>
      <c r="V167" s="5"/>
      <c r="W167" s="5"/>
      <c r="X167" s="5"/>
      <c r="Y167" s="5"/>
      <c r="Z167" s="5"/>
      <c r="AA167" s="5"/>
      <c r="AB167" s="5"/>
      <c r="AC167" s="5"/>
      <c r="AD167" s="5"/>
      <c r="AE167" s="5"/>
      <c r="AF167" s="5"/>
      <c r="AG167" s="14"/>
      <c r="AH167" s="14"/>
      <c r="AI167" s="14"/>
      <c r="AJ167" s="14"/>
      <c r="AK167" s="14"/>
      <c r="AL167" s="14"/>
      <c r="AM167" s="14"/>
      <c r="AN167" s="14"/>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c r="A168" s="5"/>
      <c r="B168" s="5"/>
      <c r="C168" s="5"/>
      <c r="D168" s="5"/>
      <c r="E168" s="5"/>
      <c r="F168" s="5"/>
      <c r="G168" s="5"/>
      <c r="H168" s="5"/>
      <c r="I168" s="14"/>
      <c r="J168" s="14"/>
      <c r="K168" s="14"/>
      <c r="L168" s="14"/>
      <c r="M168" s="14"/>
      <c r="N168" s="14"/>
      <c r="O168" s="14"/>
      <c r="P168" s="14"/>
      <c r="Q168" s="5"/>
      <c r="R168" s="5"/>
      <c r="S168" s="5"/>
      <c r="T168" s="5"/>
      <c r="U168" s="5"/>
      <c r="V168" s="5"/>
      <c r="W168" s="5"/>
      <c r="X168" s="5"/>
      <c r="Y168" s="5"/>
      <c r="Z168" s="5"/>
      <c r="AA168" s="5"/>
      <c r="AB168" s="5"/>
      <c r="AC168" s="5"/>
      <c r="AD168" s="5"/>
      <c r="AE168" s="5"/>
      <c r="AF168" s="5"/>
      <c r="AG168" s="14"/>
      <c r="AH168" s="14"/>
      <c r="AI168" s="14"/>
      <c r="AJ168" s="14"/>
      <c r="AK168" s="14"/>
      <c r="AL168" s="14"/>
      <c r="AM168" s="14"/>
      <c r="AN168" s="14"/>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c r="A169" s="5"/>
      <c r="B169" s="5"/>
      <c r="C169" s="5"/>
      <c r="D169" s="5"/>
      <c r="E169" s="5"/>
      <c r="F169" s="5"/>
      <c r="G169" s="5"/>
      <c r="H169" s="5"/>
      <c r="I169" s="76" t="s">
        <v>193</v>
      </c>
      <c r="Q169" s="5"/>
      <c r="R169" s="5"/>
      <c r="S169" s="5"/>
      <c r="T169" s="5"/>
      <c r="U169" s="5"/>
      <c r="V169" s="5"/>
      <c r="W169" s="5"/>
      <c r="X169" s="5"/>
      <c r="Y169" s="5"/>
      <c r="Z169" s="5"/>
      <c r="AA169" s="5"/>
      <c r="AB169" s="5"/>
      <c r="AC169" s="5"/>
      <c r="AD169" s="5"/>
      <c r="AE169" s="5"/>
      <c r="AF169" s="5"/>
      <c r="AG169" s="14"/>
      <c r="AH169" s="14"/>
      <c r="AI169" s="14"/>
      <c r="AJ169" s="14"/>
      <c r="AK169" s="14"/>
      <c r="AL169" s="14"/>
      <c r="AM169" s="14"/>
      <c r="AN169" s="14"/>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c r="A170" s="5"/>
      <c r="B170" s="5"/>
      <c r="C170" s="5"/>
      <c r="D170" s="5"/>
      <c r="E170" s="5"/>
      <c r="F170" s="5"/>
      <c r="G170" s="5"/>
      <c r="H170" s="5"/>
      <c r="I170" s="71" t="s">
        <v>194</v>
      </c>
      <c r="Q170" s="5"/>
      <c r="R170" s="5"/>
      <c r="S170" s="5"/>
      <c r="T170" s="5"/>
      <c r="U170" s="5"/>
      <c r="V170" s="5"/>
      <c r="W170" s="5"/>
      <c r="X170" s="5"/>
      <c r="Y170" s="5"/>
      <c r="Z170" s="5"/>
      <c r="AA170" s="5"/>
      <c r="AB170" s="5"/>
      <c r="AC170" s="5"/>
      <c r="AD170" s="5"/>
      <c r="AE170" s="5"/>
      <c r="AF170" s="5"/>
      <c r="AG170" s="14"/>
      <c r="AH170" s="14"/>
      <c r="AI170" s="14"/>
      <c r="AJ170" s="14"/>
      <c r="AK170" s="14"/>
      <c r="AL170" s="14"/>
      <c r="AM170" s="14"/>
      <c r="AN170" s="14"/>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c r="A171" s="67" t="s">
        <v>195</v>
      </c>
      <c r="I171" s="14" t="str">
        <f>IFERROR(__xludf.DUMMYFUNCTION("LET(
  車輛, I170,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71" s="14" t="str">
        <f>IFERROR(__xludf.DUMMYFUNCTION("""COMPUTED_VALUE"""),"路線")</f>
        <v>路線</v>
      </c>
      <c r="K171" s="14" t="str">
        <f>IFERROR(__xludf.DUMMYFUNCTION("""COMPUTED_VALUE"""),"作者")</f>
        <v>作者</v>
      </c>
      <c r="L171" s="14" t="str">
        <f>IFERROR(__xludf.DUMMYFUNCTION("""COMPUTED_VALUE"""),"玩家")</f>
        <v>玩家</v>
      </c>
      <c r="M171" s="14" t="str">
        <f>IFERROR(__xludf.DUMMYFUNCTION("""COMPUTED_VALUE"""),"時間")</f>
        <v>時間</v>
      </c>
      <c r="N171" s="14" t="str">
        <f>IFERROR(__xludf.DUMMYFUNCTION("""COMPUTED_VALUE"""),"車輛")</f>
        <v>車輛</v>
      </c>
      <c r="O171" s="14" t="str">
        <f>IFERROR(__xludf.DUMMYFUNCTION("""COMPUTED_VALUE"""),"平台")</f>
        <v>平台</v>
      </c>
      <c r="P171" s="14" t="str">
        <f>IFERROR(__xludf.DUMMYFUNCTION("""COMPUTED_VALUE"""),"系統")</f>
        <v>系統</v>
      </c>
      <c r="Q171" s="5"/>
      <c r="R171" s="5"/>
      <c r="S171" s="5"/>
      <c r="T171" s="5"/>
      <c r="U171" s="5"/>
      <c r="V171" s="5"/>
      <c r="W171" s="5"/>
      <c r="X171" s="5"/>
      <c r="Y171" s="5"/>
      <c r="Z171" s="5"/>
      <c r="AA171" s="5"/>
      <c r="AB171" s="5"/>
      <c r="AC171" s="5"/>
      <c r="AD171" s="5"/>
      <c r="AE171" s="5"/>
      <c r="AF171" s="5"/>
      <c r="AG171" s="14"/>
      <c r="AH171" s="14"/>
      <c r="AI171" s="14"/>
      <c r="AJ171" s="14"/>
      <c r="AK171" s="14"/>
      <c r="AL171" s="14"/>
      <c r="AM171" s="14"/>
      <c r="AN171" s="14"/>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c r="A172" s="5" t="str">
        <f>IFERROR(__xludf.DUMMYFUNCTION("LET(
  車輛, A171,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72" s="5" t="str">
        <f>IFERROR(__xludf.DUMMYFUNCTION("""COMPUTED_VALUE"""),"路線")</f>
        <v>路線</v>
      </c>
      <c r="C172" s="5" t="str">
        <f>IFERROR(__xludf.DUMMYFUNCTION("""COMPUTED_VALUE"""),"作者")</f>
        <v>作者</v>
      </c>
      <c r="D172" s="5" t="str">
        <f>IFERROR(__xludf.DUMMYFUNCTION("""COMPUTED_VALUE"""),"玩家")</f>
        <v>玩家</v>
      </c>
      <c r="E172" s="5" t="str">
        <f>IFERROR(__xludf.DUMMYFUNCTION("""COMPUTED_VALUE"""),"時間")</f>
        <v>時間</v>
      </c>
      <c r="F172" s="5" t="str">
        <f>IFERROR(__xludf.DUMMYFUNCTION("""COMPUTED_VALUE"""),"車輛")</f>
        <v>車輛</v>
      </c>
      <c r="G172" s="5" t="str">
        <f>IFERROR(__xludf.DUMMYFUNCTION("""COMPUTED_VALUE"""),"平台")</f>
        <v>平台</v>
      </c>
      <c r="H172" s="5" t="str">
        <f>IFERROR(__xludf.DUMMYFUNCTION("""COMPUTED_VALUE"""),"系統")</f>
        <v>系統</v>
      </c>
      <c r="I172" s="14" t="str">
        <f>IFERROR(__xludf.DUMMYFUNCTION("""COMPUTED_VALUE"""),"Akina")</f>
        <v>Akina</v>
      </c>
      <c r="J172" s="14" t="str">
        <f>IFERROR(__xludf.DUMMYFUNCTION("""COMPUTED_VALUE"""),"DH")</f>
        <v>DH</v>
      </c>
      <c r="K172" s="14" t="str">
        <f>IFERROR(__xludf.DUMMYFUNCTION("""COMPUTED_VALUE"""),"Jintei")</f>
        <v>Jintei</v>
      </c>
      <c r="L172" s="14" t="str">
        <f>IFERROR(__xludf.DUMMYFUNCTION("""COMPUTED_VALUE"""),"Kinokono_Tenka")</f>
        <v>Kinokono_Tenka</v>
      </c>
      <c r="M172" s="48">
        <f>IFERROR(__xludf.DUMMYFUNCTION("""COMPUTED_VALUE"""),0.002562048611111111)</f>
        <v>0.002562048611</v>
      </c>
      <c r="N172" s="14" t="str">
        <f>IFERROR(__xludf.DUMMYFUNCTION("""COMPUTED_VALUE"""),"EG6 (civic)")</f>
        <v>EG6 (civic)</v>
      </c>
      <c r="O172" s="14" t="str">
        <f>IFERROR(__xludf.DUMMYFUNCTION("""COMPUTED_VALUE"""),"PCVR")</f>
        <v>PCVR</v>
      </c>
      <c r="P172" s="14" t="str">
        <f>IFERROR(__xludf.DUMMYFUNCTION("""COMPUTED_VALUE"""),"Sacc")</f>
        <v>Sacc</v>
      </c>
      <c r="Q172" s="5"/>
      <c r="R172" s="5"/>
      <c r="S172" s="5"/>
      <c r="T172" s="5"/>
      <c r="U172" s="5"/>
      <c r="V172" s="5"/>
      <c r="W172" s="5"/>
      <c r="X172" s="5"/>
      <c r="Y172" s="5"/>
      <c r="Z172" s="5"/>
      <c r="AA172" s="5"/>
      <c r="AB172" s="5"/>
      <c r="AC172" s="5"/>
      <c r="AD172" s="5"/>
      <c r="AE172" s="5"/>
      <c r="AF172" s="5"/>
      <c r="AG172" s="14"/>
      <c r="AH172" s="14"/>
      <c r="AI172" s="14"/>
      <c r="AJ172" s="14"/>
      <c r="AK172" s="14"/>
      <c r="AL172" s="14"/>
      <c r="AM172" s="14"/>
      <c r="AN172" s="14"/>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c r="A173" s="5" t="str">
        <f>IFERROR(__xludf.DUMMYFUNCTION("""COMPUTED_VALUE"""),"Akina")</f>
        <v>Akina</v>
      </c>
      <c r="B173" s="5" t="str">
        <f>IFERROR(__xludf.DUMMYFUNCTION("""COMPUTED_VALUE"""),"UH")</f>
        <v>UH</v>
      </c>
      <c r="C173" s="5" t="str">
        <f>IFERROR(__xludf.DUMMYFUNCTION("""COMPUTED_VALUE"""),"Jintei")</f>
        <v>Jintei</v>
      </c>
      <c r="D173" s="5" t="str">
        <f>IFERROR(__xludf.DUMMYFUNCTION("""COMPUTED_VALUE"""),"StarRiver Arts")</f>
        <v>StarRiver Arts</v>
      </c>
      <c r="E173" s="5">
        <f>IFERROR(__xludf.DUMMYFUNCTION("""COMPUTED_VALUE"""),0.0032594560185185187)</f>
        <v>0.003259456019</v>
      </c>
      <c r="F173" s="5" t="str">
        <f>IFERROR(__xludf.DUMMYFUNCTION("""COMPUTED_VALUE"""),"SW20 (MR2)")</f>
        <v>SW20 (MR2)</v>
      </c>
      <c r="G173" s="5" t="str">
        <f>IFERROR(__xludf.DUMMYFUNCTION("""COMPUTED_VALUE"""),"PC")</f>
        <v>PC</v>
      </c>
      <c r="H173" s="5" t="str">
        <f>IFERROR(__xludf.DUMMYFUNCTION("""COMPUTED_VALUE"""),"Sacc")</f>
        <v>Sacc</v>
      </c>
      <c r="I173" s="14" t="str">
        <f>IFERROR(__xludf.DUMMYFUNCTION("""COMPUTED_VALUE"""),"Myogi (ASV)")</f>
        <v>Myogi (ASV)</v>
      </c>
      <c r="J173" s="14" t="str">
        <f>IFERROR(__xludf.DUMMYFUNCTION("""COMPUTED_VALUE"""),"DH")</f>
        <v>DH</v>
      </c>
      <c r="K173" s="14" t="str">
        <f>IFERROR(__xludf.DUMMYFUNCTION("""COMPUTED_VALUE"""),"Jintei")</f>
        <v>Jintei</v>
      </c>
      <c r="L173" s="14" t="str">
        <f>IFERROR(__xludf.DUMMYFUNCTION("""COMPUTED_VALUE"""),"Kinokono_Tenka")</f>
        <v>Kinokono_Tenka</v>
      </c>
      <c r="M173" s="48">
        <f>IFERROR(__xludf.DUMMYFUNCTION("""COMPUTED_VALUE"""),0.0022519675925925923)</f>
        <v>0.002251967593</v>
      </c>
      <c r="N173" s="14" t="str">
        <f>IFERROR(__xludf.DUMMYFUNCTION("""COMPUTED_VALUE"""),"EG6 (civic)")</f>
        <v>EG6 (civic)</v>
      </c>
      <c r="O173" s="14" t="str">
        <f>IFERROR(__xludf.DUMMYFUNCTION("""COMPUTED_VALUE"""),"PCVR")</f>
        <v>PCVR</v>
      </c>
      <c r="P173" s="14" t="str">
        <f>IFERROR(__xludf.DUMMYFUNCTION("""COMPUTED_VALUE"""),"Sacc")</f>
        <v>Sacc</v>
      </c>
      <c r="Q173" s="5"/>
      <c r="R173" s="5"/>
      <c r="S173" s="5"/>
      <c r="T173" s="5"/>
      <c r="U173" s="5"/>
      <c r="V173" s="5"/>
      <c r="W173" s="5"/>
      <c r="X173" s="5"/>
      <c r="Y173" s="5"/>
      <c r="Z173" s="5"/>
      <c r="AA173" s="5"/>
      <c r="AB173" s="5"/>
      <c r="AC173" s="5"/>
      <c r="AD173" s="5"/>
      <c r="AE173" s="5"/>
      <c r="AF173" s="5"/>
      <c r="AG173" s="14"/>
      <c r="AH173" s="14"/>
      <c r="AI173" s="14"/>
      <c r="AJ173" s="14"/>
      <c r="AK173" s="14"/>
      <c r="AL173" s="14"/>
      <c r="AM173" s="14"/>
      <c r="AN173" s="14"/>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c r="A174" s="5" t="str">
        <f>IFERROR(__xludf.DUMMYFUNCTION("""COMPUTED_VALUE"""),"Irohazaka")</f>
        <v>Irohazaka</v>
      </c>
      <c r="B174" s="5" t="str">
        <f>IFERROR(__xludf.DUMMYFUNCTION("""COMPUTED_VALUE"""),"DH")</f>
        <v>DH</v>
      </c>
      <c r="C174" s="5" t="str">
        <f>IFERROR(__xludf.DUMMYFUNCTION("""COMPUTED_VALUE"""),"Jintei ")</f>
        <v>Jintei </v>
      </c>
      <c r="D174" s="5" t="str">
        <f>IFERROR(__xludf.DUMMYFUNCTION("""COMPUTED_VALUE"""),"Rushia Angel")</f>
        <v>Rushia Angel</v>
      </c>
      <c r="E174" s="5">
        <f>IFERROR(__xludf.DUMMYFUNCTION("""COMPUTED_VALUE"""),0.002593229166666667)</f>
        <v>0.002593229167</v>
      </c>
      <c r="F174" s="5" t="str">
        <f>IFERROR(__xludf.DUMMYFUNCTION("""COMPUTED_VALUE"""),"SW20 (MR2)")</f>
        <v>SW20 (MR2)</v>
      </c>
      <c r="G174" s="5" t="str">
        <f>IFERROR(__xludf.DUMMYFUNCTION("""COMPUTED_VALUE"""),"PC")</f>
        <v>PC</v>
      </c>
      <c r="H174" s="5" t="str">
        <f>IFERROR(__xludf.DUMMYFUNCTION("""COMPUTED_VALUE"""),"Sacc")</f>
        <v>Sacc</v>
      </c>
      <c r="I174" s="14" t="str">
        <f>IFERROR(__xludf.DUMMYFUNCTION("""COMPUTED_VALUE"""),"Myogi(CC)")</f>
        <v>Myogi(CC)</v>
      </c>
      <c r="J174" s="14" t="str">
        <f>IFERROR(__xludf.DUMMYFUNCTION("""COMPUTED_VALUE"""),"CW")</f>
        <v>CW</v>
      </c>
      <c r="K174" s="14" t="str">
        <f>IFERROR(__xludf.DUMMYFUNCTION("""COMPUTED_VALUE"""),"Jintei")</f>
        <v>Jintei</v>
      </c>
      <c r="L174" s="14" t="str">
        <f>IFERROR(__xludf.DUMMYFUNCTION("""COMPUTED_VALUE"""),"Kinokono_Tenka")</f>
        <v>Kinokono_Tenka</v>
      </c>
      <c r="M174" s="48">
        <f>IFERROR(__xludf.DUMMYFUNCTION("""COMPUTED_VALUE"""),0.002265289351851852)</f>
        <v>0.002265289352</v>
      </c>
      <c r="N174" s="14" t="str">
        <f>IFERROR(__xludf.DUMMYFUNCTION("""COMPUTED_VALUE"""),"EG6 (civic)")</f>
        <v>EG6 (civic)</v>
      </c>
      <c r="O174" s="14" t="str">
        <f>IFERROR(__xludf.DUMMYFUNCTION("""COMPUTED_VALUE"""),"PCVR")</f>
        <v>PCVR</v>
      </c>
      <c r="P174" s="14" t="str">
        <f>IFERROR(__xludf.DUMMYFUNCTION("""COMPUTED_VALUE"""),"Sacc")</f>
        <v>Sacc</v>
      </c>
      <c r="Q174" s="5"/>
      <c r="R174" s="5"/>
      <c r="S174" s="5"/>
      <c r="T174" s="5"/>
      <c r="U174" s="5"/>
      <c r="V174" s="5"/>
      <c r="W174" s="5"/>
      <c r="X174" s="5"/>
      <c r="Y174" s="5"/>
      <c r="Z174" s="5"/>
      <c r="AA174" s="5"/>
      <c r="AB174" s="5"/>
      <c r="AC174" s="5"/>
      <c r="AD174" s="5"/>
      <c r="AE174" s="5"/>
      <c r="AF174" s="5"/>
      <c r="AG174" s="14"/>
      <c r="AH174" s="14"/>
      <c r="AI174" s="14"/>
      <c r="AJ174" s="14"/>
      <c r="AK174" s="14"/>
      <c r="AL174" s="14"/>
      <c r="AM174" s="14"/>
      <c r="AN174" s="14"/>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c r="A175" s="5" t="str">
        <f>IFERROR(__xludf.DUMMYFUNCTION("""COMPUTED_VALUE"""),"Akina")</f>
        <v>Akina</v>
      </c>
      <c r="B175" s="5" t="str">
        <f>IFERROR(__xludf.DUMMYFUNCTION("""COMPUTED_VALUE"""),"DH")</f>
        <v>DH</v>
      </c>
      <c r="C175" s="5" t="str">
        <f>IFERROR(__xludf.DUMMYFUNCTION("""COMPUTED_VALUE"""),"Jintei")</f>
        <v>Jintei</v>
      </c>
      <c r="D175" s="5" t="str">
        <f>IFERROR(__xludf.DUMMYFUNCTION("""COMPUTED_VALUE"""),"Test Driver")</f>
        <v>Test Driver</v>
      </c>
      <c r="E175" s="5">
        <f>IFERROR(__xludf.DUMMYFUNCTION("""COMPUTED_VALUE"""),0.006944444444444444)</f>
        <v>0.006944444444</v>
      </c>
      <c r="F175" s="5" t="str">
        <f>IFERROR(__xludf.DUMMYFUNCTION("""COMPUTED_VALUE"""),"SW20 (MR2)")</f>
        <v>SW20 (MR2)</v>
      </c>
      <c r="G175" s="5"/>
      <c r="H175" s="5" t="str">
        <f>IFERROR(__xludf.DUMMYFUNCTION("""COMPUTED_VALUE"""),"Sacc")</f>
        <v>Sacc</v>
      </c>
      <c r="I175" s="14" t="str">
        <f>IFERROR(__xludf.DUMMYFUNCTION("""COMPUTED_VALUE"""),"Sadamine")</f>
        <v>Sadamine</v>
      </c>
      <c r="J175" s="14" t="str">
        <f>IFERROR(__xludf.DUMMYFUNCTION("""COMPUTED_VALUE"""),"OCUH")</f>
        <v>OCUH</v>
      </c>
      <c r="K175" s="14" t="str">
        <f>IFERROR(__xludf.DUMMYFUNCTION("""COMPUTED_VALUE"""),"Jintei")</f>
        <v>Jintei</v>
      </c>
      <c r="L175" s="14" t="str">
        <f>IFERROR(__xludf.DUMMYFUNCTION("""COMPUTED_VALUE"""),"StarRiver Arts")</f>
        <v>StarRiver Arts</v>
      </c>
      <c r="M175" s="48">
        <f>IFERROR(__xludf.DUMMYFUNCTION("""COMPUTED_VALUE"""),0.0021378587962962966)</f>
        <v>0.002137858796</v>
      </c>
      <c r="N175" s="14" t="str">
        <f>IFERROR(__xludf.DUMMYFUNCTION("""COMPUTED_VALUE"""),"EG6 (civic)")</f>
        <v>EG6 (civic)</v>
      </c>
      <c r="O175" s="14" t="str">
        <f>IFERROR(__xludf.DUMMYFUNCTION("""COMPUTED_VALUE"""),"PC")</f>
        <v>PC</v>
      </c>
      <c r="P175" s="14" t="str">
        <f>IFERROR(__xludf.DUMMYFUNCTION("""COMPUTED_VALUE"""),"Sacc")</f>
        <v>Sacc</v>
      </c>
      <c r="Q175" s="5"/>
      <c r="R175" s="5"/>
      <c r="S175" s="5"/>
      <c r="T175" s="5"/>
      <c r="U175" s="5"/>
      <c r="V175" s="5"/>
      <c r="W175" s="5"/>
      <c r="X175" s="5"/>
      <c r="Y175" s="5"/>
      <c r="Z175" s="5"/>
      <c r="AA175" s="5"/>
      <c r="AB175" s="5"/>
      <c r="AC175" s="5"/>
      <c r="AD175" s="5"/>
      <c r="AE175" s="5"/>
      <c r="AF175" s="5"/>
      <c r="AG175" s="14"/>
      <c r="AH175" s="14"/>
      <c r="AI175" s="14"/>
      <c r="AJ175" s="14"/>
      <c r="AK175" s="14"/>
      <c r="AL175" s="14"/>
      <c r="AM175" s="14"/>
      <c r="AN175" s="14"/>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c r="A176" s="5" t="str">
        <f>IFERROR(__xludf.DUMMYFUNCTION("""COMPUTED_VALUE"""),"Usui V1")</f>
        <v>Usui V1</v>
      </c>
      <c r="B176" s="5" t="str">
        <f>IFERROR(__xludf.DUMMYFUNCTION("""COMPUTED_VALUE"""),"CC")</f>
        <v>CC</v>
      </c>
      <c r="C176" s="5" t="str">
        <f>IFERROR(__xludf.DUMMYFUNCTION("""COMPUTED_VALUE"""),"Jintei")</f>
        <v>Jintei</v>
      </c>
      <c r="D176" s="5" t="str">
        <f>IFERROR(__xludf.DUMMYFUNCTION("""COMPUTED_VALUE"""),"Test Driver")</f>
        <v>Test Driver</v>
      </c>
      <c r="E176" s="5">
        <f>IFERROR(__xludf.DUMMYFUNCTION("""COMPUTED_VALUE"""),0.006944444444444444)</f>
        <v>0.006944444444</v>
      </c>
      <c r="F176" s="5" t="str">
        <f>IFERROR(__xludf.DUMMYFUNCTION("""COMPUTED_VALUE"""),"SW20 (MR2)")</f>
        <v>SW20 (MR2)</v>
      </c>
      <c r="G176" s="5"/>
      <c r="H176" s="5" t="str">
        <f>IFERROR(__xludf.DUMMYFUNCTION("""COMPUTED_VALUE"""),"Sacc")</f>
        <v>Sacc</v>
      </c>
      <c r="I176" s="14" t="str">
        <f>IFERROR(__xludf.DUMMYFUNCTION("""COMPUTED_VALUE"""),"Myogi(CC)")</f>
        <v>Myogi(CC)</v>
      </c>
      <c r="J176" s="14" t="str">
        <f>IFERROR(__xludf.DUMMYFUNCTION("""COMPUTED_VALUE"""),"CC")</f>
        <v>CC</v>
      </c>
      <c r="K176" s="14" t="str">
        <f>IFERROR(__xludf.DUMMYFUNCTION("""COMPUTED_VALUE"""),"Jintei")</f>
        <v>Jintei</v>
      </c>
      <c r="L176" s="14" t="str">
        <f>IFERROR(__xludf.DUMMYFUNCTION("""COMPUTED_VALUE"""),"Kinokono_Tenka")</f>
        <v>Kinokono_Tenka</v>
      </c>
      <c r="M176" s="48">
        <f>IFERROR(__xludf.DUMMYFUNCTION("""COMPUTED_VALUE"""),0.0023177546296296292)</f>
        <v>0.00231775463</v>
      </c>
      <c r="N176" s="14" t="str">
        <f>IFERROR(__xludf.DUMMYFUNCTION("""COMPUTED_VALUE"""),"EG6 (civic)")</f>
        <v>EG6 (civic)</v>
      </c>
      <c r="O176" s="14" t="str">
        <f>IFERROR(__xludf.DUMMYFUNCTION("""COMPUTED_VALUE"""),"PCVR")</f>
        <v>PCVR</v>
      </c>
      <c r="P176" s="14" t="str">
        <f>IFERROR(__xludf.DUMMYFUNCTION("""COMPUTED_VALUE"""),"Sacc")</f>
        <v>Sacc</v>
      </c>
      <c r="Q176" s="5"/>
      <c r="R176" s="5"/>
      <c r="S176" s="5"/>
      <c r="T176" s="5"/>
      <c r="U176" s="5"/>
      <c r="V176" s="5"/>
      <c r="W176" s="5"/>
      <c r="X176" s="5"/>
      <c r="Y176" s="5"/>
      <c r="Z176" s="5"/>
      <c r="AA176" s="5"/>
      <c r="AB176" s="5"/>
      <c r="AC176" s="5"/>
      <c r="AD176" s="5"/>
      <c r="AE176" s="5"/>
      <c r="AF176" s="5"/>
      <c r="AG176" s="14"/>
      <c r="AH176" s="14"/>
      <c r="AI176" s="14"/>
      <c r="AJ176" s="14"/>
      <c r="AK176" s="14"/>
      <c r="AL176" s="14"/>
      <c r="AM176" s="14"/>
      <c r="AN176" s="14"/>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c r="A177" s="5" t="str">
        <f>IFERROR(__xludf.DUMMYFUNCTION("""COMPUTED_VALUE"""),"Usui V1")</f>
        <v>Usui V1</v>
      </c>
      <c r="B177" s="5" t="str">
        <f>IFERROR(__xludf.DUMMYFUNCTION("""COMPUTED_VALUE"""),"CW")</f>
        <v>CW</v>
      </c>
      <c r="C177" s="5" t="str">
        <f>IFERROR(__xludf.DUMMYFUNCTION("""COMPUTED_VALUE"""),"Jintei")</f>
        <v>Jintei</v>
      </c>
      <c r="D177" s="5" t="str">
        <f>IFERROR(__xludf.DUMMYFUNCTION("""COMPUTED_VALUE"""),"Test Driver")</f>
        <v>Test Driver</v>
      </c>
      <c r="E177" s="5">
        <f>IFERROR(__xludf.DUMMYFUNCTION("""COMPUTED_VALUE"""),0.006944444444444444)</f>
        <v>0.006944444444</v>
      </c>
      <c r="F177" s="5" t="str">
        <f>IFERROR(__xludf.DUMMYFUNCTION("""COMPUTED_VALUE"""),"SW20 (MR2)")</f>
        <v>SW20 (MR2)</v>
      </c>
      <c r="G177" s="5"/>
      <c r="H177" s="5" t="str">
        <f>IFERROR(__xludf.DUMMYFUNCTION("""COMPUTED_VALUE"""),"Sacc")</f>
        <v>Sacc</v>
      </c>
      <c r="I177" s="14" t="str">
        <f>IFERROR(__xludf.DUMMYFUNCTION("""COMPUTED_VALUE"""),"Sadamine")</f>
        <v>Sadamine</v>
      </c>
      <c r="J177" s="14" t="str">
        <f>IFERROR(__xludf.DUMMYFUNCTION("""COMPUTED_VALUE"""),"FCDH")</f>
        <v>FCDH</v>
      </c>
      <c r="K177" s="14" t="str">
        <f>IFERROR(__xludf.DUMMYFUNCTION("""COMPUTED_VALUE"""),"Jintei")</f>
        <v>Jintei</v>
      </c>
      <c r="L177" s="14" t="str">
        <f>IFERROR(__xludf.DUMMYFUNCTION("""COMPUTED_VALUE"""),"Kinokono_Tenka")</f>
        <v>Kinokono_Tenka</v>
      </c>
      <c r="M177" s="48">
        <f>IFERROR(__xludf.DUMMYFUNCTION("""COMPUTED_VALUE"""),0.0025498263888888892)</f>
        <v>0.002549826389</v>
      </c>
      <c r="N177" s="14" t="str">
        <f>IFERROR(__xludf.DUMMYFUNCTION("""COMPUTED_VALUE"""),"EG6 (civic)")</f>
        <v>EG6 (civic)</v>
      </c>
      <c r="O177" s="14" t="str">
        <f>IFERROR(__xludf.DUMMYFUNCTION("""COMPUTED_VALUE"""),"PCVR")</f>
        <v>PCVR</v>
      </c>
      <c r="P177" s="14" t="str">
        <f>IFERROR(__xludf.DUMMYFUNCTION("""COMPUTED_VALUE"""),"Sacc")</f>
        <v>Sacc</v>
      </c>
      <c r="Q177" s="5"/>
      <c r="R177" s="5"/>
      <c r="S177" s="5"/>
      <c r="T177" s="5"/>
      <c r="U177" s="5"/>
      <c r="V177" s="5"/>
      <c r="W177" s="5"/>
      <c r="X177" s="5"/>
      <c r="Y177" s="5"/>
      <c r="Z177" s="5"/>
      <c r="AA177" s="5"/>
      <c r="AB177" s="5"/>
      <c r="AC177" s="5"/>
      <c r="AD177" s="5"/>
      <c r="AE177" s="5"/>
      <c r="AF177" s="5"/>
      <c r="AG177" s="14"/>
      <c r="AH177" s="14"/>
      <c r="AI177" s="14"/>
      <c r="AJ177" s="14"/>
      <c r="AK177" s="14"/>
      <c r="AL177" s="14"/>
      <c r="AM177" s="14"/>
      <c r="AN177" s="14"/>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c r="A178" s="5"/>
      <c r="B178" s="5"/>
      <c r="C178" s="5"/>
      <c r="D178" s="5"/>
      <c r="E178" s="5"/>
      <c r="F178" s="5"/>
      <c r="G178" s="5"/>
      <c r="H178" s="5"/>
      <c r="I178" s="14" t="str">
        <f>IFERROR(__xludf.DUMMYFUNCTION("""COMPUTED_VALUE"""),"Sadamine")</f>
        <v>Sadamine</v>
      </c>
      <c r="J178" s="14" t="str">
        <f>IFERROR(__xludf.DUMMYFUNCTION("""COMPUTED_VALUE"""),"FCUH")</f>
        <v>FCUH</v>
      </c>
      <c r="K178" s="14" t="str">
        <f>IFERROR(__xludf.DUMMYFUNCTION("""COMPUTED_VALUE"""),"Jintei")</f>
        <v>Jintei</v>
      </c>
      <c r="L178" s="14" t="str">
        <f>IFERROR(__xludf.DUMMYFUNCTION("""COMPUTED_VALUE"""),"Kinokono_Tenka")</f>
        <v>Kinokono_Tenka</v>
      </c>
      <c r="M178" s="48">
        <f>IFERROR(__xludf.DUMMYFUNCTION("""COMPUTED_VALUE"""),0.003041087962962963)</f>
        <v>0.003041087963</v>
      </c>
      <c r="N178" s="14" t="str">
        <f>IFERROR(__xludf.DUMMYFUNCTION("""COMPUTED_VALUE"""),"EG6 (civic)")</f>
        <v>EG6 (civic)</v>
      </c>
      <c r="O178" s="14" t="str">
        <f>IFERROR(__xludf.DUMMYFUNCTION("""COMPUTED_VALUE"""),"PCVR")</f>
        <v>PCVR</v>
      </c>
      <c r="P178" s="14" t="str">
        <f>IFERROR(__xludf.DUMMYFUNCTION("""COMPUTED_VALUE"""),"Sacc")</f>
        <v>Sacc</v>
      </c>
      <c r="Q178" s="5"/>
      <c r="R178" s="5"/>
      <c r="S178" s="5"/>
      <c r="T178" s="5"/>
      <c r="U178" s="5"/>
      <c r="V178" s="5"/>
      <c r="W178" s="5"/>
      <c r="X178" s="5"/>
      <c r="Y178" s="5"/>
      <c r="Z178" s="5"/>
      <c r="AA178" s="5"/>
      <c r="AB178" s="5"/>
      <c r="AC178" s="5"/>
      <c r="AD178" s="5"/>
      <c r="AE178" s="5"/>
      <c r="AF178" s="5"/>
      <c r="AG178" s="14"/>
      <c r="AH178" s="14"/>
      <c r="AI178" s="14"/>
      <c r="AJ178" s="14"/>
      <c r="AK178" s="14"/>
      <c r="AL178" s="14"/>
      <c r="AM178" s="14"/>
      <c r="AN178" s="14"/>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c r="A179" s="5"/>
      <c r="B179" s="5"/>
      <c r="C179" s="5"/>
      <c r="D179" s="5"/>
      <c r="E179" s="5"/>
      <c r="F179" s="5"/>
      <c r="G179" s="5"/>
      <c r="H179" s="5"/>
      <c r="I179" s="14" t="str">
        <f>IFERROR(__xludf.DUMMYFUNCTION("""COMPUTED_VALUE"""),"Sadamine")</f>
        <v>Sadamine</v>
      </c>
      <c r="J179" s="14" t="str">
        <f>IFERROR(__xludf.DUMMYFUNCTION("""COMPUTED_VALUE"""),"OCDH")</f>
        <v>OCDH</v>
      </c>
      <c r="K179" s="14" t="str">
        <f>IFERROR(__xludf.DUMMYFUNCTION("""COMPUTED_VALUE"""),"Jintei")</f>
        <v>Jintei</v>
      </c>
      <c r="L179" s="14" t="str">
        <f>IFERROR(__xludf.DUMMYFUNCTION("""COMPUTED_VALUE"""),"Kinokono_Tenka")</f>
        <v>Kinokono_Tenka</v>
      </c>
      <c r="M179" s="48">
        <f>IFERROR(__xludf.DUMMYFUNCTION("""COMPUTED_VALUE"""),0.0018724189814814812)</f>
        <v>0.001872418981</v>
      </c>
      <c r="N179" s="14" t="str">
        <f>IFERROR(__xludf.DUMMYFUNCTION("""COMPUTED_VALUE"""),"EG6 (civic)")</f>
        <v>EG6 (civic)</v>
      </c>
      <c r="O179" s="14" t="str">
        <f>IFERROR(__xludf.DUMMYFUNCTION("""COMPUTED_VALUE"""),"PCVR")</f>
        <v>PCVR</v>
      </c>
      <c r="P179" s="14" t="str">
        <f>IFERROR(__xludf.DUMMYFUNCTION("""COMPUTED_VALUE"""),"Sacc")</f>
        <v>Sacc</v>
      </c>
      <c r="Q179" s="5"/>
      <c r="R179" s="5"/>
      <c r="S179" s="5"/>
      <c r="T179" s="5"/>
      <c r="U179" s="5"/>
      <c r="V179" s="5"/>
      <c r="W179" s="5"/>
      <c r="X179" s="5"/>
      <c r="Y179" s="5"/>
      <c r="Z179" s="5"/>
      <c r="AA179" s="5"/>
      <c r="AB179" s="5"/>
      <c r="AC179" s="5"/>
      <c r="AD179" s="5"/>
      <c r="AE179" s="5"/>
      <c r="AF179" s="5"/>
      <c r="AG179" s="14"/>
      <c r="AH179" s="14"/>
      <c r="AI179" s="14"/>
      <c r="AJ179" s="14"/>
      <c r="AK179" s="14"/>
      <c r="AL179" s="14"/>
      <c r="AM179" s="14"/>
      <c r="AN179" s="14"/>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c r="A180" s="5"/>
      <c r="B180" s="5"/>
      <c r="C180" s="5"/>
      <c r="D180" s="5"/>
      <c r="E180" s="5"/>
      <c r="F180" s="5"/>
      <c r="G180" s="5"/>
      <c r="H180" s="5"/>
      <c r="I180" s="14" t="str">
        <f>IFERROR(__xludf.DUMMYFUNCTION("""COMPUTED_VALUE"""),"Akina")</f>
        <v>Akina</v>
      </c>
      <c r="J180" s="14" t="str">
        <f>IFERROR(__xludf.DUMMYFUNCTION("""COMPUTED_VALUE"""),"UH")</f>
        <v>UH</v>
      </c>
      <c r="K180" s="14" t="str">
        <f>IFERROR(__xludf.DUMMYFUNCTION("""COMPUTED_VALUE"""),"Jintei")</f>
        <v>Jintei</v>
      </c>
      <c r="L180" s="14" t="str">
        <f>IFERROR(__xludf.DUMMYFUNCTION("""COMPUTED_VALUE"""),"Test Driver")</f>
        <v>Test Driver</v>
      </c>
      <c r="M180" s="48">
        <f>IFERROR(__xludf.DUMMYFUNCTION("""COMPUTED_VALUE"""),0.006944444444444444)</f>
        <v>0.006944444444</v>
      </c>
      <c r="N180" s="14" t="str">
        <f>IFERROR(__xludf.DUMMYFUNCTION("""COMPUTED_VALUE"""),"EG6 (civic)")</f>
        <v>EG6 (civic)</v>
      </c>
      <c r="O180" s="14"/>
      <c r="P180" s="14" t="str">
        <f>IFERROR(__xludf.DUMMYFUNCTION("""COMPUTED_VALUE"""),"Sacc")</f>
        <v>Sacc</v>
      </c>
      <c r="Q180" s="5"/>
      <c r="R180" s="5"/>
      <c r="S180" s="5"/>
      <c r="T180" s="5"/>
      <c r="U180" s="5"/>
      <c r="V180" s="5"/>
      <c r="W180" s="5"/>
      <c r="X180" s="5"/>
      <c r="Y180" s="5"/>
      <c r="Z180" s="5"/>
      <c r="AA180" s="5"/>
      <c r="AB180" s="5"/>
      <c r="AC180" s="5"/>
      <c r="AD180" s="5"/>
      <c r="AE180" s="5"/>
      <c r="AF180" s="5"/>
      <c r="AG180" s="14"/>
      <c r="AH180" s="14"/>
      <c r="AI180" s="14"/>
      <c r="AJ180" s="14"/>
      <c r="AK180" s="14"/>
      <c r="AL180" s="14"/>
      <c r="AM180" s="14"/>
      <c r="AN180" s="14"/>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c r="A181" s="67" t="s">
        <v>196</v>
      </c>
      <c r="I181" s="14" t="str">
        <f>IFERROR(__xludf.DUMMYFUNCTION("""COMPUTED_VALUE"""),"Myogi (ASV)")</f>
        <v>Myogi (ASV)</v>
      </c>
      <c r="J181" s="14" t="str">
        <f>IFERROR(__xludf.DUMMYFUNCTION("""COMPUTED_VALUE"""),"UH")</f>
        <v>UH</v>
      </c>
      <c r="K181" s="14" t="str">
        <f>IFERROR(__xludf.DUMMYFUNCTION("""COMPUTED_VALUE"""),"Jintei")</f>
        <v>Jintei</v>
      </c>
      <c r="L181" s="14" t="str">
        <f>IFERROR(__xludf.DUMMYFUNCTION("""COMPUTED_VALUE"""),"Test Driver")</f>
        <v>Test Driver</v>
      </c>
      <c r="M181" s="48">
        <f>IFERROR(__xludf.DUMMYFUNCTION("""COMPUTED_VALUE"""),0.006944444444444444)</f>
        <v>0.006944444444</v>
      </c>
      <c r="N181" s="14" t="str">
        <f>IFERROR(__xludf.DUMMYFUNCTION("""COMPUTED_VALUE"""),"EG6 (civic)")</f>
        <v>EG6 (civic)</v>
      </c>
      <c r="O181" s="14"/>
      <c r="P181" s="14" t="str">
        <f>IFERROR(__xludf.DUMMYFUNCTION("""COMPUTED_VALUE"""),"Sacc")</f>
        <v>Sacc</v>
      </c>
      <c r="Q181" s="5"/>
      <c r="R181" s="5"/>
      <c r="S181" s="5"/>
      <c r="T181" s="5"/>
      <c r="U181" s="5"/>
      <c r="V181" s="5"/>
      <c r="W181" s="5"/>
      <c r="X181" s="5"/>
      <c r="Y181" s="5"/>
      <c r="Z181" s="5"/>
      <c r="AA181" s="5"/>
      <c r="AB181" s="5"/>
      <c r="AC181" s="5"/>
      <c r="AD181" s="5"/>
      <c r="AE181" s="5"/>
      <c r="AF181" s="5"/>
      <c r="AG181" s="14"/>
      <c r="AH181" s="14"/>
      <c r="AI181" s="14"/>
      <c r="AJ181" s="14"/>
      <c r="AK181" s="14"/>
      <c r="AL181" s="14"/>
      <c r="AM181" s="14"/>
      <c r="AN181" s="14"/>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c r="A182" s="5" t="str">
        <f>IFERROR(__xludf.DUMMYFUNCTION("LET(
  車輛, A181,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82" s="5" t="str">
        <f>IFERROR(__xludf.DUMMYFUNCTION("""COMPUTED_VALUE"""),"路線")</f>
        <v>路線</v>
      </c>
      <c r="C182" s="5" t="str">
        <f>IFERROR(__xludf.DUMMYFUNCTION("""COMPUTED_VALUE"""),"作者")</f>
        <v>作者</v>
      </c>
      <c r="D182" s="5" t="str">
        <f>IFERROR(__xludf.DUMMYFUNCTION("""COMPUTED_VALUE"""),"玩家")</f>
        <v>玩家</v>
      </c>
      <c r="E182" s="5" t="str">
        <f>IFERROR(__xludf.DUMMYFUNCTION("""COMPUTED_VALUE"""),"時間")</f>
        <v>時間</v>
      </c>
      <c r="F182" s="5" t="str">
        <f>IFERROR(__xludf.DUMMYFUNCTION("""COMPUTED_VALUE"""),"車輛")</f>
        <v>車輛</v>
      </c>
      <c r="G182" s="5" t="str">
        <f>IFERROR(__xludf.DUMMYFUNCTION("""COMPUTED_VALUE"""),"平台")</f>
        <v>平台</v>
      </c>
      <c r="H182" s="5" t="str">
        <f>IFERROR(__xludf.DUMMYFUNCTION("""COMPUTED_VALUE"""),"系統")</f>
        <v>系統</v>
      </c>
      <c r="I182" s="14"/>
      <c r="J182" s="14"/>
      <c r="K182" s="14"/>
      <c r="L182" s="14"/>
      <c r="M182" s="14"/>
      <c r="N182" s="14"/>
      <c r="O182" s="14"/>
      <c r="P182" s="14"/>
      <c r="Q182" s="5"/>
      <c r="R182" s="5"/>
      <c r="S182" s="5"/>
      <c r="T182" s="5"/>
      <c r="U182" s="5"/>
      <c r="V182" s="5"/>
      <c r="W182" s="5"/>
      <c r="X182" s="5"/>
      <c r="Y182" s="5"/>
      <c r="Z182" s="5"/>
      <c r="AA182" s="5"/>
      <c r="AB182" s="5"/>
      <c r="AC182" s="5"/>
      <c r="AD182" s="5"/>
      <c r="AE182" s="5"/>
      <c r="AF182" s="5"/>
      <c r="AG182" s="14"/>
      <c r="AH182" s="14"/>
      <c r="AI182" s="14"/>
      <c r="AJ182" s="14"/>
      <c r="AK182" s="14"/>
      <c r="AL182" s="14"/>
      <c r="AM182" s="14"/>
      <c r="AN182" s="14"/>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c r="A183" s="5" t="str">
        <f>IFERROR(__xludf.DUMMYFUNCTION("""COMPUTED_VALUE"""),"Sadamine")</f>
        <v>Sadamine</v>
      </c>
      <c r="B183" s="5" t="str">
        <f>IFERROR(__xludf.DUMMYFUNCTION("""COMPUTED_VALUE"""),"FCDH")</f>
        <v>FCDH</v>
      </c>
      <c r="C183" s="5" t="str">
        <f>IFERROR(__xludf.DUMMYFUNCTION("""COMPUTED_VALUE"""),"Jintei ")</f>
        <v>Jintei </v>
      </c>
      <c r="D183" s="5" t="str">
        <f>IFERROR(__xludf.DUMMYFUNCTION("""COMPUTED_VALUE"""),"StarRiver Arts")</f>
        <v>StarRiver Arts</v>
      </c>
      <c r="E183" s="5">
        <f>IFERROR(__xludf.DUMMYFUNCTION("""COMPUTED_VALUE"""),0.0025293171296296296)</f>
        <v>0.00252931713</v>
      </c>
      <c r="F183" s="5" t="str">
        <f>IFERROR(__xludf.DUMMYFUNCTION("""COMPUTED_VALUE"""),"SXE10 (Altezza)")</f>
        <v>SXE10 (Altezza)</v>
      </c>
      <c r="G183" s="5" t="str">
        <f>IFERROR(__xludf.DUMMYFUNCTION("""COMPUTED_VALUE"""),"PC")</f>
        <v>PC</v>
      </c>
      <c r="H183" s="5" t="str">
        <f>IFERROR(__xludf.DUMMYFUNCTION("""COMPUTED_VALUE"""),"Sacc")</f>
        <v>Sacc</v>
      </c>
      <c r="I183" s="71" t="s">
        <v>197</v>
      </c>
      <c r="Q183" s="5"/>
      <c r="R183" s="5"/>
      <c r="S183" s="5"/>
      <c r="T183" s="5"/>
      <c r="U183" s="5"/>
      <c r="V183" s="5"/>
      <c r="W183" s="5"/>
      <c r="X183" s="5"/>
      <c r="Y183" s="5"/>
      <c r="Z183" s="5"/>
      <c r="AA183" s="5"/>
      <c r="AB183" s="5"/>
      <c r="AC183" s="5"/>
      <c r="AD183" s="5"/>
      <c r="AE183" s="5"/>
      <c r="AF183" s="5"/>
      <c r="AG183" s="14"/>
      <c r="AH183" s="14"/>
      <c r="AI183" s="14"/>
      <c r="AJ183" s="14"/>
      <c r="AK183" s="14"/>
      <c r="AL183" s="14"/>
      <c r="AM183" s="14"/>
      <c r="AN183" s="14"/>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c r="A184" s="5" t="str">
        <f>IFERROR(__xludf.DUMMYFUNCTION("""COMPUTED_VALUE"""),"Sadamine")</f>
        <v>Sadamine</v>
      </c>
      <c r="B184" s="5" t="str">
        <f>IFERROR(__xludf.DUMMYFUNCTION("""COMPUTED_VALUE"""),"OCDH")</f>
        <v>OCDH</v>
      </c>
      <c r="C184" s="5" t="str">
        <f>IFERROR(__xludf.DUMMYFUNCTION("""COMPUTED_VALUE"""),"Jintei")</f>
        <v>Jintei</v>
      </c>
      <c r="D184" s="5" t="str">
        <f>IFERROR(__xludf.DUMMYFUNCTION("""COMPUTED_VALUE"""),"StarRiver Arts")</f>
        <v>StarRiver Arts</v>
      </c>
      <c r="E184" s="5">
        <f>IFERROR(__xludf.DUMMYFUNCTION("""COMPUTED_VALUE"""),0.0020555555555555557)</f>
        <v>0.002055555556</v>
      </c>
      <c r="F184" s="5" t="str">
        <f>IFERROR(__xludf.DUMMYFUNCTION("""COMPUTED_VALUE"""),"SXE10 (Altezza)")</f>
        <v>SXE10 (Altezza)</v>
      </c>
      <c r="G184" s="5" t="str">
        <f>IFERROR(__xludf.DUMMYFUNCTION("""COMPUTED_VALUE"""),"PC")</f>
        <v>PC</v>
      </c>
      <c r="H184" s="5" t="str">
        <f>IFERROR(__xludf.DUMMYFUNCTION("""COMPUTED_VALUE"""),"Sacc")</f>
        <v>Sacc</v>
      </c>
      <c r="I184" s="14" t="str">
        <f>IFERROR(__xludf.DUMMYFUNCTION("LET(
  車輛, I183,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84" s="14" t="str">
        <f>IFERROR(__xludf.DUMMYFUNCTION("""COMPUTED_VALUE"""),"路線")</f>
        <v>路線</v>
      </c>
      <c r="K184" s="14" t="str">
        <f>IFERROR(__xludf.DUMMYFUNCTION("""COMPUTED_VALUE"""),"作者")</f>
        <v>作者</v>
      </c>
      <c r="L184" s="14" t="str">
        <f>IFERROR(__xludf.DUMMYFUNCTION("""COMPUTED_VALUE"""),"玩家")</f>
        <v>玩家</v>
      </c>
      <c r="M184" s="14" t="str">
        <f>IFERROR(__xludf.DUMMYFUNCTION("""COMPUTED_VALUE"""),"時間")</f>
        <v>時間</v>
      </c>
      <c r="N184" s="14" t="str">
        <f>IFERROR(__xludf.DUMMYFUNCTION("""COMPUTED_VALUE"""),"車輛")</f>
        <v>車輛</v>
      </c>
      <c r="O184" s="14" t="str">
        <f>IFERROR(__xludf.DUMMYFUNCTION("""COMPUTED_VALUE"""),"平台")</f>
        <v>平台</v>
      </c>
      <c r="P184" s="14" t="str">
        <f>IFERROR(__xludf.DUMMYFUNCTION("""COMPUTED_VALUE"""),"系統")</f>
        <v>系統</v>
      </c>
      <c r="Q184" s="5"/>
      <c r="R184" s="5"/>
      <c r="S184" s="5"/>
      <c r="T184" s="5"/>
      <c r="U184" s="5"/>
      <c r="V184" s="5"/>
      <c r="W184" s="5"/>
      <c r="X184" s="5"/>
      <c r="Y184" s="5"/>
      <c r="Z184" s="5"/>
      <c r="AA184" s="5"/>
      <c r="AB184" s="5"/>
      <c r="AC184" s="5"/>
      <c r="AD184" s="5"/>
      <c r="AE184" s="5"/>
      <c r="AF184" s="5"/>
      <c r="AG184" s="14"/>
      <c r="AH184" s="14"/>
      <c r="AI184" s="14"/>
      <c r="AJ184" s="14"/>
      <c r="AK184" s="14"/>
      <c r="AL184" s="14"/>
      <c r="AM184" s="14"/>
      <c r="AN184" s="14"/>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c r="A185" s="5" t="str">
        <f>IFERROR(__xludf.DUMMYFUNCTION("""COMPUTED_VALUE"""),"Shomaru")</f>
        <v>Shomaru</v>
      </c>
      <c r="B185" s="5" t="str">
        <f>IFERROR(__xludf.DUMMYFUNCTION("""COMPUTED_VALUE"""),"Double")</f>
        <v>Double</v>
      </c>
      <c r="C185" s="5" t="str">
        <f>IFERROR(__xludf.DUMMYFUNCTION("""COMPUTED_VALUE"""),"Jintei")</f>
        <v>Jintei</v>
      </c>
      <c r="D185" s="5" t="str">
        <f>IFERROR(__xludf.DUMMYFUNCTION("""COMPUTED_VALUE"""),"StarRiver Arts")</f>
        <v>StarRiver Arts</v>
      </c>
      <c r="E185" s="5">
        <f>IFERROR(__xludf.DUMMYFUNCTION("""COMPUTED_VALUE"""),0.006263368055555555)</f>
        <v>0.006263368056</v>
      </c>
      <c r="F185" s="5" t="str">
        <f>IFERROR(__xludf.DUMMYFUNCTION("""COMPUTED_VALUE"""),"SXE10 (Altezza)")</f>
        <v>SXE10 (Altezza)</v>
      </c>
      <c r="G185" s="5" t="str">
        <f>IFERROR(__xludf.DUMMYFUNCTION("""COMPUTED_VALUE"""),"PC")</f>
        <v>PC</v>
      </c>
      <c r="H185" s="5" t="str">
        <f>IFERROR(__xludf.DUMMYFUNCTION("""COMPUTED_VALUE"""),"Sacc")</f>
        <v>Sacc</v>
      </c>
      <c r="I185" s="14" t="str">
        <f>IFERROR(__xludf.DUMMYFUNCTION("""COMPUTED_VALUE"""),"H-Nanamagari")</f>
        <v>H-Nanamagari</v>
      </c>
      <c r="J185" s="14" t="str">
        <f>IFERROR(__xludf.DUMMYFUNCTION("""COMPUTED_VALUE"""),"DH")</f>
        <v>DH</v>
      </c>
      <c r="K185" s="14" t="str">
        <f>IFERROR(__xludf.DUMMYFUNCTION("""COMPUTED_VALUE"""),"Jintei")</f>
        <v>Jintei</v>
      </c>
      <c r="L185" s="14" t="str">
        <f>IFERROR(__xludf.DUMMYFUNCTION("""COMPUTED_VALUE"""),"StarRiver Arts")</f>
        <v>StarRiver Arts</v>
      </c>
      <c r="M185" s="48">
        <f>IFERROR(__xludf.DUMMYFUNCTION("""COMPUTED_VALUE"""),8.250578703703704E-4)</f>
        <v>0.0008250578704</v>
      </c>
      <c r="N185" s="14" t="str">
        <f>IFERROR(__xludf.DUMMYFUNCTION("""COMPUTED_VALUE"""),"EK9 (Civic Type-R)")</f>
        <v>EK9 (Civic Type-R)</v>
      </c>
      <c r="O185" s="14" t="str">
        <f>IFERROR(__xludf.DUMMYFUNCTION("""COMPUTED_VALUE"""),"PC")</f>
        <v>PC</v>
      </c>
      <c r="P185" s="14" t="str">
        <f>IFERROR(__xludf.DUMMYFUNCTION("""COMPUTED_VALUE"""),"Sacc")</f>
        <v>Sacc</v>
      </c>
      <c r="Q185" s="5"/>
      <c r="R185" s="5"/>
      <c r="S185" s="5"/>
      <c r="T185" s="5"/>
      <c r="U185" s="5"/>
      <c r="V185" s="5"/>
      <c r="W185" s="5"/>
      <c r="X185" s="5"/>
      <c r="Y185" s="5"/>
      <c r="Z185" s="5"/>
      <c r="AA185" s="5"/>
      <c r="AB185" s="5"/>
      <c r="AC185" s="5"/>
      <c r="AD185" s="5"/>
      <c r="AE185" s="5"/>
      <c r="AF185" s="5"/>
      <c r="AG185" s="14"/>
      <c r="AH185" s="14"/>
      <c r="AI185" s="14"/>
      <c r="AJ185" s="14"/>
      <c r="AK185" s="14"/>
      <c r="AL185" s="14"/>
      <c r="AM185" s="14"/>
      <c r="AN185" s="14"/>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c r="A186" s="5" t="str">
        <f>IFERROR(__xludf.DUMMYFUNCTION("""COMPUTED_VALUE"""),"Shomaru")</f>
        <v>Shomaru</v>
      </c>
      <c r="B186" s="5" t="str">
        <f>IFERROR(__xludf.DUMMYFUNCTION("""COMPUTED_VALUE"""),"OB")</f>
        <v>OB</v>
      </c>
      <c r="C186" s="5" t="str">
        <f>IFERROR(__xludf.DUMMYFUNCTION("""COMPUTED_VALUE"""),"Jintei")</f>
        <v>Jintei</v>
      </c>
      <c r="D186" s="5" t="str">
        <f>IFERROR(__xludf.DUMMYFUNCTION("""COMPUTED_VALUE"""),"Test Driver")</f>
        <v>Test Driver</v>
      </c>
      <c r="E186" s="5">
        <f>IFERROR(__xludf.DUMMYFUNCTION("""COMPUTED_VALUE"""),0.006944444444444444)</f>
        <v>0.006944444444</v>
      </c>
      <c r="F186" s="5" t="str">
        <f>IFERROR(__xludf.DUMMYFUNCTION("""COMPUTED_VALUE"""),"SXE10 (Altezza)")</f>
        <v>SXE10 (Altezza)</v>
      </c>
      <c r="G186" s="5"/>
      <c r="H186" s="5" t="str">
        <f>IFERROR(__xludf.DUMMYFUNCTION("""COMPUTED_VALUE"""),"Sacc")</f>
        <v>Sacc</v>
      </c>
      <c r="I186" s="14" t="str">
        <f>IFERROR(__xludf.DUMMYFUNCTION("""COMPUTED_VALUE"""),"H-Nanamagari")</f>
        <v>H-Nanamagari</v>
      </c>
      <c r="J186" s="14" t="str">
        <f>IFERROR(__xludf.DUMMYFUNCTION("""COMPUTED_VALUE"""),"UH")</f>
        <v>UH</v>
      </c>
      <c r="K186" s="14" t="str">
        <f>IFERROR(__xludf.DUMMYFUNCTION("""COMPUTED_VALUE"""),"Jintei")</f>
        <v>Jintei</v>
      </c>
      <c r="L186" s="14" t="str">
        <f>IFERROR(__xludf.DUMMYFUNCTION("""COMPUTED_VALUE"""),"StarRiver Arts")</f>
        <v>StarRiver Arts</v>
      </c>
      <c r="M186" s="48">
        <f>IFERROR(__xludf.DUMMYFUNCTION("""COMPUTED_VALUE"""),9.381828703703704E-4)</f>
        <v>0.0009381828704</v>
      </c>
      <c r="N186" s="14" t="str">
        <f>IFERROR(__xludf.DUMMYFUNCTION("""COMPUTED_VALUE"""),"EK9 (Civic Type-R)")</f>
        <v>EK9 (Civic Type-R)</v>
      </c>
      <c r="O186" s="14" t="str">
        <f>IFERROR(__xludf.DUMMYFUNCTION("""COMPUTED_VALUE"""),"PC")</f>
        <v>PC</v>
      </c>
      <c r="P186" s="14" t="str">
        <f>IFERROR(__xludf.DUMMYFUNCTION("""COMPUTED_VALUE"""),"Sacc")</f>
        <v>Sacc</v>
      </c>
      <c r="Q186" s="5"/>
      <c r="R186" s="5"/>
      <c r="S186" s="5"/>
      <c r="T186" s="5"/>
      <c r="U186" s="5"/>
      <c r="V186" s="5"/>
      <c r="W186" s="5"/>
      <c r="X186" s="5"/>
      <c r="Y186" s="5"/>
      <c r="Z186" s="5"/>
      <c r="AA186" s="5"/>
      <c r="AB186" s="5"/>
      <c r="AC186" s="5"/>
      <c r="AD186" s="5"/>
      <c r="AE186" s="5"/>
      <c r="AF186" s="5"/>
      <c r="AG186" s="14"/>
      <c r="AH186" s="14"/>
      <c r="AI186" s="14"/>
      <c r="AJ186" s="14"/>
      <c r="AK186" s="14"/>
      <c r="AL186" s="14"/>
      <c r="AM186" s="14"/>
      <c r="AN186" s="14"/>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c r="A187" s="5" t="str">
        <f>IFERROR(__xludf.DUMMYFUNCTION("""COMPUTED_VALUE"""),"Shomaru")</f>
        <v>Shomaru</v>
      </c>
      <c r="B187" s="5" t="str">
        <f>IFERROR(__xludf.DUMMYFUNCTION("""COMPUTED_VALUE"""),"IB")</f>
        <v>IB</v>
      </c>
      <c r="C187" s="5" t="str">
        <f>IFERROR(__xludf.DUMMYFUNCTION("""COMPUTED_VALUE"""),"Jintei")</f>
        <v>Jintei</v>
      </c>
      <c r="D187" s="5" t="str">
        <f>IFERROR(__xludf.DUMMYFUNCTION("""COMPUTED_VALUE"""),"Test Driver")</f>
        <v>Test Driver</v>
      </c>
      <c r="E187" s="5">
        <f>IFERROR(__xludf.DUMMYFUNCTION("""COMPUTED_VALUE"""),0.006944444444444444)</f>
        <v>0.006944444444</v>
      </c>
      <c r="F187" s="5" t="str">
        <f>IFERROR(__xludf.DUMMYFUNCTION("""COMPUTED_VALUE"""),"SXE10 (Altezza)")</f>
        <v>SXE10 (Altezza)</v>
      </c>
      <c r="G187" s="5"/>
      <c r="H187" s="5" t="str">
        <f>IFERROR(__xludf.DUMMYFUNCTION("""COMPUTED_VALUE"""),"Sacc")</f>
        <v>Sacc</v>
      </c>
      <c r="I187" s="14" t="str">
        <f>IFERROR(__xludf.DUMMYFUNCTION("""COMPUTED_VALUE"""),"Tsukuba")</f>
        <v>Tsukuba</v>
      </c>
      <c r="J187" s="14" t="str">
        <f>IFERROR(__xludf.DUMMYFUNCTION("""COMPUTED_VALUE"""),"Double")</f>
        <v>Double</v>
      </c>
      <c r="K187" s="14" t="str">
        <f>IFERROR(__xludf.DUMMYFUNCTION("""COMPUTED_VALUE"""),"Jintei")</f>
        <v>Jintei</v>
      </c>
      <c r="L187" s="14" t="str">
        <f>IFERROR(__xludf.DUMMYFUNCTION("""COMPUTED_VALUE"""),"Kinokono_Tenka")</f>
        <v>Kinokono_Tenka</v>
      </c>
      <c r="M187" s="48">
        <f>IFERROR(__xludf.DUMMYFUNCTION("""COMPUTED_VALUE"""),0.002527164351851852)</f>
        <v>0.002527164352</v>
      </c>
      <c r="N187" s="14" t="str">
        <f>IFERROR(__xludf.DUMMYFUNCTION("""COMPUTED_VALUE"""),"EK9 (Civic Type-R)")</f>
        <v>EK9 (Civic Type-R)</v>
      </c>
      <c r="O187" s="14" t="str">
        <f>IFERROR(__xludf.DUMMYFUNCTION("""COMPUTED_VALUE"""),"PCVR")</f>
        <v>PCVR</v>
      </c>
      <c r="P187" s="14" t="str">
        <f>IFERROR(__xludf.DUMMYFUNCTION("""COMPUTED_VALUE"""),"Sacc")</f>
        <v>Sacc</v>
      </c>
      <c r="Q187" s="5"/>
      <c r="R187" s="5"/>
      <c r="S187" s="5"/>
      <c r="T187" s="5"/>
      <c r="U187" s="5"/>
      <c r="V187" s="5"/>
      <c r="W187" s="5"/>
      <c r="X187" s="5"/>
      <c r="Y187" s="5"/>
      <c r="Z187" s="5"/>
      <c r="AA187" s="5"/>
      <c r="AB187" s="5"/>
      <c r="AC187" s="5"/>
      <c r="AD187" s="5"/>
      <c r="AE187" s="5"/>
      <c r="AF187" s="5"/>
      <c r="AG187" s="14"/>
      <c r="AH187" s="14"/>
      <c r="AI187" s="14"/>
      <c r="AJ187" s="14"/>
      <c r="AK187" s="14"/>
      <c r="AL187" s="14"/>
      <c r="AM187" s="14"/>
      <c r="AN187" s="14"/>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c r="A188" s="5" t="str">
        <f>IFERROR(__xludf.DUMMYFUNCTION("""COMPUTED_VALUE"""),"Usui V1")</f>
        <v>Usui V1</v>
      </c>
      <c r="B188" s="5" t="str">
        <f>IFERROR(__xludf.DUMMYFUNCTION("""COMPUTED_VALUE"""),"CC")</f>
        <v>CC</v>
      </c>
      <c r="C188" s="5" t="str">
        <f>IFERROR(__xludf.DUMMYFUNCTION("""COMPUTED_VALUE"""),"Jintei")</f>
        <v>Jintei</v>
      </c>
      <c r="D188" s="5" t="str">
        <f>IFERROR(__xludf.DUMMYFUNCTION("""COMPUTED_VALUE"""),"Test Driver")</f>
        <v>Test Driver</v>
      </c>
      <c r="E188" s="5">
        <f>IFERROR(__xludf.DUMMYFUNCTION("""COMPUTED_VALUE"""),0.006944444444444444)</f>
        <v>0.006944444444</v>
      </c>
      <c r="F188" s="5" t="str">
        <f>IFERROR(__xludf.DUMMYFUNCTION("""COMPUTED_VALUE"""),"SXE10 (Altezza)")</f>
        <v>SXE10 (Altezza)</v>
      </c>
      <c r="G188" s="5"/>
      <c r="H188" s="5" t="str">
        <f>IFERROR(__xludf.DUMMYFUNCTION("""COMPUTED_VALUE"""),"Sacc")</f>
        <v>Sacc</v>
      </c>
      <c r="I188" s="14" t="str">
        <f>IFERROR(__xludf.DUMMYFUNCTION("""COMPUTED_VALUE"""),"Tsukuba")</f>
        <v>Tsukuba</v>
      </c>
      <c r="J188" s="14" t="str">
        <f>IFERROR(__xludf.DUMMYFUNCTION("""COMPUTED_VALUE"""),"DH")</f>
        <v>DH</v>
      </c>
      <c r="K188" s="14" t="str">
        <f>IFERROR(__xludf.DUMMYFUNCTION("""COMPUTED_VALUE"""),"Jintei")</f>
        <v>Jintei</v>
      </c>
      <c r="L188" s="14" t="str">
        <f>IFERROR(__xludf.DUMMYFUNCTION("""COMPUTED_VALUE"""),"Lolidia")</f>
        <v>Lolidia</v>
      </c>
      <c r="M188" s="48">
        <f>IFERROR(__xludf.DUMMYFUNCTION("""COMPUTED_VALUE"""),0.001134363425925926)</f>
        <v>0.001134363426</v>
      </c>
      <c r="N188" s="14" t="str">
        <f>IFERROR(__xludf.DUMMYFUNCTION("""COMPUTED_VALUE"""),"EK9 (Civic Type-R)")</f>
        <v>EK9 (Civic Type-R)</v>
      </c>
      <c r="O188" s="14" t="str">
        <f>IFERROR(__xludf.DUMMYFUNCTION("""COMPUTED_VALUE"""),"PCVR")</f>
        <v>PCVR</v>
      </c>
      <c r="P188" s="14" t="str">
        <f>IFERROR(__xludf.DUMMYFUNCTION("""COMPUTED_VALUE"""),"Sacc")</f>
        <v>Sacc</v>
      </c>
      <c r="Q188" s="5"/>
      <c r="R188" s="5"/>
      <c r="S188" s="5"/>
      <c r="T188" s="5"/>
      <c r="U188" s="5"/>
      <c r="V188" s="5"/>
      <c r="W188" s="5"/>
      <c r="X188" s="5"/>
      <c r="Y188" s="5"/>
      <c r="Z188" s="5"/>
      <c r="AA188" s="5"/>
      <c r="AB188" s="5"/>
      <c r="AC188" s="5"/>
      <c r="AD188" s="5"/>
      <c r="AE188" s="5"/>
      <c r="AF188" s="5"/>
      <c r="AG188" s="14"/>
      <c r="AH188" s="14"/>
      <c r="AI188" s="14"/>
      <c r="AJ188" s="14"/>
      <c r="AK188" s="14"/>
      <c r="AL188" s="14"/>
      <c r="AM188" s="14"/>
      <c r="AN188" s="14"/>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c r="A189" s="5" t="str">
        <f>IFERROR(__xludf.DUMMYFUNCTION("""COMPUTED_VALUE"""),"Usui V1")</f>
        <v>Usui V1</v>
      </c>
      <c r="B189" s="5" t="str">
        <f>IFERROR(__xludf.DUMMYFUNCTION("""COMPUTED_VALUE"""),"CW")</f>
        <v>CW</v>
      </c>
      <c r="C189" s="5" t="str">
        <f>IFERROR(__xludf.DUMMYFUNCTION("""COMPUTED_VALUE"""),"Jintei")</f>
        <v>Jintei</v>
      </c>
      <c r="D189" s="5" t="str">
        <f>IFERROR(__xludf.DUMMYFUNCTION("""COMPUTED_VALUE"""),"Test Driver")</f>
        <v>Test Driver</v>
      </c>
      <c r="E189" s="5">
        <f>IFERROR(__xludf.DUMMYFUNCTION("""COMPUTED_VALUE"""),0.006944444444444444)</f>
        <v>0.006944444444</v>
      </c>
      <c r="F189" s="5" t="str">
        <f>IFERROR(__xludf.DUMMYFUNCTION("""COMPUTED_VALUE"""),"SXE10 (Altezza)")</f>
        <v>SXE10 (Altezza)</v>
      </c>
      <c r="G189" s="5"/>
      <c r="H189" s="5" t="str">
        <f>IFERROR(__xludf.DUMMYFUNCTION("""COMPUTED_VALUE"""),"Sacc")</f>
        <v>Sacc</v>
      </c>
      <c r="I189" s="14" t="str">
        <f>IFERROR(__xludf.DUMMYFUNCTION("""COMPUTED_VALUE"""),"Tsukuba")</f>
        <v>Tsukuba</v>
      </c>
      <c r="J189" s="14" t="str">
        <f>IFERROR(__xludf.DUMMYFUNCTION("""COMPUTED_VALUE"""),"UH")</f>
        <v>UH</v>
      </c>
      <c r="K189" s="14" t="str">
        <f>IFERROR(__xludf.DUMMYFUNCTION("""COMPUTED_VALUE"""),"Jintei")</f>
        <v>Jintei</v>
      </c>
      <c r="L189" s="14" t="str">
        <f>IFERROR(__xludf.DUMMYFUNCTION("""COMPUTED_VALUE"""),"Lolidia")</f>
        <v>Lolidia</v>
      </c>
      <c r="M189" s="48">
        <f>IFERROR(__xludf.DUMMYFUNCTION("""COMPUTED_VALUE"""),0.0012160532407407406)</f>
        <v>0.001216053241</v>
      </c>
      <c r="N189" s="14" t="str">
        <f>IFERROR(__xludf.DUMMYFUNCTION("""COMPUTED_VALUE"""),"EK9 (Civic Type-R)")</f>
        <v>EK9 (Civic Type-R)</v>
      </c>
      <c r="O189" s="14" t="str">
        <f>IFERROR(__xludf.DUMMYFUNCTION("""COMPUTED_VALUE"""),"PCVR")</f>
        <v>PCVR</v>
      </c>
      <c r="P189" s="14" t="str">
        <f>IFERROR(__xludf.DUMMYFUNCTION("""COMPUTED_VALUE"""),"Sacc")</f>
        <v>Sacc</v>
      </c>
      <c r="Q189" s="5"/>
      <c r="R189" s="5"/>
      <c r="S189" s="5"/>
      <c r="T189" s="5"/>
      <c r="U189" s="5"/>
      <c r="V189" s="5"/>
      <c r="W189" s="5"/>
      <c r="X189" s="5"/>
      <c r="Y189" s="5"/>
      <c r="Z189" s="5"/>
      <c r="AA189" s="5"/>
      <c r="AB189" s="5"/>
      <c r="AC189" s="5"/>
      <c r="AD189" s="5"/>
      <c r="AE189" s="5"/>
      <c r="AF189" s="5"/>
      <c r="AG189" s="14"/>
      <c r="AH189" s="14"/>
      <c r="AI189" s="14"/>
      <c r="AJ189" s="14"/>
      <c r="AK189" s="14"/>
      <c r="AL189" s="14"/>
      <c r="AM189" s="14"/>
      <c r="AN189" s="14"/>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c r="A190" s="5" t="str">
        <f>IFERROR(__xludf.DUMMYFUNCTION("""COMPUTED_VALUE"""),"Sadamine")</f>
        <v>Sadamine</v>
      </c>
      <c r="B190" s="5" t="str">
        <f>IFERROR(__xludf.DUMMYFUNCTION("""COMPUTED_VALUE"""),"FCUH")</f>
        <v>FCUH</v>
      </c>
      <c r="C190" s="5" t="str">
        <f>IFERROR(__xludf.DUMMYFUNCTION("""COMPUTED_VALUE"""),"Jintei")</f>
        <v>Jintei</v>
      </c>
      <c r="D190" s="5" t="str">
        <f>IFERROR(__xludf.DUMMYFUNCTION("""COMPUTED_VALUE"""),"Test Driver")</f>
        <v>Test Driver</v>
      </c>
      <c r="E190" s="5">
        <f>IFERROR(__xludf.DUMMYFUNCTION("""COMPUTED_VALUE"""),0.006944444444444444)</f>
        <v>0.006944444444</v>
      </c>
      <c r="F190" s="5" t="str">
        <f>IFERROR(__xludf.DUMMYFUNCTION("""COMPUTED_VALUE"""),"SXE10 (Altezza)")</f>
        <v>SXE10 (Altezza)</v>
      </c>
      <c r="G190" s="5"/>
      <c r="H190" s="5" t="str">
        <f>IFERROR(__xludf.DUMMYFUNCTION("""COMPUTED_VALUE"""),"Sacc")</f>
        <v>Sacc</v>
      </c>
      <c r="I190" s="14" t="str">
        <f>IFERROR(__xludf.DUMMYFUNCTION("""COMPUTED_VALUE"""),"Tsukuba")</f>
        <v>Tsukuba</v>
      </c>
      <c r="J190" s="14" t="str">
        <f>IFERROR(__xludf.DUMMYFUNCTION("""COMPUTED_VALUE"""),"OB")</f>
        <v>OB</v>
      </c>
      <c r="K190" s="14" t="str">
        <f>IFERROR(__xludf.DUMMYFUNCTION("""COMPUTED_VALUE"""),"Jintei")</f>
        <v>Jintei</v>
      </c>
      <c r="L190" s="14" t="str">
        <f>IFERROR(__xludf.DUMMYFUNCTION("""COMPUTED_VALUE"""),"Test Driver")</f>
        <v>Test Driver</v>
      </c>
      <c r="M190" s="48">
        <f>IFERROR(__xludf.DUMMYFUNCTION("""COMPUTED_VALUE"""),0.006944444444444444)</f>
        <v>0.006944444444</v>
      </c>
      <c r="N190" s="14" t="str">
        <f>IFERROR(__xludf.DUMMYFUNCTION("""COMPUTED_VALUE"""),"EK9 (Civic Type-R)")</f>
        <v>EK9 (Civic Type-R)</v>
      </c>
      <c r="O190" s="14"/>
      <c r="P190" s="14" t="str">
        <f>IFERROR(__xludf.DUMMYFUNCTION("""COMPUTED_VALUE"""),"Sacc")</f>
        <v>Sacc</v>
      </c>
      <c r="Q190" s="5"/>
      <c r="R190" s="5"/>
      <c r="S190" s="5"/>
      <c r="T190" s="5"/>
      <c r="U190" s="5"/>
      <c r="V190" s="5"/>
      <c r="W190" s="5"/>
      <c r="X190" s="5"/>
      <c r="Y190" s="5"/>
      <c r="Z190" s="5"/>
      <c r="AA190" s="5"/>
      <c r="AB190" s="5"/>
      <c r="AC190" s="5"/>
      <c r="AD190" s="5"/>
      <c r="AE190" s="5"/>
      <c r="AF190" s="5"/>
      <c r="AG190" s="14"/>
      <c r="AH190" s="14"/>
      <c r="AI190" s="14"/>
      <c r="AJ190" s="14"/>
      <c r="AK190" s="14"/>
      <c r="AL190" s="14"/>
      <c r="AM190" s="14"/>
      <c r="AN190" s="14"/>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c r="A191" s="5" t="str">
        <f>IFERROR(__xludf.DUMMYFUNCTION("""COMPUTED_VALUE"""),"Sadamine")</f>
        <v>Sadamine</v>
      </c>
      <c r="B191" s="5" t="str">
        <f>IFERROR(__xludf.DUMMYFUNCTION("""COMPUTED_VALUE"""),"OCUH")</f>
        <v>OCUH</v>
      </c>
      <c r="C191" s="5" t="str">
        <f>IFERROR(__xludf.DUMMYFUNCTION("""COMPUTED_VALUE"""),"Jintei")</f>
        <v>Jintei</v>
      </c>
      <c r="D191" s="5" t="str">
        <f>IFERROR(__xludf.DUMMYFUNCTION("""COMPUTED_VALUE"""),"Test Driver")</f>
        <v>Test Driver</v>
      </c>
      <c r="E191" s="5">
        <f>IFERROR(__xludf.DUMMYFUNCTION("""COMPUTED_VALUE"""),0.006944444444444444)</f>
        <v>0.006944444444</v>
      </c>
      <c r="F191" s="5" t="str">
        <f>IFERROR(__xludf.DUMMYFUNCTION("""COMPUTED_VALUE"""),"SXE10 (Altezza)")</f>
        <v>SXE10 (Altezza)</v>
      </c>
      <c r="G191" s="5"/>
      <c r="H191" s="5" t="str">
        <f>IFERROR(__xludf.DUMMYFUNCTION("""COMPUTED_VALUE"""),"Sacc")</f>
        <v>Sacc</v>
      </c>
      <c r="I191" s="14" t="str">
        <f>IFERROR(__xludf.DUMMYFUNCTION("""COMPUTED_VALUE"""),"Tsukuba")</f>
        <v>Tsukuba</v>
      </c>
      <c r="J191" s="14" t="str">
        <f>IFERROR(__xludf.DUMMYFUNCTION("""COMPUTED_VALUE"""),"IB")</f>
        <v>IB</v>
      </c>
      <c r="K191" s="14" t="str">
        <f>IFERROR(__xludf.DUMMYFUNCTION("""COMPUTED_VALUE"""),"Jintei")</f>
        <v>Jintei</v>
      </c>
      <c r="L191" s="14" t="str">
        <f>IFERROR(__xludf.DUMMYFUNCTION("""COMPUTED_VALUE"""),"Test Driver")</f>
        <v>Test Driver</v>
      </c>
      <c r="M191" s="48">
        <f>IFERROR(__xludf.DUMMYFUNCTION("""COMPUTED_VALUE"""),0.006944444444444444)</f>
        <v>0.006944444444</v>
      </c>
      <c r="N191" s="14" t="str">
        <f>IFERROR(__xludf.DUMMYFUNCTION("""COMPUTED_VALUE"""),"EK9 (Civic Type-R)")</f>
        <v>EK9 (Civic Type-R)</v>
      </c>
      <c r="O191" s="14"/>
      <c r="P191" s="14" t="str">
        <f>IFERROR(__xludf.DUMMYFUNCTION("""COMPUTED_VALUE"""),"Sacc")</f>
        <v>Sacc</v>
      </c>
      <c r="Q191" s="5"/>
      <c r="R191" s="5"/>
      <c r="S191" s="5"/>
      <c r="T191" s="5"/>
      <c r="U191" s="5"/>
      <c r="V191" s="5"/>
      <c r="W191" s="5"/>
      <c r="X191" s="5"/>
      <c r="Y191" s="5"/>
      <c r="Z191" s="5"/>
      <c r="AA191" s="5"/>
      <c r="AB191" s="5"/>
      <c r="AC191" s="5"/>
      <c r="AD191" s="5"/>
      <c r="AE191" s="5"/>
      <c r="AF191" s="5"/>
      <c r="AG191" s="14"/>
      <c r="AH191" s="14"/>
      <c r="AI191" s="14"/>
      <c r="AJ191" s="14"/>
      <c r="AK191" s="14"/>
      <c r="AL191" s="14"/>
      <c r="AM191" s="14"/>
      <c r="AN191" s="14"/>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c r="A192" s="5" t="str">
        <f>IFERROR(__xludf.DUMMYFUNCTION("""COMPUTED_VALUE"""),"Shin Usui")</f>
        <v>Shin Usui</v>
      </c>
      <c r="B192" s="5" t="str">
        <f>IFERROR(__xludf.DUMMYFUNCTION("""COMPUTED_VALUE"""),"DH")</f>
        <v>DH</v>
      </c>
      <c r="C192" s="5" t="str">
        <f>IFERROR(__xludf.DUMMYFUNCTION("""COMPUTED_VALUE"""),"Jintei")</f>
        <v>Jintei</v>
      </c>
      <c r="D192" s="5" t="str">
        <f>IFERROR(__xludf.DUMMYFUNCTION("""COMPUTED_VALUE"""),"Test Driver")</f>
        <v>Test Driver</v>
      </c>
      <c r="E192" s="5">
        <f>IFERROR(__xludf.DUMMYFUNCTION("""COMPUTED_VALUE"""),0.006944444444444444)</f>
        <v>0.006944444444</v>
      </c>
      <c r="F192" s="5" t="str">
        <f>IFERROR(__xludf.DUMMYFUNCTION("""COMPUTED_VALUE"""),"SXE10 (Altezza)")</f>
        <v>SXE10 (Altezza)</v>
      </c>
      <c r="G192" s="5"/>
      <c r="H192" s="5" t="str">
        <f>IFERROR(__xludf.DUMMYFUNCTION("""COMPUTED_VALUE"""),"Sacc")</f>
        <v>Sacc</v>
      </c>
      <c r="I192" s="14" t="str">
        <f>IFERROR(__xludf.DUMMYFUNCTION("""COMPUTED_VALUE"""),"Happogahara")</f>
        <v>Happogahara</v>
      </c>
      <c r="J192" s="14" t="str">
        <f>IFERROR(__xludf.DUMMYFUNCTION("""COMPUTED_VALUE"""),"IB")</f>
        <v>IB</v>
      </c>
      <c r="K192" s="14" t="str">
        <f>IFERROR(__xludf.DUMMYFUNCTION("""COMPUTED_VALUE"""),"Jintei")</f>
        <v>Jintei</v>
      </c>
      <c r="L192" s="14" t="str">
        <f>IFERROR(__xludf.DUMMYFUNCTION("""COMPUTED_VALUE"""),"Test Driver")</f>
        <v>Test Driver</v>
      </c>
      <c r="M192" s="14">
        <f>IFERROR(__xludf.DUMMYFUNCTION("""COMPUTED_VALUE"""),0.006944444444444444)</f>
        <v>0.006944444444</v>
      </c>
      <c r="N192" s="14" t="str">
        <f>IFERROR(__xludf.DUMMYFUNCTION("""COMPUTED_VALUE"""),"EK9 (Civic Type-R)")</f>
        <v>EK9 (Civic Type-R)</v>
      </c>
      <c r="O192" s="14"/>
      <c r="P192" s="14" t="str">
        <f>IFERROR(__xludf.DUMMYFUNCTION("""COMPUTED_VALUE"""),"Sacc")</f>
        <v>Sacc</v>
      </c>
      <c r="Q192" s="5"/>
      <c r="R192" s="5"/>
      <c r="S192" s="5"/>
      <c r="T192" s="5"/>
      <c r="U192" s="5"/>
      <c r="V192" s="5"/>
      <c r="W192" s="5"/>
      <c r="X192" s="5"/>
      <c r="Y192" s="5"/>
      <c r="Z192" s="5"/>
      <c r="AA192" s="5"/>
      <c r="AB192" s="5"/>
      <c r="AC192" s="5"/>
      <c r="AD192" s="5"/>
      <c r="AE192" s="5"/>
      <c r="AF192" s="5"/>
      <c r="AG192" s="14"/>
      <c r="AH192" s="14"/>
      <c r="AI192" s="14"/>
      <c r="AJ192" s="14"/>
      <c r="AK192" s="14"/>
      <c r="AL192" s="14"/>
      <c r="AM192" s="14"/>
      <c r="AN192" s="14"/>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c r="A193" s="5" t="str">
        <f>IFERROR(__xludf.DUMMYFUNCTION("""COMPUTED_VALUE"""),"Shin Usui")</f>
        <v>Shin Usui</v>
      </c>
      <c r="B193" s="5" t="str">
        <f>IFERROR(__xludf.DUMMYFUNCTION("""COMPUTED_VALUE"""),"UH")</f>
        <v>UH</v>
      </c>
      <c r="C193" s="5" t="str">
        <f>IFERROR(__xludf.DUMMYFUNCTION("""COMPUTED_VALUE"""),"Jintei")</f>
        <v>Jintei</v>
      </c>
      <c r="D193" s="5" t="str">
        <f>IFERROR(__xludf.DUMMYFUNCTION("""COMPUTED_VALUE"""),"Test Driver")</f>
        <v>Test Driver</v>
      </c>
      <c r="E193" s="5">
        <f>IFERROR(__xludf.DUMMYFUNCTION("""COMPUTED_VALUE"""),0.006944444444444444)</f>
        <v>0.006944444444</v>
      </c>
      <c r="F193" s="5" t="str">
        <f>IFERROR(__xludf.DUMMYFUNCTION("""COMPUTED_VALUE"""),"SXE10 (Altezza)")</f>
        <v>SXE10 (Altezza)</v>
      </c>
      <c r="G193" s="5"/>
      <c r="H193" s="5" t="str">
        <f>IFERROR(__xludf.DUMMYFUNCTION("""COMPUTED_VALUE"""),"Sacc")</f>
        <v>Sacc</v>
      </c>
      <c r="I193" s="14" t="str">
        <f>IFERROR(__xludf.DUMMYFUNCTION("""COMPUTED_VALUE"""),"Happogahara")</f>
        <v>Happogahara</v>
      </c>
      <c r="J193" s="14" t="str">
        <f>IFERROR(__xludf.DUMMYFUNCTION("""COMPUTED_VALUE"""),"OB")</f>
        <v>OB</v>
      </c>
      <c r="K193" s="14" t="str">
        <f>IFERROR(__xludf.DUMMYFUNCTION("""COMPUTED_VALUE"""),"Jintei")</f>
        <v>Jintei</v>
      </c>
      <c r="L193" s="14" t="str">
        <f>IFERROR(__xludf.DUMMYFUNCTION("""COMPUTED_VALUE"""),"Test Driver")</f>
        <v>Test Driver</v>
      </c>
      <c r="M193" s="14">
        <f>IFERROR(__xludf.DUMMYFUNCTION("""COMPUTED_VALUE"""),0.006944444444444444)</f>
        <v>0.006944444444</v>
      </c>
      <c r="N193" s="14" t="str">
        <f>IFERROR(__xludf.DUMMYFUNCTION("""COMPUTED_VALUE"""),"EK9 (Civic Type-R)")</f>
        <v>EK9 (Civic Type-R)</v>
      </c>
      <c r="O193" s="14"/>
      <c r="P193" s="14" t="str">
        <f>IFERROR(__xludf.DUMMYFUNCTION("""COMPUTED_VALUE"""),"Sacc")</f>
        <v>Sacc</v>
      </c>
      <c r="Q193" s="5"/>
      <c r="R193" s="5"/>
      <c r="S193" s="5"/>
      <c r="T193" s="5"/>
      <c r="U193" s="5"/>
      <c r="V193" s="5"/>
      <c r="W193" s="5"/>
      <c r="X193" s="5"/>
      <c r="Y193" s="5"/>
      <c r="Z193" s="5"/>
      <c r="AA193" s="5"/>
      <c r="AB193" s="5"/>
      <c r="AC193" s="5"/>
      <c r="AD193" s="5"/>
      <c r="AE193" s="5"/>
      <c r="AF193" s="5"/>
      <c r="AG193" s="14"/>
      <c r="AH193" s="14"/>
      <c r="AI193" s="14"/>
      <c r="AJ193" s="14"/>
      <c r="AK193" s="14"/>
      <c r="AL193" s="14"/>
      <c r="AM193" s="14"/>
      <c r="AN193" s="14"/>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c r="A194" s="5"/>
      <c r="B194" s="5"/>
      <c r="C194" s="5"/>
      <c r="D194" s="5"/>
      <c r="E194" s="5"/>
      <c r="F194" s="5"/>
      <c r="G194" s="5"/>
      <c r="H194" s="5"/>
      <c r="I194" s="14" t="str">
        <f>IFERROR(__xludf.DUMMYFUNCTION("""COMPUTED_VALUE"""),"Happogahara")</f>
        <v>Happogahara</v>
      </c>
      <c r="J194" s="14" t="str">
        <f>IFERROR(__xludf.DUMMYFUNCTION("""COMPUTED_VALUE"""),"Double")</f>
        <v>Double</v>
      </c>
      <c r="K194" s="14" t="str">
        <f>IFERROR(__xludf.DUMMYFUNCTION("""COMPUTED_VALUE"""),"Jintei")</f>
        <v>Jintei</v>
      </c>
      <c r="L194" s="14" t="str">
        <f>IFERROR(__xludf.DUMMYFUNCTION("""COMPUTED_VALUE"""),"Test Driver")</f>
        <v>Test Driver</v>
      </c>
      <c r="M194" s="14">
        <f>IFERROR(__xludf.DUMMYFUNCTION("""COMPUTED_VALUE"""),0.006944444444444444)</f>
        <v>0.006944444444</v>
      </c>
      <c r="N194" s="14" t="str">
        <f>IFERROR(__xludf.DUMMYFUNCTION("""COMPUTED_VALUE"""),"EK9 (Civic Type-R)")</f>
        <v>EK9 (Civic Type-R)</v>
      </c>
      <c r="O194" s="14"/>
      <c r="P194" s="14" t="str">
        <f>IFERROR(__xludf.DUMMYFUNCTION("""COMPUTED_VALUE"""),"Sacc")</f>
        <v>Sacc</v>
      </c>
      <c r="Q194" s="5"/>
      <c r="R194" s="5"/>
      <c r="S194" s="5"/>
      <c r="T194" s="5"/>
      <c r="U194" s="5"/>
      <c r="V194" s="5"/>
      <c r="W194" s="5"/>
      <c r="X194" s="5"/>
      <c r="Y194" s="5"/>
      <c r="Z194" s="5"/>
      <c r="AA194" s="5"/>
      <c r="AB194" s="5"/>
      <c r="AC194" s="5"/>
      <c r="AD194" s="5"/>
      <c r="AE194" s="5"/>
      <c r="AF194" s="5"/>
      <c r="AG194" s="14"/>
      <c r="AH194" s="14"/>
      <c r="AI194" s="14"/>
      <c r="AJ194" s="14"/>
      <c r="AK194" s="14"/>
      <c r="AL194" s="14"/>
      <c r="AM194" s="14"/>
      <c r="AN194" s="14"/>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c r="A195" s="67" t="s">
        <v>198</v>
      </c>
      <c r="I195" s="71" t="s">
        <v>199</v>
      </c>
      <c r="Q195" s="5"/>
      <c r="R195" s="5"/>
      <c r="S195" s="5"/>
      <c r="T195" s="5"/>
      <c r="U195" s="5"/>
      <c r="V195" s="5"/>
      <c r="W195" s="5"/>
      <c r="X195" s="5"/>
      <c r="Y195" s="5"/>
      <c r="Z195" s="5"/>
      <c r="AA195" s="5"/>
      <c r="AB195" s="5"/>
      <c r="AC195" s="5"/>
      <c r="AD195" s="5"/>
      <c r="AE195" s="5"/>
      <c r="AF195" s="5"/>
      <c r="AG195" s="14"/>
      <c r="AH195" s="14"/>
      <c r="AI195" s="14"/>
      <c r="AJ195" s="14"/>
      <c r="AK195" s="14"/>
      <c r="AL195" s="14"/>
      <c r="AM195" s="14"/>
      <c r="AN195" s="14"/>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c r="A196" s="5" t="str">
        <f>IFERROR(__xludf.DUMMYFUNCTION("LET(
  車輛, A195,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B196" s="5" t="str">
        <f>IFERROR(__xludf.DUMMYFUNCTION("""COMPUTED_VALUE"""),"路線")</f>
        <v>路線</v>
      </c>
      <c r="C196" s="5" t="str">
        <f>IFERROR(__xludf.DUMMYFUNCTION("""COMPUTED_VALUE"""),"作者")</f>
        <v>作者</v>
      </c>
      <c r="D196" s="5" t="str">
        <f>IFERROR(__xludf.DUMMYFUNCTION("""COMPUTED_VALUE"""),"玩家")</f>
        <v>玩家</v>
      </c>
      <c r="E196" s="5" t="str">
        <f>IFERROR(__xludf.DUMMYFUNCTION("""COMPUTED_VALUE"""),"時間")</f>
        <v>時間</v>
      </c>
      <c r="F196" s="5" t="str">
        <f>IFERROR(__xludf.DUMMYFUNCTION("""COMPUTED_VALUE"""),"車輛")</f>
        <v>車輛</v>
      </c>
      <c r="G196" s="5" t="str">
        <f>IFERROR(__xludf.DUMMYFUNCTION("""COMPUTED_VALUE"""),"平台")</f>
        <v>平台</v>
      </c>
      <c r="H196" s="5" t="str">
        <f>IFERROR(__xludf.DUMMYFUNCTION("""COMPUTED_VALUE"""),"系統")</f>
        <v>系統</v>
      </c>
      <c r="I196" s="14" t="str">
        <f>IFERROR(__xludf.DUMMYFUNCTION("LET(
  車輛, I195,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196" s="14" t="str">
        <f>IFERROR(__xludf.DUMMYFUNCTION("""COMPUTED_VALUE"""),"路線")</f>
        <v>路線</v>
      </c>
      <c r="K196" s="14" t="str">
        <f>IFERROR(__xludf.DUMMYFUNCTION("""COMPUTED_VALUE"""),"作者")</f>
        <v>作者</v>
      </c>
      <c r="L196" s="14" t="str">
        <f>IFERROR(__xludf.DUMMYFUNCTION("""COMPUTED_VALUE"""),"玩家")</f>
        <v>玩家</v>
      </c>
      <c r="M196" s="14" t="str">
        <f>IFERROR(__xludf.DUMMYFUNCTION("""COMPUTED_VALUE"""),"時間")</f>
        <v>時間</v>
      </c>
      <c r="N196" s="14" t="str">
        <f>IFERROR(__xludf.DUMMYFUNCTION("""COMPUTED_VALUE"""),"車輛")</f>
        <v>車輛</v>
      </c>
      <c r="O196" s="14" t="str">
        <f>IFERROR(__xludf.DUMMYFUNCTION("""COMPUTED_VALUE"""),"平台")</f>
        <v>平台</v>
      </c>
      <c r="P196" s="14" t="str">
        <f>IFERROR(__xludf.DUMMYFUNCTION("""COMPUTED_VALUE"""),"系統")</f>
        <v>系統</v>
      </c>
      <c r="Q196" s="5"/>
      <c r="R196" s="5"/>
      <c r="S196" s="5"/>
      <c r="T196" s="5"/>
      <c r="U196" s="5"/>
      <c r="V196" s="5"/>
      <c r="W196" s="5"/>
      <c r="X196" s="5"/>
      <c r="Y196" s="5"/>
      <c r="Z196" s="5"/>
      <c r="AA196" s="5"/>
      <c r="AB196" s="5"/>
      <c r="AC196" s="5"/>
      <c r="AD196" s="5"/>
      <c r="AE196" s="5"/>
      <c r="AF196" s="5"/>
      <c r="AG196" s="14"/>
      <c r="AH196" s="14"/>
      <c r="AI196" s="14"/>
      <c r="AJ196" s="14"/>
      <c r="AK196" s="14"/>
      <c r="AL196" s="14"/>
      <c r="AM196" s="14"/>
      <c r="AN196" s="14"/>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c r="A197" s="5" t="str">
        <f>IFERROR(__xludf.DUMMYFUNCTION("""COMPUTED_VALUE"""),"Futatsukane")</f>
        <v>Futatsukane</v>
      </c>
      <c r="B197" s="5" t="str">
        <f>IFERROR(__xludf.DUMMYFUNCTION("""COMPUTED_VALUE"""),"CC")</f>
        <v>CC</v>
      </c>
      <c r="C197" s="5"/>
      <c r="D197" s="5" t="str">
        <f>IFERROR(__xludf.DUMMYFUNCTION("""COMPUTED_VALUE"""),"redfrogss")</f>
        <v>redfrogss</v>
      </c>
      <c r="E197" s="5">
        <f>IFERROR(__xludf.DUMMYFUNCTION("""COMPUTED_VALUE"""),0.0037075694444444443)</f>
        <v>0.003707569444</v>
      </c>
      <c r="F197" s="5" t="str">
        <f>IFERROR(__xludf.DUMMYFUNCTION("""COMPUTED_VALUE"""),"M.X GRMN-ATTACK-2")</f>
        <v>M.X GRMN-ATTACK-2</v>
      </c>
      <c r="G197" s="5" t="str">
        <f>IFERROR(__xludf.DUMMYFUNCTION("""COMPUTED_VALUE"""),"PCVR")</f>
        <v>PCVR</v>
      </c>
      <c r="H197" s="5" t="str">
        <f>IFERROR(__xludf.DUMMYFUNCTION("""COMPUTED_VALUE"""),"CVS")</f>
        <v>CVS</v>
      </c>
      <c r="I197" s="14" t="str">
        <f>IFERROR(__xludf.DUMMYFUNCTION("""COMPUTED_VALUE"""),"Nanamagari")</f>
        <v>Nanamagari</v>
      </c>
      <c r="J197" s="14" t="str">
        <f>IFERROR(__xludf.DUMMYFUNCTION("""COMPUTED_VALUE"""),"DH")</f>
        <v>DH</v>
      </c>
      <c r="K197" s="14" t="str">
        <f>IFERROR(__xludf.DUMMYFUNCTION("""COMPUTED_VALUE"""),"Jintei ")</f>
        <v>Jintei </v>
      </c>
      <c r="L197" s="14" t="str">
        <f>IFERROR(__xludf.DUMMYFUNCTION("""COMPUTED_VALUE"""),"StarRiver Arts")</f>
        <v>StarRiver Arts</v>
      </c>
      <c r="M197" s="48">
        <f>IFERROR(__xludf.DUMMYFUNCTION("""COMPUTED_VALUE"""),0.002403553240740741)</f>
        <v>0.002403553241</v>
      </c>
      <c r="N197" s="14" t="str">
        <f>IFERROR(__xludf.DUMMYFUNCTION("""COMPUTED_VALUE"""),"EK9C (Civic Type-R)")</f>
        <v>EK9C (Civic Type-R)</v>
      </c>
      <c r="O197" s="14" t="str">
        <f>IFERROR(__xludf.DUMMYFUNCTION("""COMPUTED_VALUE"""),"PC")</f>
        <v>PC</v>
      </c>
      <c r="P197" s="14" t="str">
        <f>IFERROR(__xludf.DUMMYFUNCTION("""COMPUTED_VALUE"""),"Sacc")</f>
        <v>Sacc</v>
      </c>
      <c r="Q197" s="5"/>
      <c r="R197" s="5"/>
      <c r="S197" s="5"/>
      <c r="T197" s="5"/>
      <c r="U197" s="5"/>
      <c r="V197" s="5"/>
      <c r="W197" s="5"/>
      <c r="X197" s="5"/>
      <c r="Y197" s="5"/>
      <c r="Z197" s="5"/>
      <c r="AA197" s="5"/>
      <c r="AB197" s="5"/>
      <c r="AC197" s="5"/>
      <c r="AD197" s="5"/>
      <c r="AE197" s="5"/>
      <c r="AF197" s="5"/>
      <c r="AG197" s="14"/>
      <c r="AH197" s="14"/>
      <c r="AI197" s="14"/>
      <c r="AJ197" s="14"/>
      <c r="AK197" s="14"/>
      <c r="AL197" s="14"/>
      <c r="AM197" s="14"/>
      <c r="AN197" s="14"/>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c r="A198" s="5"/>
      <c r="B198" s="5"/>
      <c r="C198" s="5"/>
      <c r="D198" s="5"/>
      <c r="E198" s="5"/>
      <c r="F198" s="5"/>
      <c r="G198" s="5"/>
      <c r="H198" s="5"/>
      <c r="I198" s="14" t="str">
        <f>IFERROR(__xludf.DUMMYFUNCTION("""COMPUTED_VALUE"""),"Nanamagari")</f>
        <v>Nanamagari</v>
      </c>
      <c r="J198" s="14" t="str">
        <f>IFERROR(__xludf.DUMMYFUNCTION("""COMPUTED_VALUE"""),"UH")</f>
        <v>UH</v>
      </c>
      <c r="K198" s="14" t="str">
        <f>IFERROR(__xludf.DUMMYFUNCTION("""COMPUTED_VALUE"""),"Jintei")</f>
        <v>Jintei</v>
      </c>
      <c r="L198" s="14" t="str">
        <f>IFERROR(__xludf.DUMMYFUNCTION("""COMPUTED_VALUE"""),"Test Driver")</f>
        <v>Test Driver</v>
      </c>
      <c r="M198" s="48">
        <f>IFERROR(__xludf.DUMMYFUNCTION("""COMPUTED_VALUE"""),0.006944444444444444)</f>
        <v>0.006944444444</v>
      </c>
      <c r="N198" s="14" t="str">
        <f>IFERROR(__xludf.DUMMYFUNCTION("""COMPUTED_VALUE"""),"EK9C (Civic Type-R)")</f>
        <v>EK9C (Civic Type-R)</v>
      </c>
      <c r="O198" s="14"/>
      <c r="P198" s="14" t="str">
        <f>IFERROR(__xludf.DUMMYFUNCTION("""COMPUTED_VALUE"""),"Sacc")</f>
        <v>Sacc</v>
      </c>
      <c r="Q198" s="5"/>
      <c r="R198" s="5"/>
      <c r="S198" s="5"/>
      <c r="T198" s="5"/>
      <c r="U198" s="5"/>
      <c r="V198" s="5"/>
      <c r="W198" s="5"/>
      <c r="X198" s="5"/>
      <c r="Y198" s="5"/>
      <c r="Z198" s="5"/>
      <c r="AA198" s="5"/>
      <c r="AB198" s="5"/>
      <c r="AC198" s="5"/>
      <c r="AD198" s="5"/>
      <c r="AE198" s="5"/>
      <c r="AF198" s="5"/>
      <c r="AG198" s="14"/>
      <c r="AH198" s="14"/>
      <c r="AI198" s="14"/>
      <c r="AJ198" s="14"/>
      <c r="AK198" s="14"/>
      <c r="AL198" s="14"/>
      <c r="AM198" s="14"/>
      <c r="AN198" s="14"/>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c r="A199" s="5"/>
      <c r="B199" s="5"/>
      <c r="C199" s="5"/>
      <c r="D199" s="5"/>
      <c r="E199" s="5"/>
      <c r="F199" s="5"/>
      <c r="G199" s="5"/>
      <c r="H199" s="5"/>
      <c r="I199" s="14"/>
      <c r="J199" s="14"/>
      <c r="K199" s="14"/>
      <c r="L199" s="14"/>
      <c r="M199" s="14"/>
      <c r="N199" s="14"/>
      <c r="O199" s="14"/>
      <c r="P199" s="14"/>
      <c r="Q199" s="5"/>
      <c r="R199" s="5"/>
      <c r="S199" s="5"/>
      <c r="T199" s="5"/>
      <c r="U199" s="5"/>
      <c r="V199" s="5"/>
      <c r="W199" s="5"/>
      <c r="X199" s="5"/>
      <c r="Y199" s="5"/>
      <c r="Z199" s="5"/>
      <c r="AA199" s="5"/>
      <c r="AB199" s="5"/>
      <c r="AC199" s="5"/>
      <c r="AD199" s="5"/>
      <c r="AE199" s="5"/>
      <c r="AF199" s="5"/>
      <c r="AG199" s="14"/>
      <c r="AH199" s="14"/>
      <c r="AI199" s="14"/>
      <c r="AJ199" s="14"/>
      <c r="AK199" s="14"/>
      <c r="AL199" s="14"/>
      <c r="AM199" s="14"/>
      <c r="AN199" s="14"/>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c r="A200" s="5"/>
      <c r="B200" s="5"/>
      <c r="C200" s="5"/>
      <c r="D200" s="5"/>
      <c r="E200" s="5"/>
      <c r="F200" s="5"/>
      <c r="G200" s="5"/>
      <c r="H200" s="5"/>
      <c r="I200" s="14"/>
      <c r="J200" s="14"/>
      <c r="K200" s="14"/>
      <c r="L200" s="14"/>
      <c r="M200" s="14"/>
      <c r="N200" s="14"/>
      <c r="O200" s="14"/>
      <c r="P200" s="14"/>
      <c r="Q200" s="5"/>
      <c r="R200" s="5"/>
      <c r="S200" s="5"/>
      <c r="T200" s="5"/>
      <c r="U200" s="5"/>
      <c r="V200" s="5"/>
      <c r="W200" s="5"/>
      <c r="X200" s="5"/>
      <c r="Y200" s="5"/>
      <c r="Z200" s="5"/>
      <c r="AA200" s="5"/>
      <c r="AB200" s="5"/>
      <c r="AC200" s="5"/>
      <c r="AD200" s="5"/>
      <c r="AE200" s="5"/>
      <c r="AF200" s="5"/>
      <c r="AG200" s="14"/>
      <c r="AH200" s="14"/>
      <c r="AI200" s="14"/>
      <c r="AJ200" s="14"/>
      <c r="AK200" s="14"/>
      <c r="AL200" s="14"/>
      <c r="AM200" s="14"/>
      <c r="AN200" s="14"/>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c r="A201" s="5"/>
      <c r="B201" s="5"/>
      <c r="C201" s="5"/>
      <c r="D201" s="5"/>
      <c r="E201" s="5"/>
      <c r="F201" s="5"/>
      <c r="G201" s="5"/>
      <c r="H201" s="5"/>
      <c r="I201" s="68" t="s">
        <v>200</v>
      </c>
      <c r="Q201" s="5"/>
      <c r="R201" s="5"/>
      <c r="S201" s="5"/>
      <c r="T201" s="5"/>
      <c r="U201" s="5"/>
      <c r="V201" s="5"/>
      <c r="W201" s="5"/>
      <c r="X201" s="5"/>
      <c r="Y201" s="5"/>
      <c r="Z201" s="5"/>
      <c r="AA201" s="5"/>
      <c r="AB201" s="5"/>
      <c r="AC201" s="5"/>
      <c r="AD201" s="5"/>
      <c r="AE201" s="5"/>
      <c r="AF201" s="5"/>
      <c r="AG201" s="14"/>
      <c r="AH201" s="14"/>
      <c r="AI201" s="14"/>
      <c r="AJ201" s="14"/>
      <c r="AK201" s="14"/>
      <c r="AL201" s="14"/>
      <c r="AM201" s="14"/>
      <c r="AN201" s="14"/>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c r="A202" s="5"/>
      <c r="B202" s="5"/>
      <c r="C202" s="5"/>
      <c r="D202" s="5"/>
      <c r="E202" s="5"/>
      <c r="F202" s="5"/>
      <c r="G202" s="5"/>
      <c r="H202" s="5"/>
      <c r="I202" s="14" t="str">
        <f>IFERROR(__xludf.DUMMYFUNCTION("LET(
  車輛, I201,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202" s="14" t="str">
        <f>IFERROR(__xludf.DUMMYFUNCTION("""COMPUTED_VALUE"""),"路線")</f>
        <v>路線</v>
      </c>
      <c r="K202" s="14" t="str">
        <f>IFERROR(__xludf.DUMMYFUNCTION("""COMPUTED_VALUE"""),"作者")</f>
        <v>作者</v>
      </c>
      <c r="L202" s="14" t="str">
        <f>IFERROR(__xludf.DUMMYFUNCTION("""COMPUTED_VALUE"""),"玩家")</f>
        <v>玩家</v>
      </c>
      <c r="M202" s="14" t="str">
        <f>IFERROR(__xludf.DUMMYFUNCTION("""COMPUTED_VALUE"""),"時間")</f>
        <v>時間</v>
      </c>
      <c r="N202" s="14" t="str">
        <f>IFERROR(__xludf.DUMMYFUNCTION("""COMPUTED_VALUE"""),"車輛")</f>
        <v>車輛</v>
      </c>
      <c r="O202" s="14" t="str">
        <f>IFERROR(__xludf.DUMMYFUNCTION("""COMPUTED_VALUE"""),"平台")</f>
        <v>平台</v>
      </c>
      <c r="P202" s="14" t="str">
        <f>IFERROR(__xludf.DUMMYFUNCTION("""COMPUTED_VALUE"""),"系統")</f>
        <v>系統</v>
      </c>
      <c r="Q202" s="5"/>
      <c r="R202" s="5"/>
      <c r="S202" s="5"/>
      <c r="T202" s="5"/>
      <c r="U202" s="5"/>
      <c r="V202" s="5"/>
      <c r="W202" s="5"/>
      <c r="X202" s="5"/>
      <c r="Y202" s="5"/>
      <c r="Z202" s="5"/>
      <c r="AA202" s="5"/>
      <c r="AB202" s="5"/>
      <c r="AC202" s="5"/>
      <c r="AD202" s="5"/>
      <c r="AE202" s="5"/>
      <c r="AF202" s="5"/>
      <c r="AG202" s="14"/>
      <c r="AH202" s="14"/>
      <c r="AI202" s="14"/>
      <c r="AJ202" s="14"/>
      <c r="AK202" s="14"/>
      <c r="AL202" s="14"/>
      <c r="AM202" s="14"/>
      <c r="AN202" s="14"/>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c r="A203" s="5"/>
      <c r="B203" s="5"/>
      <c r="C203" s="5"/>
      <c r="D203" s="5"/>
      <c r="E203" s="5"/>
      <c r="F203" s="5"/>
      <c r="G203" s="5"/>
      <c r="H203" s="5"/>
      <c r="I203" s="14" t="str">
        <f>IFERROR(__xludf.DUMMYFUNCTION("""COMPUTED_VALUE"""),"Tsubaki")</f>
        <v>Tsubaki</v>
      </c>
      <c r="J203" s="14" t="str">
        <f>IFERROR(__xludf.DUMMYFUNCTION("""COMPUTED_VALUE"""),"DH")</f>
        <v>DH</v>
      </c>
      <c r="K203" s="14" t="str">
        <f>IFERROR(__xludf.DUMMYFUNCTION("""COMPUTED_VALUE"""),"Jintei ")</f>
        <v>Jintei </v>
      </c>
      <c r="L203" s="14" t="str">
        <f>IFERROR(__xludf.DUMMYFUNCTION("""COMPUTED_VALUE"""),"『Sigma』")</f>
        <v>『Sigma』</v>
      </c>
      <c r="M203" s="48">
        <f>IFERROR(__xludf.DUMMYFUNCTION("""COMPUTED_VALUE"""),0.0026316203703703705)</f>
        <v>0.00263162037</v>
      </c>
      <c r="N203" s="14" t="str">
        <f>IFERROR(__xludf.DUMMYFUNCTION("""COMPUTED_VALUE"""),"FL5 (Civic Type-R)")</f>
        <v>FL5 (Civic Type-R)</v>
      </c>
      <c r="O203" s="14" t="str">
        <f>IFERROR(__xludf.DUMMYFUNCTION("""COMPUTED_VALUE"""),"PC")</f>
        <v>PC</v>
      </c>
      <c r="P203" s="14" t="str">
        <f>IFERROR(__xludf.DUMMYFUNCTION("""COMPUTED_VALUE"""),"Sacc")</f>
        <v>Sacc</v>
      </c>
      <c r="Q203" s="5"/>
      <c r="R203" s="5"/>
      <c r="S203" s="5"/>
      <c r="T203" s="5"/>
      <c r="U203" s="5"/>
      <c r="V203" s="5"/>
      <c r="W203" s="5"/>
      <c r="X203" s="5"/>
      <c r="Y203" s="5"/>
      <c r="Z203" s="5"/>
      <c r="AA203" s="5"/>
      <c r="AB203" s="5"/>
      <c r="AC203" s="5"/>
      <c r="AD203" s="5"/>
      <c r="AE203" s="5"/>
      <c r="AF203" s="5"/>
      <c r="AG203" s="14"/>
      <c r="AH203" s="14"/>
      <c r="AI203" s="14"/>
      <c r="AJ203" s="14"/>
      <c r="AK203" s="14"/>
      <c r="AL203" s="14"/>
      <c r="AM203" s="14"/>
      <c r="AN203" s="14"/>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c r="A204" s="5"/>
      <c r="B204" s="5"/>
      <c r="C204" s="5"/>
      <c r="D204" s="5"/>
      <c r="E204" s="5"/>
      <c r="F204" s="5"/>
      <c r="G204" s="5"/>
      <c r="H204" s="5"/>
      <c r="I204" s="14" t="str">
        <f>IFERROR(__xludf.DUMMYFUNCTION("""COMPUTED_VALUE"""),"Tsubaki")</f>
        <v>Tsubaki</v>
      </c>
      <c r="J204" s="14" t="str">
        <f>IFERROR(__xludf.DUMMYFUNCTION("""COMPUTED_VALUE"""),"UH")</f>
        <v>UH</v>
      </c>
      <c r="K204" s="14" t="str">
        <f>IFERROR(__xludf.DUMMYFUNCTION("""COMPUTED_VALUE"""),"Jintei ")</f>
        <v>Jintei </v>
      </c>
      <c r="L204" s="14" t="str">
        <f>IFERROR(__xludf.DUMMYFUNCTION("""COMPUTED_VALUE"""),"StarRiver Arts")</f>
        <v>StarRiver Arts</v>
      </c>
      <c r="M204" s="48">
        <f>IFERROR(__xludf.DUMMYFUNCTION("""COMPUTED_VALUE"""),0.0029947916666666664)</f>
        <v>0.002994791667</v>
      </c>
      <c r="N204" s="14" t="str">
        <f>IFERROR(__xludf.DUMMYFUNCTION("""COMPUTED_VALUE"""),"FL5 (Civic Type-R)")</f>
        <v>FL5 (Civic Type-R)</v>
      </c>
      <c r="O204" s="14" t="str">
        <f>IFERROR(__xludf.DUMMYFUNCTION("""COMPUTED_VALUE"""),"PC")</f>
        <v>PC</v>
      </c>
      <c r="P204" s="14" t="str">
        <f>IFERROR(__xludf.DUMMYFUNCTION("""COMPUTED_VALUE"""),"Sacc")</f>
        <v>Sacc</v>
      </c>
      <c r="Q204" s="5"/>
      <c r="R204" s="5"/>
      <c r="S204" s="5"/>
      <c r="T204" s="5"/>
      <c r="U204" s="5"/>
      <c r="V204" s="5"/>
      <c r="W204" s="5"/>
      <c r="X204" s="5"/>
      <c r="Y204" s="5"/>
      <c r="Z204" s="5"/>
      <c r="AA204" s="5"/>
      <c r="AB204" s="5"/>
      <c r="AC204" s="5"/>
      <c r="AD204" s="5"/>
      <c r="AE204" s="5"/>
      <c r="AF204" s="5"/>
      <c r="AG204" s="14"/>
      <c r="AH204" s="14"/>
      <c r="AI204" s="14"/>
      <c r="AJ204" s="14"/>
      <c r="AK204" s="14"/>
      <c r="AL204" s="14"/>
      <c r="AM204" s="14"/>
      <c r="AN204" s="14"/>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c r="A205" s="5"/>
      <c r="B205" s="5"/>
      <c r="C205" s="5"/>
      <c r="D205" s="5"/>
      <c r="E205" s="5"/>
      <c r="F205" s="5"/>
      <c r="G205" s="5"/>
      <c r="H205" s="5"/>
      <c r="I205" s="14"/>
      <c r="J205" s="14"/>
      <c r="K205" s="14"/>
      <c r="L205" s="14"/>
      <c r="M205" s="48"/>
      <c r="N205" s="14"/>
      <c r="O205" s="14"/>
      <c r="P205" s="14"/>
      <c r="Q205" s="5"/>
      <c r="R205" s="5"/>
      <c r="S205" s="5"/>
      <c r="T205" s="5"/>
      <c r="U205" s="5"/>
      <c r="V205" s="5"/>
      <c r="W205" s="5"/>
      <c r="X205" s="5"/>
      <c r="Y205" s="5"/>
      <c r="Z205" s="5"/>
      <c r="AA205" s="5"/>
      <c r="AB205" s="5"/>
      <c r="AC205" s="5"/>
      <c r="AD205" s="5"/>
      <c r="AE205" s="5"/>
      <c r="AF205" s="5"/>
      <c r="AG205" s="14"/>
      <c r="AH205" s="14"/>
      <c r="AI205" s="14"/>
      <c r="AJ205" s="14"/>
      <c r="AK205" s="14"/>
      <c r="AL205" s="14"/>
      <c r="AM205" s="14"/>
      <c r="AN205" s="14"/>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c r="A206" s="5"/>
      <c r="B206" s="5"/>
      <c r="C206" s="5"/>
      <c r="D206" s="5"/>
      <c r="E206" s="5"/>
      <c r="F206" s="5"/>
      <c r="G206" s="5"/>
      <c r="H206" s="5"/>
      <c r="I206" s="14"/>
      <c r="J206" s="14"/>
      <c r="K206" s="14"/>
      <c r="L206" s="14"/>
      <c r="M206" s="14"/>
      <c r="N206" s="14"/>
      <c r="O206" s="14"/>
      <c r="P206" s="14"/>
      <c r="Q206" s="5"/>
      <c r="R206" s="5"/>
      <c r="S206" s="5"/>
      <c r="T206" s="5"/>
      <c r="U206" s="5"/>
      <c r="V206" s="5"/>
      <c r="W206" s="5"/>
      <c r="X206" s="5"/>
      <c r="Y206" s="5"/>
      <c r="Z206" s="5"/>
      <c r="AA206" s="5"/>
      <c r="AB206" s="5"/>
      <c r="AC206" s="5"/>
      <c r="AD206" s="5"/>
      <c r="AE206" s="5"/>
      <c r="AF206" s="5"/>
      <c r="AG206" s="14"/>
      <c r="AH206" s="14"/>
      <c r="AI206" s="14"/>
      <c r="AJ206" s="14"/>
      <c r="AK206" s="14"/>
      <c r="AL206" s="14"/>
      <c r="AM206" s="14"/>
      <c r="AN206" s="14"/>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c r="A207" s="5"/>
      <c r="B207" s="5"/>
      <c r="C207" s="5"/>
      <c r="D207" s="5"/>
      <c r="E207" s="5"/>
      <c r="F207" s="5"/>
      <c r="G207" s="5"/>
      <c r="H207" s="5"/>
      <c r="I207" s="68" t="s">
        <v>201</v>
      </c>
      <c r="Q207" s="5"/>
      <c r="R207" s="5"/>
      <c r="S207" s="5"/>
      <c r="T207" s="5"/>
      <c r="U207" s="5"/>
      <c r="V207" s="5"/>
      <c r="W207" s="5"/>
      <c r="X207" s="5"/>
      <c r="Y207" s="5"/>
      <c r="Z207" s="5"/>
      <c r="AA207" s="5"/>
      <c r="AB207" s="5"/>
      <c r="AC207" s="5"/>
      <c r="AD207" s="5"/>
      <c r="AE207" s="5"/>
      <c r="AF207" s="5"/>
      <c r="AG207" s="14"/>
      <c r="AH207" s="14"/>
      <c r="AI207" s="14"/>
      <c r="AJ207" s="14"/>
      <c r="AK207" s="14"/>
      <c r="AL207" s="14"/>
      <c r="AM207" s="14"/>
      <c r="AN207" s="14"/>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c r="A208" s="5"/>
      <c r="B208" s="5"/>
      <c r="C208" s="5"/>
      <c r="D208" s="5"/>
      <c r="E208" s="5"/>
      <c r="F208" s="5"/>
      <c r="G208" s="5"/>
      <c r="H208" s="5"/>
      <c r="I208" s="14" t="str">
        <f>IFERROR(__xludf.DUMMYFUNCTION("LET(
  車輛, I207,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208" s="14" t="str">
        <f>IFERROR(__xludf.DUMMYFUNCTION("""COMPUTED_VALUE"""),"路線")</f>
        <v>路線</v>
      </c>
      <c r="K208" s="14" t="str">
        <f>IFERROR(__xludf.DUMMYFUNCTION("""COMPUTED_VALUE"""),"作者")</f>
        <v>作者</v>
      </c>
      <c r="L208" s="14" t="str">
        <f>IFERROR(__xludf.DUMMYFUNCTION("""COMPUTED_VALUE"""),"玩家")</f>
        <v>玩家</v>
      </c>
      <c r="M208" s="14" t="str">
        <f>IFERROR(__xludf.DUMMYFUNCTION("""COMPUTED_VALUE"""),"時間")</f>
        <v>時間</v>
      </c>
      <c r="N208" s="14" t="str">
        <f>IFERROR(__xludf.DUMMYFUNCTION("""COMPUTED_VALUE"""),"車輛")</f>
        <v>車輛</v>
      </c>
      <c r="O208" s="14" t="str">
        <f>IFERROR(__xludf.DUMMYFUNCTION("""COMPUTED_VALUE"""),"平台")</f>
        <v>平台</v>
      </c>
      <c r="P208" s="14" t="str">
        <f>IFERROR(__xludf.DUMMYFUNCTION("""COMPUTED_VALUE"""),"系統")</f>
        <v>系統</v>
      </c>
      <c r="Q208" s="5"/>
      <c r="R208" s="5"/>
      <c r="S208" s="5"/>
      <c r="T208" s="5"/>
      <c r="U208" s="5"/>
      <c r="V208" s="5"/>
      <c r="W208" s="5"/>
      <c r="X208" s="5"/>
      <c r="Y208" s="5"/>
      <c r="Z208" s="5"/>
      <c r="AA208" s="5"/>
      <c r="AB208" s="5"/>
      <c r="AC208" s="5"/>
      <c r="AD208" s="5"/>
      <c r="AE208" s="5"/>
      <c r="AF208" s="5"/>
      <c r="AG208" s="14"/>
      <c r="AH208" s="14"/>
      <c r="AI208" s="14"/>
      <c r="AJ208" s="14"/>
      <c r="AK208" s="14"/>
      <c r="AL208" s="14"/>
      <c r="AM208" s="14"/>
      <c r="AN208" s="14"/>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c r="A209" s="5"/>
      <c r="B209" s="5"/>
      <c r="C209" s="5"/>
      <c r="D209" s="5"/>
      <c r="E209" s="5"/>
      <c r="F209" s="5"/>
      <c r="G209" s="5"/>
      <c r="H209" s="5"/>
      <c r="I209" s="14" t="str">
        <f>IFERROR(__xludf.DUMMYFUNCTION("""COMPUTED_VALUE"""),"Gunsai")</f>
        <v>Gunsai</v>
      </c>
      <c r="J209" s="14" t="str">
        <f>IFERROR(__xludf.DUMMYFUNCTION("""COMPUTED_VALUE"""),"FC")</f>
        <v>FC</v>
      </c>
      <c r="K209" s="14" t="str">
        <f>IFERROR(__xludf.DUMMYFUNCTION("""COMPUTED_VALUE"""),"Jintei")</f>
        <v>Jintei</v>
      </c>
      <c r="L209" s="14" t="str">
        <f>IFERROR(__xludf.DUMMYFUNCTION("""COMPUTED_VALUE"""),"Test Driver")</f>
        <v>Test Driver</v>
      </c>
      <c r="M209" s="48">
        <f>IFERROR(__xludf.DUMMYFUNCTION("""COMPUTED_VALUE"""),0.006944444444444444)</f>
        <v>0.006944444444</v>
      </c>
      <c r="N209" s="14" t="str">
        <f>IFERROR(__xludf.DUMMYFUNCTION("""COMPUTED_VALUE"""),"FD2 (Civic Type-R Seeker)")</f>
        <v>FD2 (Civic Type-R Seeker)</v>
      </c>
      <c r="O209" s="14"/>
      <c r="P209" s="14" t="str">
        <f>IFERROR(__xludf.DUMMYFUNCTION("""COMPUTED_VALUE"""),"Sacc")</f>
        <v>Sacc</v>
      </c>
      <c r="Q209" s="5"/>
      <c r="R209" s="5"/>
      <c r="S209" s="5"/>
      <c r="T209" s="5"/>
      <c r="U209" s="5"/>
      <c r="V209" s="5"/>
      <c r="W209" s="5"/>
      <c r="X209" s="5"/>
      <c r="Y209" s="5"/>
      <c r="Z209" s="5"/>
      <c r="AA209" s="5"/>
      <c r="AB209" s="5"/>
      <c r="AC209" s="5"/>
      <c r="AD209" s="5"/>
      <c r="AE209" s="5"/>
      <c r="AF209" s="5"/>
      <c r="AG209" s="14"/>
      <c r="AH209" s="14"/>
      <c r="AI209" s="14"/>
      <c r="AJ209" s="14"/>
      <c r="AK209" s="14"/>
      <c r="AL209" s="14"/>
      <c r="AM209" s="14"/>
      <c r="AN209" s="14"/>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c r="A210" s="5"/>
      <c r="B210" s="5"/>
      <c r="C210" s="5"/>
      <c r="D210" s="5"/>
      <c r="E210" s="5"/>
      <c r="F210" s="5"/>
      <c r="G210" s="5"/>
      <c r="H210" s="5"/>
      <c r="I210" s="27" t="str">
        <f>IFERROR(__xludf.DUMMYFUNCTION("""COMPUTED_VALUE"""),"Gunsai")</f>
        <v>Gunsai</v>
      </c>
      <c r="J210" s="27" t="str">
        <f>IFERROR(__xludf.DUMMYFUNCTION("""COMPUTED_VALUE"""),"C-A")</f>
        <v>C-A</v>
      </c>
      <c r="K210" s="27" t="str">
        <f>IFERROR(__xludf.DUMMYFUNCTION("""COMPUTED_VALUE"""),"Jintei")</f>
        <v>Jintei</v>
      </c>
      <c r="L210" s="27" t="str">
        <f>IFERROR(__xludf.DUMMYFUNCTION("""COMPUTED_VALUE"""),"Test Driver")</f>
        <v>Test Driver</v>
      </c>
      <c r="M210" s="27">
        <f>IFERROR(__xludf.DUMMYFUNCTION("""COMPUTED_VALUE"""),0.006944444444444444)</f>
        <v>0.006944444444</v>
      </c>
      <c r="N210" s="27" t="str">
        <f>IFERROR(__xludf.DUMMYFUNCTION("""COMPUTED_VALUE"""),"FD2 (Civic Type-R Seeker)")</f>
        <v>FD2 (Civic Type-R Seeker)</v>
      </c>
      <c r="O210" s="27"/>
      <c r="P210" s="27" t="str">
        <f>IFERROR(__xludf.DUMMYFUNCTION("""COMPUTED_VALUE"""),"Sacc")</f>
        <v>Sacc</v>
      </c>
      <c r="Q210" s="5"/>
      <c r="R210" s="5"/>
      <c r="S210" s="5"/>
      <c r="T210" s="5"/>
      <c r="U210" s="5"/>
      <c r="V210" s="5"/>
      <c r="W210" s="5"/>
      <c r="X210" s="5"/>
      <c r="Y210" s="5"/>
      <c r="Z210" s="5"/>
      <c r="AA210" s="5"/>
      <c r="AB210" s="5"/>
      <c r="AC210" s="5"/>
      <c r="AD210" s="5"/>
      <c r="AE210" s="5"/>
      <c r="AF210" s="5"/>
      <c r="AG210" s="14"/>
      <c r="AH210" s="14"/>
      <c r="AI210" s="14"/>
      <c r="AJ210" s="14"/>
      <c r="AK210" s="14"/>
      <c r="AL210" s="14"/>
      <c r="AM210" s="14"/>
      <c r="AN210" s="14"/>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c r="A211" s="5"/>
      <c r="B211" s="5"/>
      <c r="C211" s="5"/>
      <c r="D211" s="5"/>
      <c r="E211" s="5"/>
      <c r="F211" s="5"/>
      <c r="G211" s="5"/>
      <c r="H211" s="5"/>
      <c r="I211" s="27" t="str">
        <f>IFERROR(__xludf.DUMMYFUNCTION("""COMPUTED_VALUE"""),"Gunsai")</f>
        <v>Gunsai</v>
      </c>
      <c r="J211" s="27" t="str">
        <f>IFERROR(__xludf.DUMMYFUNCTION("""COMPUTED_VALUE"""),"C-B")</f>
        <v>C-B</v>
      </c>
      <c r="K211" s="27" t="str">
        <f>IFERROR(__xludf.DUMMYFUNCTION("""COMPUTED_VALUE"""),"Jintei")</f>
        <v>Jintei</v>
      </c>
      <c r="L211" s="27" t="str">
        <f>IFERROR(__xludf.DUMMYFUNCTION("""COMPUTED_VALUE"""),"Test Driver")</f>
        <v>Test Driver</v>
      </c>
      <c r="M211" s="27">
        <f>IFERROR(__xludf.DUMMYFUNCTION("""COMPUTED_VALUE"""),0.006944444444444444)</f>
        <v>0.006944444444</v>
      </c>
      <c r="N211" s="27" t="str">
        <f>IFERROR(__xludf.DUMMYFUNCTION("""COMPUTED_VALUE"""),"FD2 (Civic Type-R Seeker)")</f>
        <v>FD2 (Civic Type-R Seeker)</v>
      </c>
      <c r="O211" s="27"/>
      <c r="P211" s="27" t="str">
        <f>IFERROR(__xludf.DUMMYFUNCTION("""COMPUTED_VALUE"""),"Sacc")</f>
        <v>Sacc</v>
      </c>
      <c r="Q211" s="5"/>
      <c r="R211" s="5"/>
      <c r="S211" s="5"/>
      <c r="T211" s="5"/>
      <c r="U211" s="5"/>
      <c r="V211" s="5"/>
      <c r="W211" s="5"/>
      <c r="X211" s="5"/>
      <c r="Y211" s="5"/>
      <c r="Z211" s="5"/>
      <c r="AA211" s="5"/>
      <c r="AB211" s="5"/>
      <c r="AC211" s="5"/>
      <c r="AD211" s="5"/>
      <c r="AE211" s="5"/>
      <c r="AF211" s="5"/>
      <c r="AG211" s="14"/>
      <c r="AH211" s="14"/>
      <c r="AI211" s="14"/>
      <c r="AJ211" s="14"/>
      <c r="AK211" s="14"/>
      <c r="AL211" s="14"/>
      <c r="AM211" s="14"/>
      <c r="AN211" s="14"/>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c r="A212" s="5"/>
      <c r="B212" s="5"/>
      <c r="C212" s="5"/>
      <c r="D212" s="5"/>
      <c r="E212" s="5"/>
      <c r="F212" s="5"/>
      <c r="G212" s="5"/>
      <c r="H212" s="5"/>
      <c r="I212" s="27" t="str">
        <f>IFERROR(__xludf.DUMMYFUNCTION("""COMPUTED_VALUE"""),"GunsaiCP")</f>
        <v>GunsaiCP</v>
      </c>
      <c r="J212" s="27" t="str">
        <f>IFERROR(__xludf.DUMMYFUNCTION("""COMPUTED_VALUE"""),"FC")</f>
        <v>FC</v>
      </c>
      <c r="K212" s="27" t="str">
        <f>IFERROR(__xludf.DUMMYFUNCTION("""COMPUTED_VALUE"""),"Jintei")</f>
        <v>Jintei</v>
      </c>
      <c r="L212" s="27" t="str">
        <f>IFERROR(__xludf.DUMMYFUNCTION("""COMPUTED_VALUE"""),"Test Driver")</f>
        <v>Test Driver</v>
      </c>
      <c r="M212" s="27">
        <f>IFERROR(__xludf.DUMMYFUNCTION("""COMPUTED_VALUE"""),0.006944444444444444)</f>
        <v>0.006944444444</v>
      </c>
      <c r="N212" s="27" t="str">
        <f>IFERROR(__xludf.DUMMYFUNCTION("""COMPUTED_VALUE"""),"FD2 (Civic Type-R Seeker)")</f>
        <v>FD2 (Civic Type-R Seeker)</v>
      </c>
      <c r="O212" s="27"/>
      <c r="P212" s="27" t="str">
        <f>IFERROR(__xludf.DUMMYFUNCTION("""COMPUTED_VALUE"""),"Sacc")</f>
        <v>Sacc</v>
      </c>
      <c r="Q212" s="5"/>
      <c r="R212" s="5"/>
      <c r="S212" s="5"/>
      <c r="T212" s="5"/>
      <c r="U212" s="5"/>
      <c r="V212" s="5"/>
      <c r="W212" s="5"/>
      <c r="X212" s="5"/>
      <c r="Y212" s="5"/>
      <c r="Z212" s="5"/>
      <c r="AA212" s="5"/>
      <c r="AB212" s="5"/>
      <c r="AC212" s="5"/>
      <c r="AD212" s="5"/>
      <c r="AE212" s="5"/>
      <c r="AF212" s="5"/>
      <c r="AG212" s="14"/>
      <c r="AH212" s="14"/>
      <c r="AI212" s="14"/>
      <c r="AJ212" s="14"/>
      <c r="AK212" s="14"/>
      <c r="AL212" s="14"/>
      <c r="AM212" s="14"/>
      <c r="AN212" s="14"/>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c r="A213" s="5"/>
      <c r="B213" s="5"/>
      <c r="C213" s="5"/>
      <c r="D213" s="5"/>
      <c r="E213" s="5"/>
      <c r="F213" s="5"/>
      <c r="G213" s="5"/>
      <c r="H213" s="5"/>
      <c r="I213" s="14" t="str">
        <f>IFERROR(__xludf.DUMMYFUNCTION("""COMPUTED_VALUE"""),"GunsaiCP")</f>
        <v>GunsaiCP</v>
      </c>
      <c r="J213" s="14" t="str">
        <f>IFERROR(__xludf.DUMMYFUNCTION("""COMPUTED_VALUE"""),"C-A")</f>
        <v>C-A</v>
      </c>
      <c r="K213" s="14" t="str">
        <f>IFERROR(__xludf.DUMMYFUNCTION("""COMPUTED_VALUE"""),"Jintei")</f>
        <v>Jintei</v>
      </c>
      <c r="L213" s="14" t="str">
        <f>IFERROR(__xludf.DUMMYFUNCTION("""COMPUTED_VALUE"""),"Test Driver")</f>
        <v>Test Driver</v>
      </c>
      <c r="M213" s="48">
        <f>IFERROR(__xludf.DUMMYFUNCTION("""COMPUTED_VALUE"""),0.006944444444444444)</f>
        <v>0.006944444444</v>
      </c>
      <c r="N213" s="14" t="str">
        <f>IFERROR(__xludf.DUMMYFUNCTION("""COMPUTED_VALUE"""),"FD2 (Civic Type-R Seeker)")</f>
        <v>FD2 (Civic Type-R Seeker)</v>
      </c>
      <c r="O213" s="14"/>
      <c r="P213" s="14" t="str">
        <f>IFERROR(__xludf.DUMMYFUNCTION("""COMPUTED_VALUE"""),"Sacc")</f>
        <v>Sacc</v>
      </c>
      <c r="Q213" s="5"/>
      <c r="R213" s="5"/>
      <c r="S213" s="5"/>
      <c r="T213" s="5"/>
      <c r="U213" s="5"/>
      <c r="V213" s="5"/>
      <c r="W213" s="5"/>
      <c r="X213" s="5"/>
      <c r="Y213" s="5"/>
      <c r="Z213" s="5"/>
      <c r="AA213" s="5"/>
      <c r="AB213" s="5"/>
      <c r="AC213" s="5"/>
      <c r="AD213" s="5"/>
      <c r="AE213" s="5"/>
      <c r="AF213" s="5"/>
      <c r="AG213" s="14"/>
      <c r="AH213" s="14"/>
      <c r="AI213" s="14"/>
      <c r="AJ213" s="14"/>
      <c r="AK213" s="14"/>
      <c r="AL213" s="14"/>
      <c r="AM213" s="14"/>
      <c r="AN213" s="14"/>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c r="A214" s="5"/>
      <c r="B214" s="5"/>
      <c r="C214" s="5"/>
      <c r="D214" s="5"/>
      <c r="E214" s="5"/>
      <c r="F214" s="5"/>
      <c r="G214" s="5"/>
      <c r="H214" s="5"/>
      <c r="I214" s="14"/>
      <c r="J214" s="14"/>
      <c r="K214" s="14"/>
      <c r="L214" s="14"/>
      <c r="M214" s="48"/>
      <c r="N214" s="14"/>
      <c r="O214" s="14"/>
      <c r="P214" s="14"/>
      <c r="Q214" s="5"/>
      <c r="R214" s="5"/>
      <c r="S214" s="5"/>
      <c r="T214" s="5"/>
      <c r="U214" s="5"/>
      <c r="V214" s="5"/>
      <c r="W214" s="5"/>
      <c r="X214" s="5"/>
      <c r="Y214" s="5"/>
      <c r="Z214" s="5"/>
      <c r="AA214" s="5"/>
      <c r="AB214" s="5"/>
      <c r="AC214" s="5"/>
      <c r="AD214" s="5"/>
      <c r="AE214" s="5"/>
      <c r="AF214" s="5"/>
      <c r="AG214" s="14"/>
      <c r="AH214" s="14"/>
      <c r="AI214" s="14"/>
      <c r="AJ214" s="14"/>
      <c r="AK214" s="14"/>
      <c r="AL214" s="14"/>
      <c r="AM214" s="14"/>
      <c r="AN214" s="14"/>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c r="A215" s="5"/>
      <c r="B215" s="5"/>
      <c r="C215" s="5"/>
      <c r="D215" s="5"/>
      <c r="E215" s="5"/>
      <c r="F215" s="5"/>
      <c r="G215" s="5"/>
      <c r="H215" s="5"/>
      <c r="I215" s="14"/>
      <c r="J215" s="14"/>
      <c r="K215" s="14"/>
      <c r="L215" s="14"/>
      <c r="M215" s="14"/>
      <c r="N215" s="14"/>
      <c r="O215" s="14"/>
      <c r="P215" s="14"/>
      <c r="Q215" s="5"/>
      <c r="R215" s="5"/>
      <c r="S215" s="5"/>
      <c r="T215" s="5"/>
      <c r="U215" s="5"/>
      <c r="V215" s="5"/>
      <c r="W215" s="5"/>
      <c r="X215" s="5"/>
      <c r="Y215" s="5"/>
      <c r="Z215" s="5"/>
      <c r="AA215" s="5"/>
      <c r="AB215" s="5"/>
      <c r="AC215" s="5"/>
      <c r="AD215" s="5"/>
      <c r="AE215" s="5"/>
      <c r="AF215" s="5"/>
      <c r="AG215" s="14"/>
      <c r="AH215" s="14"/>
      <c r="AI215" s="14"/>
      <c r="AJ215" s="14"/>
      <c r="AK215" s="14"/>
      <c r="AL215" s="14"/>
      <c r="AM215" s="14"/>
      <c r="AN215" s="14"/>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c r="A216" s="5"/>
      <c r="B216" s="5"/>
      <c r="C216" s="5"/>
      <c r="D216" s="5"/>
      <c r="E216" s="5"/>
      <c r="F216" s="5"/>
      <c r="G216" s="5"/>
      <c r="H216" s="5"/>
      <c r="I216" s="68" t="s">
        <v>199</v>
      </c>
      <c r="Q216" s="5"/>
      <c r="R216" s="5"/>
      <c r="S216" s="5"/>
      <c r="T216" s="5"/>
      <c r="U216" s="5"/>
      <c r="V216" s="5"/>
      <c r="W216" s="5"/>
      <c r="X216" s="5"/>
      <c r="Y216" s="5"/>
      <c r="Z216" s="5"/>
      <c r="AA216" s="5"/>
      <c r="AB216" s="5"/>
      <c r="AC216" s="5"/>
      <c r="AD216" s="5"/>
      <c r="AE216" s="5"/>
      <c r="AF216" s="5"/>
      <c r="AG216" s="14"/>
      <c r="AH216" s="14"/>
      <c r="AI216" s="14"/>
      <c r="AJ216" s="14"/>
      <c r="AK216" s="14"/>
      <c r="AL216" s="14"/>
      <c r="AM216" s="14"/>
      <c r="AN216" s="14"/>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c r="A217" s="5"/>
      <c r="B217" s="5"/>
      <c r="C217" s="5"/>
      <c r="D217" s="5"/>
      <c r="E217" s="5"/>
      <c r="F217" s="5"/>
      <c r="G217" s="5"/>
      <c r="H217" s="5"/>
      <c r="I217" s="69" t="str">
        <f>IFERROR(__xludf.DUMMYFUNCTION("LET(
  車輛, I216,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217" s="14" t="str">
        <f>IFERROR(__xludf.DUMMYFUNCTION("""COMPUTED_VALUE"""),"路線")</f>
        <v>路線</v>
      </c>
      <c r="K217" s="14" t="str">
        <f>IFERROR(__xludf.DUMMYFUNCTION("""COMPUTED_VALUE"""),"作者")</f>
        <v>作者</v>
      </c>
      <c r="L217" s="14" t="str">
        <f>IFERROR(__xludf.DUMMYFUNCTION("""COMPUTED_VALUE"""),"玩家")</f>
        <v>玩家</v>
      </c>
      <c r="M217" s="14" t="str">
        <f>IFERROR(__xludf.DUMMYFUNCTION("""COMPUTED_VALUE"""),"時間")</f>
        <v>時間</v>
      </c>
      <c r="N217" s="14" t="str">
        <f>IFERROR(__xludf.DUMMYFUNCTION("""COMPUTED_VALUE"""),"車輛")</f>
        <v>車輛</v>
      </c>
      <c r="O217" s="14" t="str">
        <f>IFERROR(__xludf.DUMMYFUNCTION("""COMPUTED_VALUE"""),"平台")</f>
        <v>平台</v>
      </c>
      <c r="P217" s="14" t="str">
        <f>IFERROR(__xludf.DUMMYFUNCTION("""COMPUTED_VALUE"""),"系統")</f>
        <v>系統</v>
      </c>
      <c r="Q217" s="5"/>
      <c r="R217" s="5"/>
      <c r="S217" s="5"/>
      <c r="T217" s="5"/>
      <c r="U217" s="5"/>
      <c r="V217" s="5"/>
      <c r="W217" s="5"/>
      <c r="X217" s="5"/>
      <c r="Y217" s="5"/>
      <c r="Z217" s="5"/>
      <c r="AA217" s="5"/>
      <c r="AB217" s="5"/>
      <c r="AC217" s="5"/>
      <c r="AD217" s="5"/>
      <c r="AE217" s="5"/>
      <c r="AF217" s="5"/>
      <c r="AG217" s="14"/>
      <c r="AH217" s="14"/>
      <c r="AI217" s="14"/>
      <c r="AJ217" s="14"/>
      <c r="AK217" s="14"/>
      <c r="AL217" s="14"/>
      <c r="AM217" s="14"/>
      <c r="AN217" s="14"/>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c r="A218" s="5"/>
      <c r="B218" s="5"/>
      <c r="C218" s="5"/>
      <c r="D218" s="5"/>
      <c r="E218" s="5"/>
      <c r="F218" s="5"/>
      <c r="G218" s="5"/>
      <c r="H218" s="5"/>
      <c r="I218" s="14" t="str">
        <f>IFERROR(__xludf.DUMMYFUNCTION("""COMPUTED_VALUE"""),"Nanamagari")</f>
        <v>Nanamagari</v>
      </c>
      <c r="J218" s="14" t="str">
        <f>IFERROR(__xludf.DUMMYFUNCTION("""COMPUTED_VALUE"""),"DH")</f>
        <v>DH</v>
      </c>
      <c r="K218" s="14" t="str">
        <f>IFERROR(__xludf.DUMMYFUNCTION("""COMPUTED_VALUE"""),"Jintei ")</f>
        <v>Jintei </v>
      </c>
      <c r="L218" s="14" t="str">
        <f>IFERROR(__xludf.DUMMYFUNCTION("""COMPUTED_VALUE"""),"StarRiver Arts")</f>
        <v>StarRiver Arts</v>
      </c>
      <c r="M218" s="14">
        <f>IFERROR(__xludf.DUMMYFUNCTION("""COMPUTED_VALUE"""),0.002403553240740741)</f>
        <v>0.002403553241</v>
      </c>
      <c r="N218" s="14" t="str">
        <f>IFERROR(__xludf.DUMMYFUNCTION("""COMPUTED_VALUE"""),"EK9C (Civic Type-R)")</f>
        <v>EK9C (Civic Type-R)</v>
      </c>
      <c r="O218" s="14" t="str">
        <f>IFERROR(__xludf.DUMMYFUNCTION("""COMPUTED_VALUE"""),"PC")</f>
        <v>PC</v>
      </c>
      <c r="P218" s="14" t="str">
        <f>IFERROR(__xludf.DUMMYFUNCTION("""COMPUTED_VALUE"""),"Sacc")</f>
        <v>Sacc</v>
      </c>
      <c r="Q218" s="5"/>
      <c r="R218" s="5"/>
      <c r="S218" s="5"/>
      <c r="T218" s="5"/>
      <c r="U218" s="5"/>
      <c r="V218" s="5"/>
      <c r="W218" s="5"/>
      <c r="X218" s="5"/>
      <c r="Y218" s="5"/>
      <c r="Z218" s="5"/>
      <c r="AA218" s="5"/>
      <c r="AB218" s="5"/>
      <c r="AC218" s="5"/>
      <c r="AD218" s="5"/>
      <c r="AE218" s="5"/>
      <c r="AF218" s="5"/>
      <c r="AG218" s="14"/>
      <c r="AH218" s="14"/>
      <c r="AI218" s="14"/>
      <c r="AJ218" s="14"/>
      <c r="AK218" s="14"/>
      <c r="AL218" s="14"/>
      <c r="AM218" s="14"/>
      <c r="AN218" s="14"/>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c r="A219" s="5"/>
      <c r="B219" s="5"/>
      <c r="C219" s="5"/>
      <c r="D219" s="5"/>
      <c r="E219" s="5"/>
      <c r="F219" s="5"/>
      <c r="G219" s="5"/>
      <c r="H219" s="5"/>
      <c r="I219" s="14" t="str">
        <f>IFERROR(__xludf.DUMMYFUNCTION("""COMPUTED_VALUE"""),"Nanamagari")</f>
        <v>Nanamagari</v>
      </c>
      <c r="J219" s="14" t="str">
        <f>IFERROR(__xludf.DUMMYFUNCTION("""COMPUTED_VALUE"""),"UH")</f>
        <v>UH</v>
      </c>
      <c r="K219" s="14" t="str">
        <f>IFERROR(__xludf.DUMMYFUNCTION("""COMPUTED_VALUE"""),"Jintei")</f>
        <v>Jintei</v>
      </c>
      <c r="L219" s="14" t="str">
        <f>IFERROR(__xludf.DUMMYFUNCTION("""COMPUTED_VALUE"""),"Test Driver")</f>
        <v>Test Driver</v>
      </c>
      <c r="M219" s="14">
        <f>IFERROR(__xludf.DUMMYFUNCTION("""COMPUTED_VALUE"""),0.006944444444444444)</f>
        <v>0.006944444444</v>
      </c>
      <c r="N219" s="14" t="str">
        <f>IFERROR(__xludf.DUMMYFUNCTION("""COMPUTED_VALUE"""),"EK9C (Civic Type-R)")</f>
        <v>EK9C (Civic Type-R)</v>
      </c>
      <c r="O219" s="14"/>
      <c r="P219" s="14" t="str">
        <f>IFERROR(__xludf.DUMMYFUNCTION("""COMPUTED_VALUE"""),"Sacc")</f>
        <v>Sacc</v>
      </c>
      <c r="Q219" s="5"/>
      <c r="R219" s="5"/>
      <c r="S219" s="5"/>
      <c r="T219" s="5"/>
      <c r="U219" s="5"/>
      <c r="V219" s="5"/>
      <c r="W219" s="5"/>
      <c r="X219" s="5"/>
      <c r="Y219" s="5"/>
      <c r="Z219" s="5"/>
      <c r="AA219" s="5"/>
      <c r="AB219" s="5"/>
      <c r="AC219" s="5"/>
      <c r="AD219" s="5"/>
      <c r="AE219" s="5"/>
      <c r="AF219" s="5"/>
      <c r="AG219" s="14"/>
      <c r="AH219" s="14"/>
      <c r="AI219" s="14"/>
      <c r="AJ219" s="14"/>
      <c r="AK219" s="14"/>
      <c r="AL219" s="14"/>
      <c r="AM219" s="14"/>
      <c r="AN219" s="14"/>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c r="A220" s="5"/>
      <c r="B220" s="5"/>
      <c r="C220" s="5"/>
      <c r="D220" s="5"/>
      <c r="E220" s="5"/>
      <c r="F220" s="5"/>
      <c r="G220" s="5"/>
      <c r="H220" s="5"/>
      <c r="I220" s="14"/>
      <c r="J220" s="14"/>
      <c r="K220" s="14"/>
      <c r="L220" s="14"/>
      <c r="M220" s="14"/>
      <c r="N220" s="14"/>
      <c r="O220" s="14"/>
      <c r="P220" s="14"/>
      <c r="Q220" s="5"/>
      <c r="R220" s="5"/>
      <c r="S220" s="5"/>
      <c r="T220" s="5"/>
      <c r="U220" s="5"/>
      <c r="V220" s="5"/>
      <c r="W220" s="5"/>
      <c r="X220" s="5"/>
      <c r="Y220" s="5"/>
      <c r="Z220" s="5"/>
      <c r="AA220" s="5"/>
      <c r="AB220" s="5"/>
      <c r="AC220" s="5"/>
      <c r="AD220" s="5"/>
      <c r="AE220" s="5"/>
      <c r="AF220" s="5"/>
      <c r="AG220" s="14"/>
      <c r="AH220" s="14"/>
      <c r="AI220" s="14"/>
      <c r="AJ220" s="14"/>
      <c r="AK220" s="14"/>
      <c r="AL220" s="14"/>
      <c r="AM220" s="14"/>
      <c r="AN220" s="14"/>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c r="A221" s="5"/>
      <c r="B221" s="5"/>
      <c r="C221" s="5"/>
      <c r="D221" s="5"/>
      <c r="E221" s="5"/>
      <c r="F221" s="5"/>
      <c r="G221" s="5"/>
      <c r="H221" s="5"/>
      <c r="I221" s="14"/>
      <c r="J221" s="14"/>
      <c r="K221" s="14"/>
      <c r="L221" s="14"/>
      <c r="M221" s="14"/>
      <c r="N221" s="14"/>
      <c r="O221" s="14"/>
      <c r="P221" s="14"/>
      <c r="Q221" s="5"/>
      <c r="R221" s="5"/>
      <c r="S221" s="5"/>
      <c r="T221" s="5"/>
      <c r="U221" s="5"/>
      <c r="V221" s="5"/>
      <c r="W221" s="5"/>
      <c r="X221" s="5"/>
      <c r="Y221" s="5"/>
      <c r="Z221" s="5"/>
      <c r="AA221" s="5"/>
      <c r="AB221" s="5"/>
      <c r="AC221" s="5"/>
      <c r="AD221" s="5"/>
      <c r="AE221" s="5"/>
      <c r="AF221" s="5"/>
      <c r="AG221" s="14"/>
      <c r="AH221" s="14"/>
      <c r="AI221" s="14"/>
      <c r="AJ221" s="14"/>
      <c r="AK221" s="14"/>
      <c r="AL221" s="14"/>
      <c r="AM221" s="14"/>
      <c r="AN221" s="14"/>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row>
    <row r="222">
      <c r="A222" s="5"/>
      <c r="B222" s="5"/>
      <c r="C222" s="5"/>
      <c r="D222" s="5"/>
      <c r="E222" s="5"/>
      <c r="F222" s="5"/>
      <c r="G222" s="5"/>
      <c r="H222" s="5"/>
      <c r="I222" s="14"/>
      <c r="J222" s="14"/>
      <c r="K222" s="14"/>
      <c r="L222" s="14"/>
      <c r="M222" s="14"/>
      <c r="N222" s="14"/>
      <c r="O222" s="14"/>
      <c r="P222" s="14"/>
      <c r="Q222" s="5"/>
      <c r="R222" s="5"/>
      <c r="S222" s="5"/>
      <c r="T222" s="5"/>
      <c r="U222" s="5"/>
      <c r="V222" s="5"/>
      <c r="W222" s="5"/>
      <c r="X222" s="5"/>
      <c r="Y222" s="5"/>
      <c r="Z222" s="5"/>
      <c r="AA222" s="5"/>
      <c r="AB222" s="5"/>
      <c r="AC222" s="5"/>
      <c r="AD222" s="5"/>
      <c r="AE222" s="5"/>
      <c r="AF222" s="5"/>
      <c r="AG222" s="14"/>
      <c r="AH222" s="14"/>
      <c r="AI222" s="14"/>
      <c r="AJ222" s="14"/>
      <c r="AK222" s="14"/>
      <c r="AL222" s="14"/>
      <c r="AM222" s="14"/>
      <c r="AN222" s="14"/>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row>
    <row r="223">
      <c r="A223" s="5"/>
      <c r="B223" s="5"/>
      <c r="C223" s="5"/>
      <c r="D223" s="5"/>
      <c r="E223" s="5"/>
      <c r="F223" s="5"/>
      <c r="G223" s="5"/>
      <c r="H223" s="5"/>
      <c r="I223" s="71" t="s">
        <v>202</v>
      </c>
      <c r="Q223" s="5"/>
      <c r="R223" s="5"/>
      <c r="S223" s="5"/>
      <c r="T223" s="5"/>
      <c r="U223" s="5"/>
      <c r="V223" s="5"/>
      <c r="W223" s="5"/>
      <c r="X223" s="5"/>
      <c r="Y223" s="5"/>
      <c r="Z223" s="5"/>
      <c r="AA223" s="5"/>
      <c r="AB223" s="5"/>
      <c r="AC223" s="5"/>
      <c r="AD223" s="5"/>
      <c r="AE223" s="5"/>
      <c r="AF223" s="5"/>
      <c r="AG223" s="14"/>
      <c r="AH223" s="14"/>
      <c r="AI223" s="14"/>
      <c r="AJ223" s="14"/>
      <c r="AK223" s="14"/>
      <c r="AL223" s="14"/>
      <c r="AM223" s="14"/>
      <c r="AN223" s="14"/>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row>
    <row r="224">
      <c r="A224" s="5"/>
      <c r="B224" s="5"/>
      <c r="C224" s="5"/>
      <c r="D224" s="5"/>
      <c r="E224" s="5"/>
      <c r="F224" s="5"/>
      <c r="G224" s="5"/>
      <c r="H224" s="5"/>
      <c r="I224" s="14" t="str">
        <f>IFERROR(__xludf.DUMMYFUNCTION("LET(
  車輛, I223,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224" s="14" t="str">
        <f>IFERROR(__xludf.DUMMYFUNCTION("""COMPUTED_VALUE"""),"路線")</f>
        <v>路線</v>
      </c>
      <c r="K224" s="14" t="str">
        <f>IFERROR(__xludf.DUMMYFUNCTION("""COMPUTED_VALUE"""),"作者")</f>
        <v>作者</v>
      </c>
      <c r="L224" s="14" t="str">
        <f>IFERROR(__xludf.DUMMYFUNCTION("""COMPUTED_VALUE"""),"玩家")</f>
        <v>玩家</v>
      </c>
      <c r="M224" s="14" t="str">
        <f>IFERROR(__xludf.DUMMYFUNCTION("""COMPUTED_VALUE"""),"時間")</f>
        <v>時間</v>
      </c>
      <c r="N224" s="14" t="str">
        <f>IFERROR(__xludf.DUMMYFUNCTION("""COMPUTED_VALUE"""),"車輛")</f>
        <v>車輛</v>
      </c>
      <c r="O224" s="14" t="str">
        <f>IFERROR(__xludf.DUMMYFUNCTION("""COMPUTED_VALUE"""),"平台")</f>
        <v>平台</v>
      </c>
      <c r="P224" s="14" t="str">
        <f>IFERROR(__xludf.DUMMYFUNCTION("""COMPUTED_VALUE"""),"系統")</f>
        <v>系統</v>
      </c>
      <c r="Q224" s="5"/>
      <c r="R224" s="5"/>
      <c r="S224" s="5"/>
      <c r="T224" s="5"/>
      <c r="U224" s="5"/>
      <c r="V224" s="5"/>
      <c r="W224" s="5"/>
      <c r="X224" s="5"/>
      <c r="Y224" s="5"/>
      <c r="Z224" s="5"/>
      <c r="AA224" s="5"/>
      <c r="AB224" s="5"/>
      <c r="AC224" s="5"/>
      <c r="AD224" s="5"/>
      <c r="AE224" s="5"/>
      <c r="AF224" s="5"/>
      <c r="AG224" s="14"/>
      <c r="AH224" s="14"/>
      <c r="AI224" s="14"/>
      <c r="AJ224" s="14"/>
      <c r="AK224" s="14"/>
      <c r="AL224" s="14"/>
      <c r="AM224" s="14"/>
      <c r="AN224" s="14"/>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row>
    <row r="225">
      <c r="A225" s="5"/>
      <c r="B225" s="5"/>
      <c r="C225" s="5"/>
      <c r="D225" s="5"/>
      <c r="E225" s="5"/>
      <c r="F225" s="5"/>
      <c r="G225" s="5"/>
      <c r="H225" s="5"/>
      <c r="I225" s="14" t="str">
        <f>IFERROR(__xludf.DUMMYFUNCTION("""COMPUTED_VALUE"""),"Futatsukane")</f>
        <v>Futatsukane</v>
      </c>
      <c r="J225" s="14" t="str">
        <f>IFERROR(__xludf.DUMMYFUNCTION("""COMPUTED_VALUE"""),"CC")</f>
        <v>CC</v>
      </c>
      <c r="K225" s="14"/>
      <c r="L225" s="14" t="str">
        <f>IFERROR(__xludf.DUMMYFUNCTION("""COMPUTED_VALUE"""),"redfrogss")</f>
        <v>redfrogss</v>
      </c>
      <c r="M225" s="48">
        <f>IFERROR(__xludf.DUMMYFUNCTION("""COMPUTED_VALUE"""),0.0032924421296296295)</f>
        <v>0.00329244213</v>
      </c>
      <c r="N225" s="14" t="str">
        <f>IFERROR(__xludf.DUMMYFUNCTION("""COMPUTED_VALUE"""),"DC5-ATTACK-1 (Integra)")</f>
        <v>DC5-ATTACK-1 (Integra)</v>
      </c>
      <c r="O225" s="14" t="str">
        <f>IFERROR(__xludf.DUMMYFUNCTION("""COMPUTED_VALUE"""),"PCVR")</f>
        <v>PCVR</v>
      </c>
      <c r="P225" s="14" t="str">
        <f>IFERROR(__xludf.DUMMYFUNCTION("""COMPUTED_VALUE"""),"CVS")</f>
        <v>CVS</v>
      </c>
      <c r="Q225" s="5"/>
      <c r="R225" s="5"/>
      <c r="S225" s="5"/>
      <c r="T225" s="5"/>
      <c r="U225" s="5"/>
      <c r="V225" s="5"/>
      <c r="W225" s="5"/>
      <c r="X225" s="5"/>
      <c r="Y225" s="5"/>
      <c r="Z225" s="5"/>
      <c r="AA225" s="5"/>
      <c r="AB225" s="5"/>
      <c r="AC225" s="5"/>
      <c r="AD225" s="5"/>
      <c r="AE225" s="5"/>
      <c r="AF225" s="5"/>
      <c r="AG225" s="14"/>
      <c r="AH225" s="14"/>
      <c r="AI225" s="14"/>
      <c r="AJ225" s="14"/>
      <c r="AK225" s="14"/>
      <c r="AL225" s="14"/>
      <c r="AM225" s="14"/>
      <c r="AN225" s="14"/>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row>
    <row r="226">
      <c r="A226" s="5"/>
      <c r="B226" s="5"/>
      <c r="C226" s="5"/>
      <c r="D226" s="5"/>
      <c r="E226" s="5"/>
      <c r="F226" s="5"/>
      <c r="G226" s="5"/>
      <c r="H226" s="5"/>
      <c r="I226" s="14"/>
      <c r="J226" s="14"/>
      <c r="K226" s="14"/>
      <c r="L226" s="14"/>
      <c r="M226" s="14"/>
      <c r="N226" s="14"/>
      <c r="O226" s="14"/>
      <c r="P226" s="14"/>
      <c r="Q226" s="5"/>
      <c r="R226" s="5"/>
      <c r="S226" s="5"/>
      <c r="T226" s="5"/>
      <c r="U226" s="5"/>
      <c r="V226" s="5"/>
      <c r="W226" s="5"/>
      <c r="X226" s="5"/>
      <c r="Y226" s="5"/>
      <c r="Z226" s="5"/>
      <c r="AA226" s="5"/>
      <c r="AB226" s="5"/>
      <c r="AC226" s="5"/>
      <c r="AD226" s="5"/>
      <c r="AE226" s="5"/>
      <c r="AF226" s="5"/>
      <c r="AG226" s="14"/>
      <c r="AH226" s="14"/>
      <c r="AI226" s="14"/>
      <c r="AJ226" s="14"/>
      <c r="AK226" s="14"/>
      <c r="AL226" s="14"/>
      <c r="AM226" s="14"/>
      <c r="AN226" s="14"/>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row>
    <row r="227">
      <c r="A227" s="5"/>
      <c r="B227" s="5"/>
      <c r="C227" s="5"/>
      <c r="D227" s="5"/>
      <c r="E227" s="5"/>
      <c r="F227" s="5"/>
      <c r="G227" s="5"/>
      <c r="H227" s="5"/>
      <c r="I227" s="14"/>
      <c r="J227" s="14"/>
      <c r="K227" s="14"/>
      <c r="L227" s="14"/>
      <c r="M227" s="14"/>
      <c r="N227" s="14"/>
      <c r="O227" s="14"/>
      <c r="P227" s="14"/>
      <c r="Q227" s="5"/>
      <c r="R227" s="5"/>
      <c r="S227" s="5"/>
      <c r="T227" s="5"/>
      <c r="U227" s="5"/>
      <c r="V227" s="5"/>
      <c r="W227" s="5"/>
      <c r="X227" s="5"/>
      <c r="Y227" s="5"/>
      <c r="Z227" s="5"/>
      <c r="AA227" s="5"/>
      <c r="AB227" s="5"/>
      <c r="AC227" s="5"/>
      <c r="AD227" s="5"/>
      <c r="AE227" s="5"/>
      <c r="AF227" s="5"/>
      <c r="AG227" s="14"/>
      <c r="AH227" s="14"/>
      <c r="AI227" s="14"/>
      <c r="AJ227" s="14"/>
      <c r="AK227" s="14"/>
      <c r="AL227" s="14"/>
      <c r="AM227" s="14"/>
      <c r="AN227" s="14"/>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row>
    <row r="228">
      <c r="A228" s="5"/>
      <c r="B228" s="5"/>
      <c r="C228" s="5"/>
      <c r="D228" s="5"/>
      <c r="E228" s="5"/>
      <c r="F228" s="5"/>
      <c r="G228" s="5"/>
      <c r="H228" s="5"/>
      <c r="I228" s="71" t="s">
        <v>203</v>
      </c>
      <c r="Q228" s="5"/>
      <c r="R228" s="5"/>
      <c r="S228" s="5"/>
      <c r="T228" s="5"/>
      <c r="U228" s="5"/>
      <c r="V228" s="5"/>
      <c r="W228" s="5"/>
      <c r="X228" s="5"/>
      <c r="Y228" s="5"/>
      <c r="Z228" s="5"/>
      <c r="AA228" s="5"/>
      <c r="AB228" s="5"/>
      <c r="AC228" s="5"/>
      <c r="AD228" s="5"/>
      <c r="AE228" s="5"/>
      <c r="AF228" s="5"/>
      <c r="AG228" s="14"/>
      <c r="AH228" s="14"/>
      <c r="AI228" s="14"/>
      <c r="AJ228" s="14"/>
      <c r="AK228" s="14"/>
      <c r="AL228" s="14"/>
      <c r="AM228" s="14"/>
      <c r="AN228" s="14"/>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row>
    <row r="229">
      <c r="A229" s="5"/>
      <c r="B229" s="5"/>
      <c r="C229" s="5"/>
      <c r="D229" s="5"/>
      <c r="E229" s="5"/>
      <c r="F229" s="5"/>
      <c r="G229" s="5"/>
      <c r="H229" s="5"/>
      <c r="I229" s="14" t="str">
        <f>IFERROR(__xludf.DUMMYFUNCTION("LET(
  車輛, I228,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229" s="14" t="str">
        <f>IFERROR(__xludf.DUMMYFUNCTION("""COMPUTED_VALUE"""),"路線")</f>
        <v>路線</v>
      </c>
      <c r="K229" s="14" t="str">
        <f>IFERROR(__xludf.DUMMYFUNCTION("""COMPUTED_VALUE"""),"作者")</f>
        <v>作者</v>
      </c>
      <c r="L229" s="14" t="str">
        <f>IFERROR(__xludf.DUMMYFUNCTION("""COMPUTED_VALUE"""),"玩家")</f>
        <v>玩家</v>
      </c>
      <c r="M229" s="14" t="str">
        <f>IFERROR(__xludf.DUMMYFUNCTION("""COMPUTED_VALUE"""),"時間")</f>
        <v>時間</v>
      </c>
      <c r="N229" s="14" t="str">
        <f>IFERROR(__xludf.DUMMYFUNCTION("""COMPUTED_VALUE"""),"車輛")</f>
        <v>車輛</v>
      </c>
      <c r="O229" s="14" t="str">
        <f>IFERROR(__xludf.DUMMYFUNCTION("""COMPUTED_VALUE"""),"平台")</f>
        <v>平台</v>
      </c>
      <c r="P229" s="14" t="str">
        <f>IFERROR(__xludf.DUMMYFUNCTION("""COMPUTED_VALUE"""),"系統")</f>
        <v>系統</v>
      </c>
      <c r="Q229" s="5"/>
      <c r="R229" s="5"/>
      <c r="S229" s="5"/>
      <c r="T229" s="5"/>
      <c r="U229" s="5"/>
      <c r="V229" s="5"/>
      <c r="W229" s="5"/>
      <c r="X229" s="5"/>
      <c r="Y229" s="5"/>
      <c r="Z229" s="5"/>
      <c r="AA229" s="5"/>
      <c r="AB229" s="5"/>
      <c r="AC229" s="5"/>
      <c r="AD229" s="5"/>
      <c r="AE229" s="5"/>
      <c r="AF229" s="5"/>
      <c r="AG229" s="14"/>
      <c r="AH229" s="14"/>
      <c r="AI229" s="14"/>
      <c r="AJ229" s="14"/>
      <c r="AK229" s="14"/>
      <c r="AL229" s="14"/>
      <c r="AM229" s="14"/>
      <c r="AN229" s="14"/>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row>
    <row r="230">
      <c r="A230" s="5"/>
      <c r="B230" s="5"/>
      <c r="C230" s="5"/>
      <c r="D230" s="5"/>
      <c r="E230" s="5"/>
      <c r="F230" s="5"/>
      <c r="G230" s="5"/>
      <c r="H230" s="5"/>
      <c r="I230" s="14" t="str">
        <f>IFERROR(__xludf.DUMMYFUNCTION("""COMPUTED_VALUE"""),"Kamidomarizaka")</f>
        <v>Kamidomarizaka</v>
      </c>
      <c r="J230" s="14" t="str">
        <f>IFERROR(__xludf.DUMMYFUNCTION("""COMPUTED_VALUE"""),"DH")</f>
        <v>DH</v>
      </c>
      <c r="K230" s="14" t="str">
        <f>IFERROR(__xludf.DUMMYFUNCTION("""COMPUTED_VALUE"""),"Calme")</f>
        <v>Calme</v>
      </c>
      <c r="L230" s="14" t="str">
        <f>IFERROR(__xludf.DUMMYFUNCTION("""COMPUTED_VALUE"""),"BannRaven")</f>
        <v>BannRaven</v>
      </c>
      <c r="M230" s="48">
        <f>IFERROR(__xludf.DUMMYFUNCTION("""COMPUTED_VALUE"""),0.0015639004629629631)</f>
        <v>0.001563900463</v>
      </c>
      <c r="N230" s="14" t="str">
        <f>IFERROR(__xludf.DUMMYFUNCTION("""COMPUTED_VALUE"""),"NSX")</f>
        <v>NSX</v>
      </c>
      <c r="O230" s="14" t="str">
        <f>IFERROR(__xludf.DUMMYFUNCTION("""COMPUTED_VALUE"""),"PCVR")</f>
        <v>PCVR</v>
      </c>
      <c r="P230" s="14" t="str">
        <f>IFERROR(__xludf.DUMMYFUNCTION("""COMPUTED_VALUE"""),"CVS")</f>
        <v>CVS</v>
      </c>
      <c r="Q230" s="5"/>
      <c r="R230" s="5"/>
      <c r="S230" s="5"/>
      <c r="T230" s="5"/>
      <c r="U230" s="5"/>
      <c r="V230" s="5"/>
      <c r="W230" s="5"/>
      <c r="X230" s="5"/>
      <c r="Y230" s="5"/>
      <c r="Z230" s="5"/>
      <c r="AA230" s="5"/>
      <c r="AB230" s="5"/>
      <c r="AC230" s="5"/>
      <c r="AD230" s="5"/>
      <c r="AE230" s="5"/>
      <c r="AF230" s="5"/>
      <c r="AG230" s="14"/>
      <c r="AH230" s="14"/>
      <c r="AI230" s="14"/>
      <c r="AJ230" s="14"/>
      <c r="AK230" s="14"/>
      <c r="AL230" s="14"/>
      <c r="AM230" s="14"/>
      <c r="AN230" s="14"/>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row>
    <row r="231">
      <c r="A231" s="5"/>
      <c r="B231" s="5"/>
      <c r="C231" s="5"/>
      <c r="D231" s="5"/>
      <c r="E231" s="5"/>
      <c r="F231" s="5"/>
      <c r="G231" s="5"/>
      <c r="H231" s="5"/>
      <c r="I231" s="14" t="str">
        <f>IFERROR(__xludf.DUMMYFUNCTION("""COMPUTED_VALUE"""),"Futatsukane")</f>
        <v>Futatsukane</v>
      </c>
      <c r="J231" s="14" t="str">
        <f>IFERROR(__xludf.DUMMYFUNCTION("""COMPUTED_VALUE"""),"CC")</f>
        <v>CC</v>
      </c>
      <c r="K231" s="14" t="str">
        <f>IFERROR(__xludf.DUMMYFUNCTION("""COMPUTED_VALUE"""),"Calme")</f>
        <v>Calme</v>
      </c>
      <c r="L231" s="14" t="str">
        <f>IFERROR(__xludf.DUMMYFUNCTION("""COMPUTED_VALUE"""),"BannRaven")</f>
        <v>BannRaven</v>
      </c>
      <c r="M231" s="48">
        <f>IFERROR(__xludf.DUMMYFUNCTION("""COMPUTED_VALUE"""),0.003347800925925926)</f>
        <v>0.003347800926</v>
      </c>
      <c r="N231" s="14" t="str">
        <f>IFERROR(__xludf.DUMMYFUNCTION("""COMPUTED_VALUE"""),"NSX")</f>
        <v>NSX</v>
      </c>
      <c r="O231" s="14" t="str">
        <f>IFERROR(__xludf.DUMMYFUNCTION("""COMPUTED_VALUE"""),"PCVR")</f>
        <v>PCVR</v>
      </c>
      <c r="P231" s="14" t="str">
        <f>IFERROR(__xludf.DUMMYFUNCTION("""COMPUTED_VALUE"""),"CVS")</f>
        <v>CVS</v>
      </c>
      <c r="Q231" s="5"/>
      <c r="R231" s="5"/>
      <c r="S231" s="5"/>
      <c r="T231" s="5"/>
      <c r="U231" s="5"/>
      <c r="V231" s="5"/>
      <c r="W231" s="5"/>
      <c r="X231" s="5"/>
      <c r="Y231" s="5"/>
      <c r="Z231" s="5"/>
      <c r="AA231" s="5"/>
      <c r="AB231" s="5"/>
      <c r="AC231" s="5"/>
      <c r="AD231" s="5"/>
      <c r="AE231" s="5"/>
      <c r="AF231" s="5"/>
      <c r="AG231" s="14"/>
      <c r="AH231" s="14"/>
      <c r="AI231" s="14"/>
      <c r="AJ231" s="14"/>
      <c r="AK231" s="14"/>
      <c r="AL231" s="14"/>
      <c r="AM231" s="14"/>
      <c r="AN231" s="14"/>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row>
    <row r="232">
      <c r="A232" s="5"/>
      <c r="B232" s="5"/>
      <c r="C232" s="5"/>
      <c r="D232" s="5"/>
      <c r="E232" s="5"/>
      <c r="F232" s="5"/>
      <c r="G232" s="5"/>
      <c r="H232" s="5"/>
      <c r="I232" s="14" t="str">
        <f>IFERROR(__xludf.DUMMYFUNCTION("""COMPUTED_VALUE"""),"AkinaUN")</f>
        <v>AkinaUN</v>
      </c>
      <c r="J232" s="14" t="str">
        <f>IFERROR(__xludf.DUMMYFUNCTION("""COMPUTED_VALUE"""),"DH")</f>
        <v>DH</v>
      </c>
      <c r="K232" s="14" t="str">
        <f>IFERROR(__xludf.DUMMYFUNCTION("""COMPUTED_VALUE"""),"Jintei")</f>
        <v>Jintei</v>
      </c>
      <c r="L232" s="14" t="str">
        <f>IFERROR(__xludf.DUMMYFUNCTION("""COMPUTED_VALUE"""),"Test Driver")</f>
        <v>Test Driver</v>
      </c>
      <c r="M232" s="14">
        <f>IFERROR(__xludf.DUMMYFUNCTION("""COMPUTED_VALUE"""),0.006944444444444444)</f>
        <v>0.006944444444</v>
      </c>
      <c r="N232" s="14" t="str">
        <f>IFERROR(__xludf.DUMMYFUNCTION("""COMPUTED_VALUE"""),"NSX")</f>
        <v>NSX</v>
      </c>
      <c r="O232" s="14"/>
      <c r="P232" s="14" t="str">
        <f>IFERROR(__xludf.DUMMYFUNCTION("""COMPUTED_VALUE"""),"Sacc")</f>
        <v>Sacc</v>
      </c>
      <c r="Q232" s="5"/>
      <c r="R232" s="5"/>
      <c r="S232" s="5"/>
      <c r="T232" s="5"/>
      <c r="U232" s="5"/>
      <c r="V232" s="5"/>
      <c r="W232" s="5"/>
      <c r="X232" s="5"/>
      <c r="Y232" s="5"/>
      <c r="Z232" s="5"/>
      <c r="AA232" s="5"/>
      <c r="AB232" s="5"/>
      <c r="AC232" s="5"/>
      <c r="AD232" s="5"/>
      <c r="AE232" s="5"/>
      <c r="AF232" s="5"/>
      <c r="AG232" s="14"/>
      <c r="AH232" s="14"/>
      <c r="AI232" s="14"/>
      <c r="AJ232" s="14"/>
      <c r="AK232" s="14"/>
      <c r="AL232" s="14"/>
      <c r="AM232" s="14"/>
      <c r="AN232" s="14"/>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row>
    <row r="233">
      <c r="A233" s="5"/>
      <c r="B233" s="5"/>
      <c r="C233" s="5"/>
      <c r="D233" s="5"/>
      <c r="E233" s="5"/>
      <c r="F233" s="5"/>
      <c r="G233" s="5"/>
      <c r="H233" s="5"/>
      <c r="I233" s="14" t="str">
        <f>IFERROR(__xludf.DUMMYFUNCTION("""COMPUTED_VALUE"""),"AkinaUN")</f>
        <v>AkinaUN</v>
      </c>
      <c r="J233" s="14" t="str">
        <f>IFERROR(__xludf.DUMMYFUNCTION("""COMPUTED_VALUE"""),"UH")</f>
        <v>UH</v>
      </c>
      <c r="K233" s="14" t="str">
        <f>IFERROR(__xludf.DUMMYFUNCTION("""COMPUTED_VALUE"""),"Jintei")</f>
        <v>Jintei</v>
      </c>
      <c r="L233" s="14" t="str">
        <f>IFERROR(__xludf.DUMMYFUNCTION("""COMPUTED_VALUE"""),"Test Driver")</f>
        <v>Test Driver</v>
      </c>
      <c r="M233" s="14">
        <f>IFERROR(__xludf.DUMMYFUNCTION("""COMPUTED_VALUE"""),0.006944444444444444)</f>
        <v>0.006944444444</v>
      </c>
      <c r="N233" s="14" t="str">
        <f>IFERROR(__xludf.DUMMYFUNCTION("""COMPUTED_VALUE"""),"NSX")</f>
        <v>NSX</v>
      </c>
      <c r="O233" s="14"/>
      <c r="P233" s="14" t="str">
        <f>IFERROR(__xludf.DUMMYFUNCTION("""COMPUTED_VALUE"""),"Sacc")</f>
        <v>Sacc</v>
      </c>
      <c r="Q233" s="5"/>
      <c r="R233" s="5"/>
      <c r="S233" s="5"/>
      <c r="T233" s="5"/>
      <c r="U233" s="5"/>
      <c r="V233" s="5"/>
      <c r="W233" s="5"/>
      <c r="X233" s="5"/>
      <c r="Y233" s="5"/>
      <c r="Z233" s="5"/>
      <c r="AA233" s="5"/>
      <c r="AB233" s="5"/>
      <c r="AC233" s="5"/>
      <c r="AD233" s="5"/>
      <c r="AE233" s="5"/>
      <c r="AF233" s="5"/>
      <c r="AG233" s="14"/>
      <c r="AH233" s="14"/>
      <c r="AI233" s="14"/>
      <c r="AJ233" s="14"/>
      <c r="AK233" s="14"/>
      <c r="AL233" s="14"/>
      <c r="AM233" s="14"/>
      <c r="AN233" s="14"/>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row>
    <row r="234">
      <c r="A234" s="5"/>
      <c r="B234" s="5"/>
      <c r="C234" s="5"/>
      <c r="D234" s="5"/>
      <c r="E234" s="5"/>
      <c r="F234" s="5"/>
      <c r="G234" s="5"/>
      <c r="H234" s="5"/>
      <c r="I234" s="14"/>
      <c r="J234" s="14"/>
      <c r="K234" s="14"/>
      <c r="L234" s="14"/>
      <c r="M234" s="14"/>
      <c r="N234" s="14"/>
      <c r="O234" s="14"/>
      <c r="P234" s="14"/>
      <c r="Q234" s="5"/>
      <c r="R234" s="5"/>
      <c r="S234" s="5"/>
      <c r="T234" s="5"/>
      <c r="U234" s="5"/>
      <c r="V234" s="5"/>
      <c r="W234" s="5"/>
      <c r="X234" s="5"/>
      <c r="Y234" s="5"/>
      <c r="Z234" s="5"/>
      <c r="AA234" s="5"/>
      <c r="AB234" s="5"/>
      <c r="AC234" s="5"/>
      <c r="AD234" s="5"/>
      <c r="AE234" s="5"/>
      <c r="AF234" s="5"/>
      <c r="AG234" s="14"/>
      <c r="AH234" s="14"/>
      <c r="AI234" s="14"/>
      <c r="AJ234" s="14"/>
      <c r="AK234" s="14"/>
      <c r="AL234" s="14"/>
      <c r="AM234" s="14"/>
      <c r="AN234" s="14"/>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row>
    <row r="235">
      <c r="A235" s="5"/>
      <c r="B235" s="5"/>
      <c r="C235" s="5"/>
      <c r="D235" s="5"/>
      <c r="E235" s="5"/>
      <c r="F235" s="5"/>
      <c r="G235" s="5"/>
      <c r="H235" s="5"/>
      <c r="I235" s="71" t="s">
        <v>204</v>
      </c>
      <c r="Q235" s="5"/>
      <c r="R235" s="5"/>
      <c r="S235" s="5"/>
      <c r="T235" s="5"/>
      <c r="U235" s="5"/>
      <c r="V235" s="5"/>
      <c r="W235" s="5"/>
      <c r="X235" s="5"/>
      <c r="Y235" s="5"/>
      <c r="Z235" s="5"/>
      <c r="AA235" s="5"/>
      <c r="AB235" s="5"/>
      <c r="AC235" s="5"/>
      <c r="AD235" s="5"/>
      <c r="AE235" s="5"/>
      <c r="AF235" s="5"/>
      <c r="AG235" s="14"/>
      <c r="AH235" s="14"/>
      <c r="AI235" s="14"/>
      <c r="AJ235" s="14"/>
      <c r="AK235" s="14"/>
      <c r="AL235" s="14"/>
      <c r="AM235" s="14"/>
      <c r="AN235" s="14"/>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row>
    <row r="236">
      <c r="A236" s="5"/>
      <c r="B236" s="5"/>
      <c r="C236" s="5"/>
      <c r="D236" s="5"/>
      <c r="E236" s="5"/>
      <c r="F236" s="5"/>
      <c r="G236" s="5"/>
      <c r="H236" s="5"/>
      <c r="I236" s="14" t="str">
        <f>IFERROR(__xludf.DUMMYFUNCTION("LET(
  車輛, I235,
  原始, FILTER('歷史紀錄'!$B$2:$I1010, '歷史紀錄'!$G$2:$G1010=車輛),
  鍵, MAP(INDEX(原始,,1), INDEX(原始,,2), LAMBDA(b, r, b&amp;""|""&amp;r)),
  唯一鍵, UNIQUE(鍵),
  結果, MAP(唯一鍵, LAMBDA(k,
    LET(
      篩選, FILTER(原始, MAP(INDEX(原始,,1), INDEX(原始,,2), LAMBDA(b, r, "&amp;"b&amp;""|""&amp;r))=k),
      最小, MIN(INDEX(篩選,,5)),
      INDEX(篩選, MATCH(最小, INDEX(篩選,,5), 0), )
    )
  )),
  表頭, {""賽道名稱"",""路線"",""作者"",""玩家"",""時間"",""車輛"",""平台"",""系統""},
  VSTACK(表頭, 結果)
)
"),"賽道名稱")</f>
        <v>賽道名稱</v>
      </c>
      <c r="J236" s="14" t="str">
        <f>IFERROR(__xludf.DUMMYFUNCTION("""COMPUTED_VALUE"""),"路線")</f>
        <v>路線</v>
      </c>
      <c r="K236" s="14" t="str">
        <f>IFERROR(__xludf.DUMMYFUNCTION("""COMPUTED_VALUE"""),"作者")</f>
        <v>作者</v>
      </c>
      <c r="L236" s="14" t="str">
        <f>IFERROR(__xludf.DUMMYFUNCTION("""COMPUTED_VALUE"""),"玩家")</f>
        <v>玩家</v>
      </c>
      <c r="M236" s="14" t="str">
        <f>IFERROR(__xludf.DUMMYFUNCTION("""COMPUTED_VALUE"""),"時間")</f>
        <v>時間</v>
      </c>
      <c r="N236" s="14" t="str">
        <f>IFERROR(__xludf.DUMMYFUNCTION("""COMPUTED_VALUE"""),"車輛")</f>
        <v>車輛</v>
      </c>
      <c r="O236" s="14" t="str">
        <f>IFERROR(__xludf.DUMMYFUNCTION("""COMPUTED_VALUE"""),"平台")</f>
        <v>平台</v>
      </c>
      <c r="P236" s="14" t="str">
        <f>IFERROR(__xludf.DUMMYFUNCTION("""COMPUTED_VALUE"""),"系統")</f>
        <v>系統</v>
      </c>
      <c r="Q236" s="5"/>
      <c r="R236" s="5"/>
      <c r="S236" s="5"/>
      <c r="T236" s="5"/>
      <c r="U236" s="5"/>
      <c r="V236" s="5"/>
      <c r="W236" s="5"/>
      <c r="X236" s="5"/>
      <c r="Y236" s="5"/>
      <c r="Z236" s="5"/>
      <c r="AA236" s="5"/>
      <c r="AB236" s="5"/>
      <c r="AC236" s="5"/>
      <c r="AD236" s="5"/>
      <c r="AE236" s="5"/>
      <c r="AF236" s="5"/>
      <c r="AG236" s="14"/>
      <c r="AH236" s="14"/>
      <c r="AI236" s="14"/>
      <c r="AJ236" s="14"/>
      <c r="AK236" s="14"/>
      <c r="AL236" s="14"/>
      <c r="AM236" s="14"/>
      <c r="AN236" s="14"/>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row>
    <row r="237">
      <c r="A237" s="5"/>
      <c r="B237" s="5"/>
      <c r="C237" s="5"/>
      <c r="D237" s="5"/>
      <c r="E237" s="5"/>
      <c r="F237" s="5"/>
      <c r="G237" s="5"/>
      <c r="H237" s="5"/>
      <c r="I237" s="14" t="str">
        <f>IFERROR(__xludf.DUMMYFUNCTION("""COMPUTED_VALUE"""),"Tsukuba")</f>
        <v>Tsukuba</v>
      </c>
      <c r="J237" s="14" t="str">
        <f>IFERROR(__xludf.DUMMYFUNCTION("""COMPUTED_VALUE"""),"Double")</f>
        <v>Double</v>
      </c>
      <c r="K237" s="14" t="str">
        <f>IFERROR(__xludf.DUMMYFUNCTION("""COMPUTED_VALUE"""),"Jintei")</f>
        <v>Jintei</v>
      </c>
      <c r="L237" s="14" t="str">
        <f>IFERROR(__xludf.DUMMYFUNCTION("""COMPUTED_VALUE"""),"Sakanakokokoko")</f>
        <v>Sakanakokokoko</v>
      </c>
      <c r="M237" s="48">
        <f>IFERROR(__xludf.DUMMYFUNCTION("""COMPUTED_VALUE"""),0.0029525462962962964)</f>
        <v>0.002952546296</v>
      </c>
      <c r="N237" s="14" t="str">
        <f>IFERROR(__xludf.DUMMYFUNCTION("""COMPUTED_VALUE"""),"AP1 (S2000)")</f>
        <v>AP1 (S2000)</v>
      </c>
      <c r="O237" s="14" t="str">
        <f>IFERROR(__xludf.DUMMYFUNCTION("""COMPUTED_VALUE"""),"PC")</f>
        <v>PC</v>
      </c>
      <c r="P237" s="14" t="str">
        <f>IFERROR(__xludf.DUMMYFUNCTION("""COMPUTED_VALUE"""),"Sacc")</f>
        <v>Sacc</v>
      </c>
      <c r="Q237" s="5"/>
      <c r="R237" s="5"/>
      <c r="S237" s="5"/>
      <c r="T237" s="5"/>
      <c r="U237" s="5"/>
      <c r="V237" s="5"/>
      <c r="W237" s="5"/>
      <c r="X237" s="5"/>
      <c r="Y237" s="5"/>
      <c r="Z237" s="5"/>
      <c r="AA237" s="5"/>
      <c r="AB237" s="5"/>
      <c r="AC237" s="5"/>
      <c r="AD237" s="5"/>
      <c r="AE237" s="5"/>
      <c r="AF237" s="5"/>
      <c r="AG237" s="14"/>
      <c r="AH237" s="14"/>
      <c r="AI237" s="14"/>
      <c r="AJ237" s="14"/>
      <c r="AK237" s="14"/>
      <c r="AL237" s="14"/>
      <c r="AM237" s="14"/>
      <c r="AN237" s="14"/>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row>
    <row r="238">
      <c r="A238" s="5"/>
      <c r="B238" s="5"/>
      <c r="C238" s="5"/>
      <c r="D238" s="5"/>
      <c r="E238" s="5"/>
      <c r="F238" s="5"/>
      <c r="G238" s="5"/>
      <c r="H238" s="5"/>
      <c r="I238" s="14" t="str">
        <f>IFERROR(__xludf.DUMMYFUNCTION("""COMPUTED_VALUE"""),"Tsukuba")</f>
        <v>Tsukuba</v>
      </c>
      <c r="J238" s="14" t="str">
        <f>IFERROR(__xludf.DUMMYFUNCTION("""COMPUTED_VALUE"""),"DH")</f>
        <v>DH</v>
      </c>
      <c r="K238" s="14" t="str">
        <f>IFERROR(__xludf.DUMMYFUNCTION("""COMPUTED_VALUE"""),"Jintei")</f>
        <v>Jintei</v>
      </c>
      <c r="L238" s="14" t="str">
        <f>IFERROR(__xludf.DUMMYFUNCTION("""COMPUTED_VALUE"""),"Test Driver")</f>
        <v>Test Driver</v>
      </c>
      <c r="M238" s="48">
        <f>IFERROR(__xludf.DUMMYFUNCTION("""COMPUTED_VALUE"""),0.006944444444444444)</f>
        <v>0.006944444444</v>
      </c>
      <c r="N238" s="14" t="str">
        <f>IFERROR(__xludf.DUMMYFUNCTION("""COMPUTED_VALUE"""),"AP1 (S2000)")</f>
        <v>AP1 (S2000)</v>
      </c>
      <c r="O238" s="14"/>
      <c r="P238" s="14" t="str">
        <f>IFERROR(__xludf.DUMMYFUNCTION("""COMPUTED_VALUE"""),"Sacc")</f>
        <v>Sacc</v>
      </c>
      <c r="Q238" s="5"/>
      <c r="R238" s="5"/>
      <c r="S238" s="5"/>
      <c r="T238" s="5"/>
      <c r="U238" s="5"/>
      <c r="V238" s="5"/>
      <c r="W238" s="5"/>
      <c r="X238" s="5"/>
      <c r="Y238" s="5"/>
      <c r="Z238" s="5"/>
      <c r="AA238" s="5"/>
      <c r="AB238" s="5"/>
      <c r="AC238" s="5"/>
      <c r="AD238" s="5"/>
      <c r="AE238" s="5"/>
      <c r="AF238" s="5"/>
      <c r="AG238" s="14"/>
      <c r="AH238" s="14"/>
      <c r="AI238" s="14"/>
      <c r="AJ238" s="14"/>
      <c r="AK238" s="14"/>
      <c r="AL238" s="14"/>
      <c r="AM238" s="14"/>
      <c r="AN238" s="14"/>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row>
    <row r="239">
      <c r="A239" s="5"/>
      <c r="B239" s="5"/>
      <c r="C239" s="5"/>
      <c r="D239" s="5"/>
      <c r="E239" s="5"/>
      <c r="F239" s="5"/>
      <c r="G239" s="5"/>
      <c r="H239" s="5"/>
      <c r="I239" s="14" t="str">
        <f>IFERROR(__xludf.DUMMYFUNCTION("""COMPUTED_VALUE"""),"Tsukuba")</f>
        <v>Tsukuba</v>
      </c>
      <c r="J239" s="14" t="str">
        <f>IFERROR(__xludf.DUMMYFUNCTION("""COMPUTED_VALUE"""),"UH")</f>
        <v>UH</v>
      </c>
      <c r="K239" s="14" t="str">
        <f>IFERROR(__xludf.DUMMYFUNCTION("""COMPUTED_VALUE"""),"Jintei")</f>
        <v>Jintei</v>
      </c>
      <c r="L239" s="14" t="str">
        <f>IFERROR(__xludf.DUMMYFUNCTION("""COMPUTED_VALUE"""),"Test Driver")</f>
        <v>Test Driver</v>
      </c>
      <c r="M239" s="48">
        <f>IFERROR(__xludf.DUMMYFUNCTION("""COMPUTED_VALUE"""),0.006944444444444444)</f>
        <v>0.006944444444</v>
      </c>
      <c r="N239" s="14" t="str">
        <f>IFERROR(__xludf.DUMMYFUNCTION("""COMPUTED_VALUE"""),"AP1 (S2000)")</f>
        <v>AP1 (S2000)</v>
      </c>
      <c r="O239" s="14"/>
      <c r="P239" s="14" t="str">
        <f>IFERROR(__xludf.DUMMYFUNCTION("""COMPUTED_VALUE"""),"Sacc")</f>
        <v>Sacc</v>
      </c>
      <c r="Q239" s="5"/>
      <c r="R239" s="5"/>
      <c r="S239" s="5"/>
      <c r="T239" s="5"/>
      <c r="U239" s="5"/>
      <c r="V239" s="5"/>
      <c r="W239" s="5"/>
      <c r="X239" s="5"/>
      <c r="Y239" s="5"/>
      <c r="Z239" s="5"/>
      <c r="AA239" s="5"/>
      <c r="AB239" s="5"/>
      <c r="AC239" s="5"/>
      <c r="AD239" s="5"/>
      <c r="AE239" s="5"/>
      <c r="AF239" s="5"/>
      <c r="AG239" s="14"/>
      <c r="AH239" s="14"/>
      <c r="AI239" s="14"/>
      <c r="AJ239" s="14"/>
      <c r="AK239" s="14"/>
      <c r="AL239" s="14"/>
      <c r="AM239" s="14"/>
      <c r="AN239" s="14"/>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row>
    <row r="240">
      <c r="A240" s="5"/>
      <c r="B240" s="5"/>
      <c r="C240" s="5"/>
      <c r="D240" s="5"/>
      <c r="E240" s="5"/>
      <c r="F240" s="5"/>
      <c r="G240" s="5"/>
      <c r="H240" s="5"/>
      <c r="I240" s="14" t="str">
        <f>IFERROR(__xludf.DUMMYFUNCTION("""COMPUTED_VALUE"""),"Tsukuba")</f>
        <v>Tsukuba</v>
      </c>
      <c r="J240" s="14" t="str">
        <f>IFERROR(__xludf.DUMMYFUNCTION("""COMPUTED_VALUE"""),"OB")</f>
        <v>OB</v>
      </c>
      <c r="K240" s="14" t="str">
        <f>IFERROR(__xludf.DUMMYFUNCTION("""COMPUTED_VALUE"""),"Jintei")</f>
        <v>Jintei</v>
      </c>
      <c r="L240" s="14" t="str">
        <f>IFERROR(__xludf.DUMMYFUNCTION("""COMPUTED_VALUE"""),"Test Driver")</f>
        <v>Test Driver</v>
      </c>
      <c r="M240" s="48">
        <f>IFERROR(__xludf.DUMMYFUNCTION("""COMPUTED_VALUE"""),0.006944444444444444)</f>
        <v>0.006944444444</v>
      </c>
      <c r="N240" s="14" t="str">
        <f>IFERROR(__xludf.DUMMYFUNCTION("""COMPUTED_VALUE"""),"AP1 (S2000)")</f>
        <v>AP1 (S2000)</v>
      </c>
      <c r="O240" s="14"/>
      <c r="P240" s="14" t="str">
        <f>IFERROR(__xludf.DUMMYFUNCTION("""COMPUTED_VALUE"""),"Sacc")</f>
        <v>Sacc</v>
      </c>
      <c r="Q240" s="5"/>
      <c r="R240" s="5"/>
      <c r="S240" s="5"/>
      <c r="T240" s="5"/>
      <c r="U240" s="5"/>
      <c r="V240" s="5"/>
      <c r="W240" s="5"/>
      <c r="X240" s="5"/>
      <c r="Y240" s="5"/>
      <c r="Z240" s="5"/>
      <c r="AA240" s="5"/>
      <c r="AB240" s="5"/>
      <c r="AC240" s="5"/>
      <c r="AD240" s="5"/>
      <c r="AE240" s="5"/>
      <c r="AF240" s="5"/>
      <c r="AG240" s="14"/>
      <c r="AH240" s="14"/>
      <c r="AI240" s="14"/>
      <c r="AJ240" s="14"/>
      <c r="AK240" s="14"/>
      <c r="AL240" s="14"/>
      <c r="AM240" s="14"/>
      <c r="AN240" s="14"/>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row>
    <row r="241">
      <c r="A241" s="5"/>
      <c r="B241" s="5"/>
      <c r="C241" s="5"/>
      <c r="D241" s="5"/>
      <c r="E241" s="5"/>
      <c r="F241" s="5"/>
      <c r="G241" s="5"/>
      <c r="H241" s="5"/>
      <c r="I241" s="14" t="str">
        <f>IFERROR(__xludf.DUMMYFUNCTION("""COMPUTED_VALUE"""),"Tsukuba")</f>
        <v>Tsukuba</v>
      </c>
      <c r="J241" s="14" t="str">
        <f>IFERROR(__xludf.DUMMYFUNCTION("""COMPUTED_VALUE"""),"IB")</f>
        <v>IB</v>
      </c>
      <c r="K241" s="14" t="str">
        <f>IFERROR(__xludf.DUMMYFUNCTION("""COMPUTED_VALUE"""),"Jintei")</f>
        <v>Jintei</v>
      </c>
      <c r="L241" s="14" t="str">
        <f>IFERROR(__xludf.DUMMYFUNCTION("""COMPUTED_VALUE"""),"Test Driver")</f>
        <v>Test Driver</v>
      </c>
      <c r="M241" s="48">
        <f>IFERROR(__xludf.DUMMYFUNCTION("""COMPUTED_VALUE"""),0.006944444444444444)</f>
        <v>0.006944444444</v>
      </c>
      <c r="N241" s="14" t="str">
        <f>IFERROR(__xludf.DUMMYFUNCTION("""COMPUTED_VALUE"""),"AP1 (S2000)")</f>
        <v>AP1 (S2000)</v>
      </c>
      <c r="O241" s="14"/>
      <c r="P241" s="14" t="str">
        <f>IFERROR(__xludf.DUMMYFUNCTION("""COMPUTED_VALUE"""),"Sacc")</f>
        <v>Sacc</v>
      </c>
      <c r="Q241" s="5"/>
      <c r="R241" s="5"/>
      <c r="S241" s="5"/>
      <c r="T241" s="5"/>
      <c r="U241" s="5"/>
      <c r="V241" s="5"/>
      <c r="W241" s="5"/>
      <c r="X241" s="5"/>
      <c r="Y241" s="5"/>
      <c r="Z241" s="5"/>
      <c r="AA241" s="5"/>
      <c r="AB241" s="5"/>
      <c r="AC241" s="5"/>
      <c r="AD241" s="5"/>
      <c r="AE241" s="5"/>
      <c r="AF241" s="5"/>
      <c r="AG241" s="14"/>
      <c r="AH241" s="14"/>
      <c r="AI241" s="14"/>
      <c r="AJ241" s="14"/>
      <c r="AK241" s="14"/>
      <c r="AL241" s="14"/>
      <c r="AM241" s="14"/>
      <c r="AN241" s="14"/>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row>
    <row r="242">
      <c r="A242" s="5"/>
      <c r="B242" s="5"/>
      <c r="C242" s="5"/>
      <c r="D242" s="5"/>
      <c r="E242" s="5"/>
      <c r="F242" s="5"/>
      <c r="G242" s="5"/>
      <c r="H242" s="5"/>
      <c r="I242" s="14" t="str">
        <f>IFERROR(__xludf.DUMMYFUNCTION("""COMPUTED_VALUE"""),"Tsukuba Snow")</f>
        <v>Tsukuba Snow</v>
      </c>
      <c r="J242" s="14" t="str">
        <f>IFERROR(__xludf.DUMMYFUNCTION("""COMPUTED_VALUE"""),"OB")</f>
        <v>OB</v>
      </c>
      <c r="K242" s="14" t="str">
        <f>IFERROR(__xludf.DUMMYFUNCTION("""COMPUTED_VALUE"""),"Jintei")</f>
        <v>Jintei</v>
      </c>
      <c r="L242" s="14" t="str">
        <f>IFERROR(__xludf.DUMMYFUNCTION("""COMPUTED_VALUE"""),"Test Driver")</f>
        <v>Test Driver</v>
      </c>
      <c r="M242" s="14">
        <f>IFERROR(__xludf.DUMMYFUNCTION("""COMPUTED_VALUE"""),0.006944444444444444)</f>
        <v>0.006944444444</v>
      </c>
      <c r="N242" s="14" t="str">
        <f>IFERROR(__xludf.DUMMYFUNCTION("""COMPUTED_VALUE"""),"AP1 (S2000)")</f>
        <v>AP1 (S2000)</v>
      </c>
      <c r="O242" s="14"/>
      <c r="P242" s="14" t="str">
        <f>IFERROR(__xludf.DUMMYFUNCTION("""COMPUTED_VALUE"""),"Sacc")</f>
        <v>Sacc</v>
      </c>
      <c r="Q242" s="5"/>
      <c r="R242" s="5"/>
      <c r="S242" s="5"/>
      <c r="T242" s="5"/>
      <c r="U242" s="5"/>
      <c r="V242" s="5"/>
      <c r="W242" s="5"/>
      <c r="X242" s="5"/>
      <c r="Y242" s="5"/>
      <c r="Z242" s="5"/>
      <c r="AA242" s="5"/>
      <c r="AB242" s="5"/>
      <c r="AC242" s="5"/>
      <c r="AD242" s="5"/>
      <c r="AE242" s="5"/>
      <c r="AF242" s="5"/>
      <c r="AG242" s="14"/>
      <c r="AH242" s="14"/>
      <c r="AI242" s="14"/>
      <c r="AJ242" s="14"/>
      <c r="AK242" s="14"/>
      <c r="AL242" s="14"/>
      <c r="AM242" s="14"/>
      <c r="AN242" s="14"/>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row>
    <row r="243">
      <c r="A243" s="5"/>
      <c r="B243" s="5"/>
      <c r="C243" s="5"/>
      <c r="D243" s="5"/>
      <c r="E243" s="5"/>
      <c r="F243" s="5"/>
      <c r="G243" s="5"/>
      <c r="H243" s="5"/>
      <c r="I243" s="14" t="str">
        <f>IFERROR(__xludf.DUMMYFUNCTION("""COMPUTED_VALUE"""),"Tsukuba Snow")</f>
        <v>Tsukuba Snow</v>
      </c>
      <c r="J243" s="14" t="str">
        <f>IFERROR(__xludf.DUMMYFUNCTION("""COMPUTED_VALUE"""),"IB")</f>
        <v>IB</v>
      </c>
      <c r="K243" s="14" t="str">
        <f>IFERROR(__xludf.DUMMYFUNCTION("""COMPUTED_VALUE"""),"Jintei")</f>
        <v>Jintei</v>
      </c>
      <c r="L243" s="14" t="str">
        <f>IFERROR(__xludf.DUMMYFUNCTION("""COMPUTED_VALUE"""),"Test Driver")</f>
        <v>Test Driver</v>
      </c>
      <c r="M243" s="14">
        <f>IFERROR(__xludf.DUMMYFUNCTION("""COMPUTED_VALUE"""),0.006944444444444444)</f>
        <v>0.006944444444</v>
      </c>
      <c r="N243" s="14" t="str">
        <f>IFERROR(__xludf.DUMMYFUNCTION("""COMPUTED_VALUE"""),"AP1 (S2000)")</f>
        <v>AP1 (S2000)</v>
      </c>
      <c r="O243" s="14"/>
      <c r="P243" s="14" t="str">
        <f>IFERROR(__xludf.DUMMYFUNCTION("""COMPUTED_VALUE"""),"Sacc")</f>
        <v>Sacc</v>
      </c>
      <c r="Q243" s="5"/>
      <c r="R243" s="5"/>
      <c r="S243" s="5"/>
      <c r="T243" s="5"/>
      <c r="U243" s="5"/>
      <c r="V243" s="5"/>
      <c r="W243" s="5"/>
      <c r="X243" s="5"/>
      <c r="Y243" s="5"/>
      <c r="Z243" s="5"/>
      <c r="AA243" s="5"/>
      <c r="AB243" s="5"/>
      <c r="AC243" s="5"/>
      <c r="AD243" s="5"/>
      <c r="AE243" s="5"/>
      <c r="AF243" s="5"/>
      <c r="AG243" s="14"/>
      <c r="AH243" s="14"/>
      <c r="AI243" s="14"/>
      <c r="AJ243" s="14"/>
      <c r="AK243" s="14"/>
      <c r="AL243" s="14"/>
      <c r="AM243" s="14"/>
      <c r="AN243" s="14"/>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row>
    <row r="244">
      <c r="A244" s="5"/>
      <c r="B244" s="5"/>
      <c r="C244" s="5"/>
      <c r="D244" s="5"/>
      <c r="E244" s="5"/>
      <c r="F244" s="5"/>
      <c r="G244" s="5"/>
      <c r="H244" s="5"/>
      <c r="I244" s="14"/>
      <c r="J244" s="14"/>
      <c r="K244" s="14"/>
      <c r="L244" s="14"/>
      <c r="M244" s="14"/>
      <c r="N244" s="14"/>
      <c r="O244" s="14"/>
      <c r="P244" s="14"/>
      <c r="Q244" s="5"/>
      <c r="R244" s="5"/>
      <c r="S244" s="5"/>
      <c r="T244" s="5"/>
      <c r="U244" s="5"/>
      <c r="V244" s="5"/>
      <c r="W244" s="5"/>
      <c r="X244" s="5"/>
      <c r="Y244" s="5"/>
      <c r="Z244" s="5"/>
      <c r="AA244" s="5"/>
      <c r="AB244" s="5"/>
      <c r="AC244" s="5"/>
      <c r="AD244" s="5"/>
      <c r="AE244" s="5"/>
      <c r="AF244" s="5"/>
      <c r="AG244" s="14"/>
      <c r="AH244" s="14"/>
      <c r="AI244" s="14"/>
      <c r="AJ244" s="14"/>
      <c r="AK244" s="14"/>
      <c r="AL244" s="14"/>
      <c r="AM244" s="14"/>
      <c r="AN244" s="14"/>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row>
    <row r="245">
      <c r="A245" s="5"/>
      <c r="B245" s="5"/>
      <c r="C245" s="5"/>
      <c r="D245" s="5"/>
      <c r="E245" s="5"/>
      <c r="F245" s="5"/>
      <c r="G245" s="5"/>
      <c r="H245" s="5"/>
      <c r="I245" s="14"/>
      <c r="J245" s="14"/>
      <c r="K245" s="14"/>
      <c r="L245" s="14"/>
      <c r="M245" s="14"/>
      <c r="N245" s="14"/>
      <c r="O245" s="14"/>
      <c r="P245" s="14"/>
      <c r="Q245" s="5"/>
      <c r="R245" s="5"/>
      <c r="S245" s="5"/>
      <c r="T245" s="5"/>
      <c r="U245" s="5"/>
      <c r="V245" s="5"/>
      <c r="W245" s="5"/>
      <c r="X245" s="5"/>
      <c r="Y245" s="5"/>
      <c r="Z245" s="5"/>
      <c r="AA245" s="5"/>
      <c r="AB245" s="5"/>
      <c r="AC245" s="5"/>
      <c r="AD245" s="5"/>
      <c r="AE245" s="5"/>
      <c r="AF245" s="5"/>
      <c r="AG245" s="14"/>
      <c r="AH245" s="14"/>
      <c r="AI245" s="14"/>
      <c r="AJ245" s="14"/>
      <c r="AK245" s="14"/>
      <c r="AL245" s="14"/>
      <c r="AM245" s="14"/>
      <c r="AN245" s="14"/>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row>
    <row r="246">
      <c r="A246" s="5"/>
      <c r="B246" s="5"/>
      <c r="C246" s="5"/>
      <c r="D246" s="5"/>
      <c r="E246" s="5"/>
      <c r="F246" s="5"/>
      <c r="G246" s="5"/>
      <c r="H246" s="5"/>
      <c r="I246" s="14"/>
      <c r="J246" s="14"/>
      <c r="K246" s="14"/>
      <c r="L246" s="14"/>
      <c r="M246" s="14"/>
      <c r="N246" s="14"/>
      <c r="O246" s="14"/>
      <c r="P246" s="14"/>
      <c r="Q246" s="5"/>
      <c r="R246" s="5"/>
      <c r="S246" s="5"/>
      <c r="T246" s="5"/>
      <c r="U246" s="5"/>
      <c r="V246" s="5"/>
      <c r="W246" s="5"/>
      <c r="X246" s="5"/>
      <c r="Y246" s="5"/>
      <c r="Z246" s="5"/>
      <c r="AA246" s="5"/>
      <c r="AB246" s="5"/>
      <c r="AC246" s="5"/>
      <c r="AD246" s="5"/>
      <c r="AE246" s="5"/>
      <c r="AF246" s="5"/>
      <c r="AG246" s="14"/>
      <c r="AH246" s="14"/>
      <c r="AI246" s="14"/>
      <c r="AJ246" s="14"/>
      <c r="AK246" s="14"/>
      <c r="AL246" s="14"/>
      <c r="AM246" s="14"/>
      <c r="AN246" s="14"/>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row>
    <row r="247">
      <c r="A247" s="5"/>
      <c r="B247" s="5"/>
      <c r="C247" s="5"/>
      <c r="D247" s="5"/>
      <c r="E247" s="5"/>
      <c r="F247" s="5"/>
      <c r="G247" s="5"/>
      <c r="H247" s="5"/>
      <c r="I247" s="14"/>
      <c r="J247" s="14"/>
      <c r="K247" s="14"/>
      <c r="L247" s="14"/>
      <c r="M247" s="14"/>
      <c r="N247" s="14"/>
      <c r="O247" s="14"/>
      <c r="P247" s="14"/>
      <c r="Q247" s="5"/>
      <c r="R247" s="5"/>
      <c r="S247" s="5"/>
      <c r="T247" s="5"/>
      <c r="U247" s="5"/>
      <c r="V247" s="5"/>
      <c r="W247" s="5"/>
      <c r="X247" s="5"/>
      <c r="Y247" s="5"/>
      <c r="Z247" s="5"/>
      <c r="AA247" s="5"/>
      <c r="AB247" s="5"/>
      <c r="AC247" s="5"/>
      <c r="AD247" s="5"/>
      <c r="AE247" s="5"/>
      <c r="AF247" s="5"/>
      <c r="AG247" s="14"/>
      <c r="AH247" s="14"/>
      <c r="AI247" s="14"/>
      <c r="AJ247" s="14"/>
      <c r="AK247" s="14"/>
      <c r="AL247" s="14"/>
      <c r="AM247" s="14"/>
      <c r="AN247" s="14"/>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14"/>
      <c r="AH248" s="14"/>
      <c r="AI248" s="14"/>
      <c r="AJ248" s="14"/>
      <c r="AK248" s="14"/>
      <c r="AL248" s="14"/>
      <c r="AM248" s="14"/>
      <c r="AN248" s="14"/>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14"/>
      <c r="AH249" s="14"/>
      <c r="AI249" s="14"/>
      <c r="AJ249" s="14"/>
      <c r="AK249" s="14"/>
      <c r="AL249" s="14"/>
      <c r="AM249" s="14"/>
      <c r="AN249" s="14"/>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14"/>
      <c r="AH250" s="14"/>
      <c r="AI250" s="14"/>
      <c r="AJ250" s="14"/>
      <c r="AK250" s="14"/>
      <c r="AL250" s="14"/>
      <c r="AM250" s="14"/>
      <c r="AN250" s="14"/>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14"/>
      <c r="AH251" s="14"/>
      <c r="AI251" s="14"/>
      <c r="AJ251" s="14"/>
      <c r="AK251" s="14"/>
      <c r="AL251" s="14"/>
      <c r="AM251" s="14"/>
      <c r="AN251" s="14"/>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14"/>
      <c r="AH252" s="14"/>
      <c r="AI252" s="14"/>
      <c r="AJ252" s="14"/>
      <c r="AK252" s="14"/>
      <c r="AL252" s="14"/>
      <c r="AM252" s="14"/>
      <c r="AN252" s="14"/>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14"/>
      <c r="AH253" s="14"/>
      <c r="AI253" s="14"/>
      <c r="AJ253" s="14"/>
      <c r="AK253" s="14"/>
      <c r="AL253" s="14"/>
      <c r="AM253" s="14"/>
      <c r="AN253" s="14"/>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14"/>
      <c r="AH254" s="14"/>
      <c r="AI254" s="14"/>
      <c r="AJ254" s="14"/>
      <c r="AK254" s="14"/>
      <c r="AL254" s="14"/>
      <c r="AM254" s="14"/>
      <c r="AN254" s="14"/>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14"/>
      <c r="AH255" s="14"/>
      <c r="AI255" s="14"/>
      <c r="AJ255" s="14"/>
      <c r="AK255" s="14"/>
      <c r="AL255" s="14"/>
      <c r="AM255" s="14"/>
      <c r="AN255" s="14"/>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14"/>
      <c r="AH256" s="14"/>
      <c r="AI256" s="14"/>
      <c r="AJ256" s="14"/>
      <c r="AK256" s="14"/>
      <c r="AL256" s="14"/>
      <c r="AM256" s="14"/>
      <c r="AN256" s="14"/>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14"/>
      <c r="AH257" s="14"/>
      <c r="AI257" s="14"/>
      <c r="AJ257" s="14"/>
      <c r="AK257" s="14"/>
      <c r="AL257" s="14"/>
      <c r="AM257" s="14"/>
      <c r="AN257" s="14"/>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14"/>
      <c r="AH258" s="14"/>
      <c r="AI258" s="14"/>
      <c r="AJ258" s="14"/>
      <c r="AK258" s="14"/>
      <c r="AL258" s="14"/>
      <c r="AM258" s="14"/>
      <c r="AN258" s="14"/>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14"/>
      <c r="AH259" s="14"/>
      <c r="AI259" s="14"/>
      <c r="AJ259" s="14"/>
      <c r="AK259" s="14"/>
      <c r="AL259" s="14"/>
      <c r="AM259" s="14"/>
      <c r="AN259" s="14"/>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14"/>
      <c r="AH260" s="14"/>
      <c r="AI260" s="14"/>
      <c r="AJ260" s="14"/>
      <c r="AK260" s="14"/>
      <c r="AL260" s="14"/>
      <c r="AM260" s="14"/>
      <c r="AN260" s="14"/>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14"/>
      <c r="AH261" s="14"/>
      <c r="AI261" s="14"/>
      <c r="AJ261" s="14"/>
      <c r="AK261" s="14"/>
      <c r="AL261" s="14"/>
      <c r="AM261" s="14"/>
      <c r="AN261" s="14"/>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14"/>
      <c r="AH262" s="14"/>
      <c r="AI262" s="14"/>
      <c r="AJ262" s="14"/>
      <c r="AK262" s="14"/>
      <c r="AL262" s="14"/>
      <c r="AM262" s="14"/>
      <c r="AN262" s="14"/>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14"/>
      <c r="AH263" s="14"/>
      <c r="AI263" s="14"/>
      <c r="AJ263" s="14"/>
      <c r="AK263" s="14"/>
      <c r="AL263" s="14"/>
      <c r="AM263" s="14"/>
      <c r="AN263" s="14"/>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14"/>
      <c r="AH264" s="14"/>
      <c r="AI264" s="14"/>
      <c r="AJ264" s="14"/>
      <c r="AK264" s="14"/>
      <c r="AL264" s="14"/>
      <c r="AM264" s="14"/>
      <c r="AN264" s="14"/>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14"/>
      <c r="AH265" s="14"/>
      <c r="AI265" s="14"/>
      <c r="AJ265" s="14"/>
      <c r="AK265" s="14"/>
      <c r="AL265" s="14"/>
      <c r="AM265" s="14"/>
      <c r="AN265" s="14"/>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14"/>
      <c r="AH266" s="14"/>
      <c r="AI266" s="14"/>
      <c r="AJ266" s="14"/>
      <c r="AK266" s="14"/>
      <c r="AL266" s="14"/>
      <c r="AM266" s="14"/>
      <c r="AN266" s="14"/>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14"/>
      <c r="AH267" s="14"/>
      <c r="AI267" s="14"/>
      <c r="AJ267" s="14"/>
      <c r="AK267" s="14"/>
      <c r="AL267" s="14"/>
      <c r="AM267" s="14"/>
      <c r="AN267" s="14"/>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14"/>
      <c r="AH268" s="14"/>
      <c r="AI268" s="14"/>
      <c r="AJ268" s="14"/>
      <c r="AK268" s="14"/>
      <c r="AL268" s="14"/>
      <c r="AM268" s="14"/>
      <c r="AN268" s="14"/>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14"/>
      <c r="AH269" s="14"/>
      <c r="AI269" s="14"/>
      <c r="AJ269" s="14"/>
      <c r="AK269" s="14"/>
      <c r="AL269" s="14"/>
      <c r="AM269" s="14"/>
      <c r="AN269" s="14"/>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14"/>
      <c r="AH270" s="14"/>
      <c r="AI270" s="14"/>
      <c r="AJ270" s="14"/>
      <c r="AK270" s="14"/>
      <c r="AL270" s="14"/>
      <c r="AM270" s="14"/>
      <c r="AN270" s="14"/>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14"/>
      <c r="AH271" s="14"/>
      <c r="AI271" s="14"/>
      <c r="AJ271" s="14"/>
      <c r="AK271" s="14"/>
      <c r="AL271" s="14"/>
      <c r="AM271" s="14"/>
      <c r="AN271" s="14"/>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14"/>
      <c r="AH272" s="14"/>
      <c r="AI272" s="14"/>
      <c r="AJ272" s="14"/>
      <c r="AK272" s="14"/>
      <c r="AL272" s="14"/>
      <c r="AM272" s="14"/>
      <c r="AN272" s="14"/>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14"/>
      <c r="AH273" s="14"/>
      <c r="AI273" s="14"/>
      <c r="AJ273" s="14"/>
      <c r="AK273" s="14"/>
      <c r="AL273" s="14"/>
      <c r="AM273" s="14"/>
      <c r="AN273" s="14"/>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14"/>
      <c r="AH274" s="14"/>
      <c r="AI274" s="14"/>
      <c r="AJ274" s="14"/>
      <c r="AK274" s="14"/>
      <c r="AL274" s="14"/>
      <c r="AM274" s="14"/>
      <c r="AN274" s="14"/>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14"/>
      <c r="AH275" s="14"/>
      <c r="AI275" s="14"/>
      <c r="AJ275" s="14"/>
      <c r="AK275" s="14"/>
      <c r="AL275" s="14"/>
      <c r="AM275" s="14"/>
      <c r="AN275" s="14"/>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14"/>
      <c r="AH276" s="14"/>
      <c r="AI276" s="14"/>
      <c r="AJ276" s="14"/>
      <c r="AK276" s="14"/>
      <c r="AL276" s="14"/>
      <c r="AM276" s="14"/>
      <c r="AN276" s="14"/>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14"/>
      <c r="AH277" s="14"/>
      <c r="AI277" s="14"/>
      <c r="AJ277" s="14"/>
      <c r="AK277" s="14"/>
      <c r="AL277" s="14"/>
      <c r="AM277" s="14"/>
      <c r="AN277" s="14"/>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14"/>
      <c r="AH278" s="14"/>
      <c r="AI278" s="14"/>
      <c r="AJ278" s="14"/>
      <c r="AK278" s="14"/>
      <c r="AL278" s="14"/>
      <c r="AM278" s="14"/>
      <c r="AN278" s="14"/>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14"/>
      <c r="AH279" s="14"/>
      <c r="AI279" s="14"/>
      <c r="AJ279" s="14"/>
      <c r="AK279" s="14"/>
      <c r="AL279" s="14"/>
      <c r="AM279" s="14"/>
      <c r="AN279" s="14"/>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14"/>
      <c r="AH280" s="14"/>
      <c r="AI280" s="14"/>
      <c r="AJ280" s="14"/>
      <c r="AK280" s="14"/>
      <c r="AL280" s="14"/>
      <c r="AM280" s="14"/>
      <c r="AN280" s="14"/>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14"/>
      <c r="AH281" s="14"/>
      <c r="AI281" s="14"/>
      <c r="AJ281" s="14"/>
      <c r="AK281" s="14"/>
      <c r="AL281" s="14"/>
      <c r="AM281" s="14"/>
      <c r="AN281" s="14"/>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14"/>
      <c r="AH282" s="14"/>
      <c r="AI282" s="14"/>
      <c r="AJ282" s="14"/>
      <c r="AK282" s="14"/>
      <c r="AL282" s="14"/>
      <c r="AM282" s="14"/>
      <c r="AN282" s="14"/>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14"/>
      <c r="AH283" s="14"/>
      <c r="AI283" s="14"/>
      <c r="AJ283" s="14"/>
      <c r="AK283" s="14"/>
      <c r="AL283" s="14"/>
      <c r="AM283" s="14"/>
      <c r="AN283" s="14"/>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14"/>
      <c r="AH284" s="14"/>
      <c r="AI284" s="14"/>
      <c r="AJ284" s="14"/>
      <c r="AK284" s="14"/>
      <c r="AL284" s="14"/>
      <c r="AM284" s="14"/>
      <c r="AN284" s="14"/>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14"/>
      <c r="AH285" s="14"/>
      <c r="AI285" s="14"/>
      <c r="AJ285" s="14"/>
      <c r="AK285" s="14"/>
      <c r="AL285" s="14"/>
      <c r="AM285" s="14"/>
      <c r="AN285" s="14"/>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14"/>
      <c r="AH286" s="14"/>
      <c r="AI286" s="14"/>
      <c r="AJ286" s="14"/>
      <c r="AK286" s="14"/>
      <c r="AL286" s="14"/>
      <c r="AM286" s="14"/>
      <c r="AN286" s="14"/>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14"/>
      <c r="AH287" s="14"/>
      <c r="AI287" s="14"/>
      <c r="AJ287" s="14"/>
      <c r="AK287" s="14"/>
      <c r="AL287" s="14"/>
      <c r="AM287" s="14"/>
      <c r="AN287" s="14"/>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14"/>
      <c r="AH288" s="14"/>
      <c r="AI288" s="14"/>
      <c r="AJ288" s="14"/>
      <c r="AK288" s="14"/>
      <c r="AL288" s="14"/>
      <c r="AM288" s="14"/>
      <c r="AN288" s="14"/>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14"/>
      <c r="AH289" s="14"/>
      <c r="AI289" s="14"/>
      <c r="AJ289" s="14"/>
      <c r="AK289" s="14"/>
      <c r="AL289" s="14"/>
      <c r="AM289" s="14"/>
      <c r="AN289" s="14"/>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14"/>
      <c r="AH290" s="14"/>
      <c r="AI290" s="14"/>
      <c r="AJ290" s="14"/>
      <c r="AK290" s="14"/>
      <c r="AL290" s="14"/>
      <c r="AM290" s="14"/>
      <c r="AN290" s="14"/>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14"/>
      <c r="AH291" s="14"/>
      <c r="AI291" s="14"/>
      <c r="AJ291" s="14"/>
      <c r="AK291" s="14"/>
      <c r="AL291" s="14"/>
      <c r="AM291" s="14"/>
      <c r="AN291" s="14"/>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14"/>
      <c r="AH292" s="14"/>
      <c r="AI292" s="14"/>
      <c r="AJ292" s="14"/>
      <c r="AK292" s="14"/>
      <c r="AL292" s="14"/>
      <c r="AM292" s="14"/>
      <c r="AN292" s="14"/>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14"/>
      <c r="AH293" s="14"/>
      <c r="AI293" s="14"/>
      <c r="AJ293" s="14"/>
      <c r="AK293" s="14"/>
      <c r="AL293" s="14"/>
      <c r="AM293" s="14"/>
      <c r="AN293" s="14"/>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14"/>
      <c r="AH294" s="14"/>
      <c r="AI294" s="14"/>
      <c r="AJ294" s="14"/>
      <c r="AK294" s="14"/>
      <c r="AL294" s="14"/>
      <c r="AM294" s="14"/>
      <c r="AN294" s="14"/>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14"/>
      <c r="AH295" s="14"/>
      <c r="AI295" s="14"/>
      <c r="AJ295" s="14"/>
      <c r="AK295" s="14"/>
      <c r="AL295" s="14"/>
      <c r="AM295" s="14"/>
      <c r="AN295" s="14"/>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14"/>
      <c r="AH296" s="14"/>
      <c r="AI296" s="14"/>
      <c r="AJ296" s="14"/>
      <c r="AK296" s="14"/>
      <c r="AL296" s="14"/>
      <c r="AM296" s="14"/>
      <c r="AN296" s="14"/>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14"/>
      <c r="AH297" s="14"/>
      <c r="AI297" s="14"/>
      <c r="AJ297" s="14"/>
      <c r="AK297" s="14"/>
      <c r="AL297" s="14"/>
      <c r="AM297" s="14"/>
      <c r="AN297" s="14"/>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14"/>
      <c r="AH298" s="14"/>
      <c r="AI298" s="14"/>
      <c r="AJ298" s="14"/>
      <c r="AK298" s="14"/>
      <c r="AL298" s="14"/>
      <c r="AM298" s="14"/>
      <c r="AN298" s="14"/>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14"/>
      <c r="AH299" s="14"/>
      <c r="AI299" s="14"/>
      <c r="AJ299" s="14"/>
      <c r="AK299" s="14"/>
      <c r="AL299" s="14"/>
      <c r="AM299" s="14"/>
      <c r="AN299" s="14"/>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14"/>
      <c r="AH300" s="14"/>
      <c r="AI300" s="14"/>
      <c r="AJ300" s="14"/>
      <c r="AK300" s="14"/>
      <c r="AL300" s="14"/>
      <c r="AM300" s="14"/>
      <c r="AN300" s="14"/>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14"/>
      <c r="AH301" s="14"/>
      <c r="AI301" s="14"/>
      <c r="AJ301" s="14"/>
      <c r="AK301" s="14"/>
      <c r="AL301" s="14"/>
      <c r="AM301" s="14"/>
      <c r="AN301" s="14"/>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14"/>
      <c r="AH302" s="14"/>
      <c r="AI302" s="14"/>
      <c r="AJ302" s="14"/>
      <c r="AK302" s="14"/>
      <c r="AL302" s="14"/>
      <c r="AM302" s="14"/>
      <c r="AN302" s="14"/>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14"/>
      <c r="AH303" s="14"/>
      <c r="AI303" s="14"/>
      <c r="AJ303" s="14"/>
      <c r="AK303" s="14"/>
      <c r="AL303" s="14"/>
      <c r="AM303" s="14"/>
      <c r="AN303" s="14"/>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14"/>
      <c r="AH304" s="14"/>
      <c r="AI304" s="14"/>
      <c r="AJ304" s="14"/>
      <c r="AK304" s="14"/>
      <c r="AL304" s="14"/>
      <c r="AM304" s="14"/>
      <c r="AN304" s="14"/>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14"/>
      <c r="AH305" s="14"/>
      <c r="AI305" s="14"/>
      <c r="AJ305" s="14"/>
      <c r="AK305" s="14"/>
      <c r="AL305" s="14"/>
      <c r="AM305" s="14"/>
      <c r="AN305" s="14"/>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14"/>
      <c r="AH306" s="14"/>
      <c r="AI306" s="14"/>
      <c r="AJ306" s="14"/>
      <c r="AK306" s="14"/>
      <c r="AL306" s="14"/>
      <c r="AM306" s="14"/>
      <c r="AN306" s="14"/>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14"/>
      <c r="AH307" s="14"/>
      <c r="AI307" s="14"/>
      <c r="AJ307" s="14"/>
      <c r="AK307" s="14"/>
      <c r="AL307" s="14"/>
      <c r="AM307" s="14"/>
      <c r="AN307" s="14"/>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14"/>
      <c r="AH308" s="14"/>
      <c r="AI308" s="14"/>
      <c r="AJ308" s="14"/>
      <c r="AK308" s="14"/>
      <c r="AL308" s="14"/>
      <c r="AM308" s="14"/>
      <c r="AN308" s="14"/>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14"/>
      <c r="AH309" s="14"/>
      <c r="AI309" s="14"/>
      <c r="AJ309" s="14"/>
      <c r="AK309" s="14"/>
      <c r="AL309" s="14"/>
      <c r="AM309" s="14"/>
      <c r="AN309" s="14"/>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14"/>
      <c r="AH310" s="14"/>
      <c r="AI310" s="14"/>
      <c r="AJ310" s="14"/>
      <c r="AK310" s="14"/>
      <c r="AL310" s="14"/>
      <c r="AM310" s="14"/>
      <c r="AN310" s="14"/>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14"/>
      <c r="AH311" s="14"/>
      <c r="AI311" s="14"/>
      <c r="AJ311" s="14"/>
      <c r="AK311" s="14"/>
      <c r="AL311" s="14"/>
      <c r="AM311" s="14"/>
      <c r="AN311" s="14"/>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14"/>
      <c r="AH312" s="14"/>
      <c r="AI312" s="14"/>
      <c r="AJ312" s="14"/>
      <c r="AK312" s="14"/>
      <c r="AL312" s="14"/>
      <c r="AM312" s="14"/>
      <c r="AN312" s="14"/>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14"/>
      <c r="AH313" s="14"/>
      <c r="AI313" s="14"/>
      <c r="AJ313" s="14"/>
      <c r="AK313" s="14"/>
      <c r="AL313" s="14"/>
      <c r="AM313" s="14"/>
      <c r="AN313" s="14"/>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14"/>
      <c r="AH314" s="14"/>
      <c r="AI314" s="14"/>
      <c r="AJ314" s="14"/>
      <c r="AK314" s="14"/>
      <c r="AL314" s="14"/>
      <c r="AM314" s="14"/>
      <c r="AN314" s="14"/>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14"/>
      <c r="AH315" s="14"/>
      <c r="AI315" s="14"/>
      <c r="AJ315" s="14"/>
      <c r="AK315" s="14"/>
      <c r="AL315" s="14"/>
      <c r="AM315" s="14"/>
      <c r="AN315" s="14"/>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14"/>
      <c r="AH316" s="14"/>
      <c r="AI316" s="14"/>
      <c r="AJ316" s="14"/>
      <c r="AK316" s="14"/>
      <c r="AL316" s="14"/>
      <c r="AM316" s="14"/>
      <c r="AN316" s="14"/>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14"/>
      <c r="AH317" s="14"/>
      <c r="AI317" s="14"/>
      <c r="AJ317" s="14"/>
      <c r="AK317" s="14"/>
      <c r="AL317" s="14"/>
      <c r="AM317" s="14"/>
      <c r="AN317" s="14"/>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14"/>
      <c r="AH318" s="14"/>
      <c r="AI318" s="14"/>
      <c r="AJ318" s="14"/>
      <c r="AK318" s="14"/>
      <c r="AL318" s="14"/>
      <c r="AM318" s="14"/>
      <c r="AN318" s="14"/>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14"/>
      <c r="AH319" s="14"/>
      <c r="AI319" s="14"/>
      <c r="AJ319" s="14"/>
      <c r="AK319" s="14"/>
      <c r="AL319" s="14"/>
      <c r="AM319" s="14"/>
      <c r="AN319" s="14"/>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14"/>
      <c r="AH320" s="14"/>
      <c r="AI320" s="14"/>
      <c r="AJ320" s="14"/>
      <c r="AK320" s="14"/>
      <c r="AL320" s="14"/>
      <c r="AM320" s="14"/>
      <c r="AN320" s="14"/>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14"/>
      <c r="AH321" s="14"/>
      <c r="AI321" s="14"/>
      <c r="AJ321" s="14"/>
      <c r="AK321" s="14"/>
      <c r="AL321" s="14"/>
      <c r="AM321" s="14"/>
      <c r="AN321" s="14"/>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14"/>
      <c r="AH322" s="14"/>
      <c r="AI322" s="14"/>
      <c r="AJ322" s="14"/>
      <c r="AK322" s="14"/>
      <c r="AL322" s="14"/>
      <c r="AM322" s="14"/>
      <c r="AN322" s="14"/>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14"/>
      <c r="AH323" s="14"/>
      <c r="AI323" s="14"/>
      <c r="AJ323" s="14"/>
      <c r="AK323" s="14"/>
      <c r="AL323" s="14"/>
      <c r="AM323" s="14"/>
      <c r="AN323" s="14"/>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14"/>
      <c r="AH324" s="14"/>
      <c r="AI324" s="14"/>
      <c r="AJ324" s="14"/>
      <c r="AK324" s="14"/>
      <c r="AL324" s="14"/>
      <c r="AM324" s="14"/>
      <c r="AN324" s="14"/>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14"/>
      <c r="AH325" s="14"/>
      <c r="AI325" s="14"/>
      <c r="AJ325" s="14"/>
      <c r="AK325" s="14"/>
      <c r="AL325" s="14"/>
      <c r="AM325" s="14"/>
      <c r="AN325" s="14"/>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14"/>
      <c r="AH326" s="14"/>
      <c r="AI326" s="14"/>
      <c r="AJ326" s="14"/>
      <c r="AK326" s="14"/>
      <c r="AL326" s="14"/>
      <c r="AM326" s="14"/>
      <c r="AN326" s="14"/>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14"/>
      <c r="AH327" s="14"/>
      <c r="AI327" s="14"/>
      <c r="AJ327" s="14"/>
      <c r="AK327" s="14"/>
      <c r="AL327" s="14"/>
      <c r="AM327" s="14"/>
      <c r="AN327" s="14"/>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14"/>
      <c r="AH328" s="14"/>
      <c r="AI328" s="14"/>
      <c r="AJ328" s="14"/>
      <c r="AK328" s="14"/>
      <c r="AL328" s="14"/>
      <c r="AM328" s="14"/>
      <c r="AN328" s="14"/>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14"/>
      <c r="AH329" s="14"/>
      <c r="AI329" s="14"/>
      <c r="AJ329" s="14"/>
      <c r="AK329" s="14"/>
      <c r="AL329" s="14"/>
      <c r="AM329" s="14"/>
      <c r="AN329" s="14"/>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14"/>
      <c r="AH330" s="14"/>
      <c r="AI330" s="14"/>
      <c r="AJ330" s="14"/>
      <c r="AK330" s="14"/>
      <c r="AL330" s="14"/>
      <c r="AM330" s="14"/>
      <c r="AN330" s="14"/>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14"/>
      <c r="AH331" s="14"/>
      <c r="AI331" s="14"/>
      <c r="AJ331" s="14"/>
      <c r="AK331" s="14"/>
      <c r="AL331" s="14"/>
      <c r="AM331" s="14"/>
      <c r="AN331" s="14"/>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14"/>
      <c r="AH332" s="14"/>
      <c r="AI332" s="14"/>
      <c r="AJ332" s="14"/>
      <c r="AK332" s="14"/>
      <c r="AL332" s="14"/>
      <c r="AM332" s="14"/>
      <c r="AN332" s="14"/>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14"/>
      <c r="AH333" s="14"/>
      <c r="AI333" s="14"/>
      <c r="AJ333" s="14"/>
      <c r="AK333" s="14"/>
      <c r="AL333" s="14"/>
      <c r="AM333" s="14"/>
      <c r="AN333" s="14"/>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14"/>
      <c r="AH334" s="14"/>
      <c r="AI334" s="14"/>
      <c r="AJ334" s="14"/>
      <c r="AK334" s="14"/>
      <c r="AL334" s="14"/>
      <c r="AM334" s="14"/>
      <c r="AN334" s="14"/>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14"/>
      <c r="AH335" s="14"/>
      <c r="AI335" s="14"/>
      <c r="AJ335" s="14"/>
      <c r="AK335" s="14"/>
      <c r="AL335" s="14"/>
      <c r="AM335" s="14"/>
      <c r="AN335" s="14"/>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14"/>
      <c r="AH336" s="14"/>
      <c r="AI336" s="14"/>
      <c r="AJ336" s="14"/>
      <c r="AK336" s="14"/>
      <c r="AL336" s="14"/>
      <c r="AM336" s="14"/>
      <c r="AN336" s="14"/>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14"/>
      <c r="AH337" s="14"/>
      <c r="AI337" s="14"/>
      <c r="AJ337" s="14"/>
      <c r="AK337" s="14"/>
      <c r="AL337" s="14"/>
      <c r="AM337" s="14"/>
      <c r="AN337" s="14"/>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14"/>
      <c r="AH338" s="14"/>
      <c r="AI338" s="14"/>
      <c r="AJ338" s="14"/>
      <c r="AK338" s="14"/>
      <c r="AL338" s="14"/>
      <c r="AM338" s="14"/>
      <c r="AN338" s="14"/>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14"/>
      <c r="AH339" s="14"/>
      <c r="AI339" s="14"/>
      <c r="AJ339" s="14"/>
      <c r="AK339" s="14"/>
      <c r="AL339" s="14"/>
      <c r="AM339" s="14"/>
      <c r="AN339" s="14"/>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14"/>
      <c r="AH340" s="14"/>
      <c r="AI340" s="14"/>
      <c r="AJ340" s="14"/>
      <c r="AK340" s="14"/>
      <c r="AL340" s="14"/>
      <c r="AM340" s="14"/>
      <c r="AN340" s="14"/>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14"/>
      <c r="AH341" s="14"/>
      <c r="AI341" s="14"/>
      <c r="AJ341" s="14"/>
      <c r="AK341" s="14"/>
      <c r="AL341" s="14"/>
      <c r="AM341" s="14"/>
      <c r="AN341" s="14"/>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14"/>
      <c r="AH342" s="14"/>
      <c r="AI342" s="14"/>
      <c r="AJ342" s="14"/>
      <c r="AK342" s="14"/>
      <c r="AL342" s="14"/>
      <c r="AM342" s="14"/>
      <c r="AN342" s="14"/>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14"/>
      <c r="AH343" s="14"/>
      <c r="AI343" s="14"/>
      <c r="AJ343" s="14"/>
      <c r="AK343" s="14"/>
      <c r="AL343" s="14"/>
      <c r="AM343" s="14"/>
      <c r="AN343" s="14"/>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14"/>
      <c r="AH344" s="14"/>
      <c r="AI344" s="14"/>
      <c r="AJ344" s="14"/>
      <c r="AK344" s="14"/>
      <c r="AL344" s="14"/>
      <c r="AM344" s="14"/>
      <c r="AN344" s="14"/>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14"/>
      <c r="AH345" s="14"/>
      <c r="AI345" s="14"/>
      <c r="AJ345" s="14"/>
      <c r="AK345" s="14"/>
      <c r="AL345" s="14"/>
      <c r="AM345" s="14"/>
      <c r="AN345" s="14"/>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14"/>
      <c r="AH346" s="14"/>
      <c r="AI346" s="14"/>
      <c r="AJ346" s="14"/>
      <c r="AK346" s="14"/>
      <c r="AL346" s="14"/>
      <c r="AM346" s="14"/>
      <c r="AN346" s="14"/>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14"/>
      <c r="AH347" s="14"/>
      <c r="AI347" s="14"/>
      <c r="AJ347" s="14"/>
      <c r="AK347" s="14"/>
      <c r="AL347" s="14"/>
      <c r="AM347" s="14"/>
      <c r="AN347" s="14"/>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14"/>
      <c r="AH348" s="14"/>
      <c r="AI348" s="14"/>
      <c r="AJ348" s="14"/>
      <c r="AK348" s="14"/>
      <c r="AL348" s="14"/>
      <c r="AM348" s="14"/>
      <c r="AN348" s="14"/>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14"/>
      <c r="AH349" s="14"/>
      <c r="AI349" s="14"/>
      <c r="AJ349" s="14"/>
      <c r="AK349" s="14"/>
      <c r="AL349" s="14"/>
      <c r="AM349" s="14"/>
      <c r="AN349" s="14"/>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14"/>
      <c r="AH350" s="14"/>
      <c r="AI350" s="14"/>
      <c r="AJ350" s="14"/>
      <c r="AK350" s="14"/>
      <c r="AL350" s="14"/>
      <c r="AM350" s="14"/>
      <c r="AN350" s="14"/>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14"/>
      <c r="AH351" s="14"/>
      <c r="AI351" s="14"/>
      <c r="AJ351" s="14"/>
      <c r="AK351" s="14"/>
      <c r="AL351" s="14"/>
      <c r="AM351" s="14"/>
      <c r="AN351" s="14"/>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14"/>
      <c r="AH352" s="14"/>
      <c r="AI352" s="14"/>
      <c r="AJ352" s="14"/>
      <c r="AK352" s="14"/>
      <c r="AL352" s="14"/>
      <c r="AM352" s="14"/>
      <c r="AN352" s="14"/>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14"/>
      <c r="AH353" s="14"/>
      <c r="AI353" s="14"/>
      <c r="AJ353" s="14"/>
      <c r="AK353" s="14"/>
      <c r="AL353" s="14"/>
      <c r="AM353" s="14"/>
      <c r="AN353" s="14"/>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14"/>
      <c r="AH354" s="14"/>
      <c r="AI354" s="14"/>
      <c r="AJ354" s="14"/>
      <c r="AK354" s="14"/>
      <c r="AL354" s="14"/>
      <c r="AM354" s="14"/>
      <c r="AN354" s="14"/>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14"/>
      <c r="AH355" s="14"/>
      <c r="AI355" s="14"/>
      <c r="AJ355" s="14"/>
      <c r="AK355" s="14"/>
      <c r="AL355" s="14"/>
      <c r="AM355" s="14"/>
      <c r="AN355" s="14"/>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14"/>
      <c r="AH356" s="14"/>
      <c r="AI356" s="14"/>
      <c r="AJ356" s="14"/>
      <c r="AK356" s="14"/>
      <c r="AL356" s="14"/>
      <c r="AM356" s="14"/>
      <c r="AN356" s="14"/>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14"/>
      <c r="AH357" s="14"/>
      <c r="AI357" s="14"/>
      <c r="AJ357" s="14"/>
      <c r="AK357" s="14"/>
      <c r="AL357" s="14"/>
      <c r="AM357" s="14"/>
      <c r="AN357" s="14"/>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14"/>
      <c r="AH358" s="14"/>
      <c r="AI358" s="14"/>
      <c r="AJ358" s="14"/>
      <c r="AK358" s="14"/>
      <c r="AL358" s="14"/>
      <c r="AM358" s="14"/>
      <c r="AN358" s="14"/>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14"/>
      <c r="AH359" s="14"/>
      <c r="AI359" s="14"/>
      <c r="AJ359" s="14"/>
      <c r="AK359" s="14"/>
      <c r="AL359" s="14"/>
      <c r="AM359" s="14"/>
      <c r="AN359" s="14"/>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14"/>
      <c r="AH360" s="14"/>
      <c r="AI360" s="14"/>
      <c r="AJ360" s="14"/>
      <c r="AK360" s="14"/>
      <c r="AL360" s="14"/>
      <c r="AM360" s="14"/>
      <c r="AN360" s="14"/>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14"/>
      <c r="AH361" s="14"/>
      <c r="AI361" s="14"/>
      <c r="AJ361" s="14"/>
      <c r="AK361" s="14"/>
      <c r="AL361" s="14"/>
      <c r="AM361" s="14"/>
      <c r="AN361" s="14"/>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14"/>
      <c r="AH362" s="14"/>
      <c r="AI362" s="14"/>
      <c r="AJ362" s="14"/>
      <c r="AK362" s="14"/>
      <c r="AL362" s="14"/>
      <c r="AM362" s="14"/>
      <c r="AN362" s="14"/>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14"/>
      <c r="AH363" s="14"/>
      <c r="AI363" s="14"/>
      <c r="AJ363" s="14"/>
      <c r="AK363" s="14"/>
      <c r="AL363" s="14"/>
      <c r="AM363" s="14"/>
      <c r="AN363" s="14"/>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14"/>
      <c r="AH364" s="14"/>
      <c r="AI364" s="14"/>
      <c r="AJ364" s="14"/>
      <c r="AK364" s="14"/>
      <c r="AL364" s="14"/>
      <c r="AM364" s="14"/>
      <c r="AN364" s="14"/>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14"/>
      <c r="AH365" s="14"/>
      <c r="AI365" s="14"/>
      <c r="AJ365" s="14"/>
      <c r="AK365" s="14"/>
      <c r="AL365" s="14"/>
      <c r="AM365" s="14"/>
      <c r="AN365" s="14"/>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14"/>
      <c r="AH366" s="14"/>
      <c r="AI366" s="14"/>
      <c r="AJ366" s="14"/>
      <c r="AK366" s="14"/>
      <c r="AL366" s="14"/>
      <c r="AM366" s="14"/>
      <c r="AN366" s="14"/>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14"/>
      <c r="AH367" s="14"/>
      <c r="AI367" s="14"/>
      <c r="AJ367" s="14"/>
      <c r="AK367" s="14"/>
      <c r="AL367" s="14"/>
      <c r="AM367" s="14"/>
      <c r="AN367" s="14"/>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14"/>
      <c r="AH368" s="14"/>
      <c r="AI368" s="14"/>
      <c r="AJ368" s="14"/>
      <c r="AK368" s="14"/>
      <c r="AL368" s="14"/>
      <c r="AM368" s="14"/>
      <c r="AN368" s="14"/>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14"/>
      <c r="AH369" s="14"/>
      <c r="AI369" s="14"/>
      <c r="AJ369" s="14"/>
      <c r="AK369" s="14"/>
      <c r="AL369" s="14"/>
      <c r="AM369" s="14"/>
      <c r="AN369" s="14"/>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14"/>
      <c r="AH370" s="14"/>
      <c r="AI370" s="14"/>
      <c r="AJ370" s="14"/>
      <c r="AK370" s="14"/>
      <c r="AL370" s="14"/>
      <c r="AM370" s="14"/>
      <c r="AN370" s="14"/>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14"/>
      <c r="AH371" s="14"/>
      <c r="AI371" s="14"/>
      <c r="AJ371" s="14"/>
      <c r="AK371" s="14"/>
      <c r="AL371" s="14"/>
      <c r="AM371" s="14"/>
      <c r="AN371" s="14"/>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14"/>
      <c r="AH372" s="14"/>
      <c r="AI372" s="14"/>
      <c r="AJ372" s="14"/>
      <c r="AK372" s="14"/>
      <c r="AL372" s="14"/>
      <c r="AM372" s="14"/>
      <c r="AN372" s="14"/>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14"/>
      <c r="AH373" s="14"/>
      <c r="AI373" s="14"/>
      <c r="AJ373" s="14"/>
      <c r="AK373" s="14"/>
      <c r="AL373" s="14"/>
      <c r="AM373" s="14"/>
      <c r="AN373" s="14"/>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14"/>
      <c r="AH374" s="14"/>
      <c r="AI374" s="14"/>
      <c r="AJ374" s="14"/>
      <c r="AK374" s="14"/>
      <c r="AL374" s="14"/>
      <c r="AM374" s="14"/>
      <c r="AN374" s="14"/>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14"/>
      <c r="AH375" s="14"/>
      <c r="AI375" s="14"/>
      <c r="AJ375" s="14"/>
      <c r="AK375" s="14"/>
      <c r="AL375" s="14"/>
      <c r="AM375" s="14"/>
      <c r="AN375" s="14"/>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14"/>
      <c r="AH376" s="14"/>
      <c r="AI376" s="14"/>
      <c r="AJ376" s="14"/>
      <c r="AK376" s="14"/>
      <c r="AL376" s="14"/>
      <c r="AM376" s="14"/>
      <c r="AN376" s="14"/>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14"/>
      <c r="AH377" s="14"/>
      <c r="AI377" s="14"/>
      <c r="AJ377" s="14"/>
      <c r="AK377" s="14"/>
      <c r="AL377" s="14"/>
      <c r="AM377" s="14"/>
      <c r="AN377" s="14"/>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14"/>
      <c r="AH378" s="14"/>
      <c r="AI378" s="14"/>
      <c r="AJ378" s="14"/>
      <c r="AK378" s="14"/>
      <c r="AL378" s="14"/>
      <c r="AM378" s="14"/>
      <c r="AN378" s="14"/>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14"/>
      <c r="AH379" s="14"/>
      <c r="AI379" s="14"/>
      <c r="AJ379" s="14"/>
      <c r="AK379" s="14"/>
      <c r="AL379" s="14"/>
      <c r="AM379" s="14"/>
      <c r="AN379" s="14"/>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14"/>
      <c r="AH380" s="14"/>
      <c r="AI380" s="14"/>
      <c r="AJ380" s="14"/>
      <c r="AK380" s="14"/>
      <c r="AL380" s="14"/>
      <c r="AM380" s="14"/>
      <c r="AN380" s="14"/>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14"/>
      <c r="AH381" s="14"/>
      <c r="AI381" s="14"/>
      <c r="AJ381" s="14"/>
      <c r="AK381" s="14"/>
      <c r="AL381" s="14"/>
      <c r="AM381" s="14"/>
      <c r="AN381" s="14"/>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14"/>
      <c r="AH382" s="14"/>
      <c r="AI382" s="14"/>
      <c r="AJ382" s="14"/>
      <c r="AK382" s="14"/>
      <c r="AL382" s="14"/>
      <c r="AM382" s="14"/>
      <c r="AN382" s="14"/>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14"/>
      <c r="AH383" s="14"/>
      <c r="AI383" s="14"/>
      <c r="AJ383" s="14"/>
      <c r="AK383" s="14"/>
      <c r="AL383" s="14"/>
      <c r="AM383" s="14"/>
      <c r="AN383" s="14"/>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14"/>
      <c r="AH384" s="14"/>
      <c r="AI384" s="14"/>
      <c r="AJ384" s="14"/>
      <c r="AK384" s="14"/>
      <c r="AL384" s="14"/>
      <c r="AM384" s="14"/>
      <c r="AN384" s="14"/>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14"/>
      <c r="AH385" s="14"/>
      <c r="AI385" s="14"/>
      <c r="AJ385" s="14"/>
      <c r="AK385" s="14"/>
      <c r="AL385" s="14"/>
      <c r="AM385" s="14"/>
      <c r="AN385" s="14"/>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14"/>
      <c r="AH386" s="14"/>
      <c r="AI386" s="14"/>
      <c r="AJ386" s="14"/>
      <c r="AK386" s="14"/>
      <c r="AL386" s="14"/>
      <c r="AM386" s="14"/>
      <c r="AN386" s="14"/>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14"/>
      <c r="AH387" s="14"/>
      <c r="AI387" s="14"/>
      <c r="AJ387" s="14"/>
      <c r="AK387" s="14"/>
      <c r="AL387" s="14"/>
      <c r="AM387" s="14"/>
      <c r="AN387" s="14"/>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14"/>
      <c r="AH388" s="14"/>
      <c r="AI388" s="14"/>
      <c r="AJ388" s="14"/>
      <c r="AK388" s="14"/>
      <c r="AL388" s="14"/>
      <c r="AM388" s="14"/>
      <c r="AN388" s="14"/>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14"/>
      <c r="AH389" s="14"/>
      <c r="AI389" s="14"/>
      <c r="AJ389" s="14"/>
      <c r="AK389" s="14"/>
      <c r="AL389" s="14"/>
      <c r="AM389" s="14"/>
      <c r="AN389" s="14"/>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14"/>
      <c r="AH390" s="14"/>
      <c r="AI390" s="14"/>
      <c r="AJ390" s="14"/>
      <c r="AK390" s="14"/>
      <c r="AL390" s="14"/>
      <c r="AM390" s="14"/>
      <c r="AN390" s="14"/>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14"/>
      <c r="AH391" s="14"/>
      <c r="AI391" s="14"/>
      <c r="AJ391" s="14"/>
      <c r="AK391" s="14"/>
      <c r="AL391" s="14"/>
      <c r="AM391" s="14"/>
      <c r="AN391" s="14"/>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14"/>
      <c r="AH392" s="14"/>
      <c r="AI392" s="14"/>
      <c r="AJ392" s="14"/>
      <c r="AK392" s="14"/>
      <c r="AL392" s="14"/>
      <c r="AM392" s="14"/>
      <c r="AN392" s="14"/>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14"/>
      <c r="AH393" s="14"/>
      <c r="AI393" s="14"/>
      <c r="AJ393" s="14"/>
      <c r="AK393" s="14"/>
      <c r="AL393" s="14"/>
      <c r="AM393" s="14"/>
      <c r="AN393" s="14"/>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14"/>
      <c r="AH394" s="14"/>
      <c r="AI394" s="14"/>
      <c r="AJ394" s="14"/>
      <c r="AK394" s="14"/>
      <c r="AL394" s="14"/>
      <c r="AM394" s="14"/>
      <c r="AN394" s="14"/>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14"/>
      <c r="AH395" s="14"/>
      <c r="AI395" s="14"/>
      <c r="AJ395" s="14"/>
      <c r="AK395" s="14"/>
      <c r="AL395" s="14"/>
      <c r="AM395" s="14"/>
      <c r="AN395" s="14"/>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14"/>
      <c r="AH396" s="14"/>
      <c r="AI396" s="14"/>
      <c r="AJ396" s="14"/>
      <c r="AK396" s="14"/>
      <c r="AL396" s="14"/>
      <c r="AM396" s="14"/>
      <c r="AN396" s="14"/>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14"/>
      <c r="AH397" s="14"/>
      <c r="AI397" s="14"/>
      <c r="AJ397" s="14"/>
      <c r="AK397" s="14"/>
      <c r="AL397" s="14"/>
      <c r="AM397" s="14"/>
      <c r="AN397" s="14"/>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14"/>
      <c r="AH398" s="14"/>
      <c r="AI398" s="14"/>
      <c r="AJ398" s="14"/>
      <c r="AK398" s="14"/>
      <c r="AL398" s="14"/>
      <c r="AM398" s="14"/>
      <c r="AN398" s="14"/>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14"/>
      <c r="AH399" s="14"/>
      <c r="AI399" s="14"/>
      <c r="AJ399" s="14"/>
      <c r="AK399" s="14"/>
      <c r="AL399" s="14"/>
      <c r="AM399" s="14"/>
      <c r="AN399" s="14"/>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14"/>
      <c r="AH400" s="14"/>
      <c r="AI400" s="14"/>
      <c r="AJ400" s="14"/>
      <c r="AK400" s="14"/>
      <c r="AL400" s="14"/>
      <c r="AM400" s="14"/>
      <c r="AN400" s="14"/>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14"/>
      <c r="AH401" s="14"/>
      <c r="AI401" s="14"/>
      <c r="AJ401" s="14"/>
      <c r="AK401" s="14"/>
      <c r="AL401" s="14"/>
      <c r="AM401" s="14"/>
      <c r="AN401" s="14"/>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14"/>
      <c r="AH402" s="14"/>
      <c r="AI402" s="14"/>
      <c r="AJ402" s="14"/>
      <c r="AK402" s="14"/>
      <c r="AL402" s="14"/>
      <c r="AM402" s="14"/>
      <c r="AN402" s="14"/>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14"/>
      <c r="AH403" s="14"/>
      <c r="AI403" s="14"/>
      <c r="AJ403" s="14"/>
      <c r="AK403" s="14"/>
      <c r="AL403" s="14"/>
      <c r="AM403" s="14"/>
      <c r="AN403" s="14"/>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14"/>
      <c r="AH404" s="14"/>
      <c r="AI404" s="14"/>
      <c r="AJ404" s="14"/>
      <c r="AK404" s="14"/>
      <c r="AL404" s="14"/>
      <c r="AM404" s="14"/>
      <c r="AN404" s="14"/>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14"/>
      <c r="AH405" s="14"/>
      <c r="AI405" s="14"/>
      <c r="AJ405" s="14"/>
      <c r="AK405" s="14"/>
      <c r="AL405" s="14"/>
      <c r="AM405" s="14"/>
      <c r="AN405" s="14"/>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14"/>
      <c r="AH406" s="14"/>
      <c r="AI406" s="14"/>
      <c r="AJ406" s="14"/>
      <c r="AK406" s="14"/>
      <c r="AL406" s="14"/>
      <c r="AM406" s="14"/>
      <c r="AN406" s="14"/>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14"/>
      <c r="AH407" s="14"/>
      <c r="AI407" s="14"/>
      <c r="AJ407" s="14"/>
      <c r="AK407" s="14"/>
      <c r="AL407" s="14"/>
      <c r="AM407" s="14"/>
      <c r="AN407" s="14"/>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14"/>
      <c r="AH408" s="14"/>
      <c r="AI408" s="14"/>
      <c r="AJ408" s="14"/>
      <c r="AK408" s="14"/>
      <c r="AL408" s="14"/>
      <c r="AM408" s="14"/>
      <c r="AN408" s="14"/>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14"/>
      <c r="AH409" s="14"/>
      <c r="AI409" s="14"/>
      <c r="AJ409" s="14"/>
      <c r="AK409" s="14"/>
      <c r="AL409" s="14"/>
      <c r="AM409" s="14"/>
      <c r="AN409" s="14"/>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14"/>
      <c r="AH410" s="14"/>
      <c r="AI410" s="14"/>
      <c r="AJ410" s="14"/>
      <c r="AK410" s="14"/>
      <c r="AL410" s="14"/>
      <c r="AM410" s="14"/>
      <c r="AN410" s="14"/>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14"/>
      <c r="AH411" s="14"/>
      <c r="AI411" s="14"/>
      <c r="AJ411" s="14"/>
      <c r="AK411" s="14"/>
      <c r="AL411" s="14"/>
      <c r="AM411" s="14"/>
      <c r="AN411" s="14"/>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14"/>
      <c r="AH412" s="14"/>
      <c r="AI412" s="14"/>
      <c r="AJ412" s="14"/>
      <c r="AK412" s="14"/>
      <c r="AL412" s="14"/>
      <c r="AM412" s="14"/>
      <c r="AN412" s="14"/>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14"/>
      <c r="AH413" s="14"/>
      <c r="AI413" s="14"/>
      <c r="AJ413" s="14"/>
      <c r="AK413" s="14"/>
      <c r="AL413" s="14"/>
      <c r="AM413" s="14"/>
      <c r="AN413" s="14"/>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14"/>
      <c r="AH414" s="14"/>
      <c r="AI414" s="14"/>
      <c r="AJ414" s="14"/>
      <c r="AK414" s="14"/>
      <c r="AL414" s="14"/>
      <c r="AM414" s="14"/>
      <c r="AN414" s="14"/>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14"/>
      <c r="AH415" s="14"/>
      <c r="AI415" s="14"/>
      <c r="AJ415" s="14"/>
      <c r="AK415" s="14"/>
      <c r="AL415" s="14"/>
      <c r="AM415" s="14"/>
      <c r="AN415" s="14"/>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14"/>
      <c r="AH416" s="14"/>
      <c r="AI416" s="14"/>
      <c r="AJ416" s="14"/>
      <c r="AK416" s="14"/>
      <c r="AL416" s="14"/>
      <c r="AM416" s="14"/>
      <c r="AN416" s="14"/>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14"/>
      <c r="AH417" s="14"/>
      <c r="AI417" s="14"/>
      <c r="AJ417" s="14"/>
      <c r="AK417" s="14"/>
      <c r="AL417" s="14"/>
      <c r="AM417" s="14"/>
      <c r="AN417" s="14"/>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14"/>
      <c r="AH418" s="14"/>
      <c r="AI418" s="14"/>
      <c r="AJ418" s="14"/>
      <c r="AK418" s="14"/>
      <c r="AL418" s="14"/>
      <c r="AM418" s="14"/>
      <c r="AN418" s="14"/>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14"/>
      <c r="AH419" s="14"/>
      <c r="AI419" s="14"/>
      <c r="AJ419" s="14"/>
      <c r="AK419" s="14"/>
      <c r="AL419" s="14"/>
      <c r="AM419" s="14"/>
      <c r="AN419" s="14"/>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14"/>
      <c r="AH420" s="14"/>
      <c r="AI420" s="14"/>
      <c r="AJ420" s="14"/>
      <c r="AK420" s="14"/>
      <c r="AL420" s="14"/>
      <c r="AM420" s="14"/>
      <c r="AN420" s="14"/>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14"/>
      <c r="AH421" s="14"/>
      <c r="AI421" s="14"/>
      <c r="AJ421" s="14"/>
      <c r="AK421" s="14"/>
      <c r="AL421" s="14"/>
      <c r="AM421" s="14"/>
      <c r="AN421" s="14"/>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14"/>
      <c r="AH422" s="14"/>
      <c r="AI422" s="14"/>
      <c r="AJ422" s="14"/>
      <c r="AK422" s="14"/>
      <c r="AL422" s="14"/>
      <c r="AM422" s="14"/>
      <c r="AN422" s="14"/>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14"/>
      <c r="AH423" s="14"/>
      <c r="AI423" s="14"/>
      <c r="AJ423" s="14"/>
      <c r="AK423" s="14"/>
      <c r="AL423" s="14"/>
      <c r="AM423" s="14"/>
      <c r="AN423" s="14"/>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14"/>
      <c r="AH424" s="14"/>
      <c r="AI424" s="14"/>
      <c r="AJ424" s="14"/>
      <c r="AK424" s="14"/>
      <c r="AL424" s="14"/>
      <c r="AM424" s="14"/>
      <c r="AN424" s="14"/>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14"/>
      <c r="AH425" s="14"/>
      <c r="AI425" s="14"/>
      <c r="AJ425" s="14"/>
      <c r="AK425" s="14"/>
      <c r="AL425" s="14"/>
      <c r="AM425" s="14"/>
      <c r="AN425" s="14"/>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14"/>
      <c r="AH426" s="14"/>
      <c r="AI426" s="14"/>
      <c r="AJ426" s="14"/>
      <c r="AK426" s="14"/>
      <c r="AL426" s="14"/>
      <c r="AM426" s="14"/>
      <c r="AN426" s="14"/>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14"/>
      <c r="AH427" s="14"/>
      <c r="AI427" s="14"/>
      <c r="AJ427" s="14"/>
      <c r="AK427" s="14"/>
      <c r="AL427" s="14"/>
      <c r="AM427" s="14"/>
      <c r="AN427" s="14"/>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14"/>
      <c r="AH428" s="14"/>
      <c r="AI428" s="14"/>
      <c r="AJ428" s="14"/>
      <c r="AK428" s="14"/>
      <c r="AL428" s="14"/>
      <c r="AM428" s="14"/>
      <c r="AN428" s="14"/>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14"/>
      <c r="AH429" s="14"/>
      <c r="AI429" s="14"/>
      <c r="AJ429" s="14"/>
      <c r="AK429" s="14"/>
      <c r="AL429" s="14"/>
      <c r="AM429" s="14"/>
      <c r="AN429" s="14"/>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14"/>
      <c r="AH430" s="14"/>
      <c r="AI430" s="14"/>
      <c r="AJ430" s="14"/>
      <c r="AK430" s="14"/>
      <c r="AL430" s="14"/>
      <c r="AM430" s="14"/>
      <c r="AN430" s="14"/>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14"/>
      <c r="AH431" s="14"/>
      <c r="AI431" s="14"/>
      <c r="AJ431" s="14"/>
      <c r="AK431" s="14"/>
      <c r="AL431" s="14"/>
      <c r="AM431" s="14"/>
      <c r="AN431" s="14"/>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14"/>
      <c r="AH432" s="14"/>
      <c r="AI432" s="14"/>
      <c r="AJ432" s="14"/>
      <c r="AK432" s="14"/>
      <c r="AL432" s="14"/>
      <c r="AM432" s="14"/>
      <c r="AN432" s="14"/>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14"/>
      <c r="AH433" s="14"/>
      <c r="AI433" s="14"/>
      <c r="AJ433" s="14"/>
      <c r="AK433" s="14"/>
      <c r="AL433" s="14"/>
      <c r="AM433" s="14"/>
      <c r="AN433" s="14"/>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14"/>
      <c r="AH434" s="14"/>
      <c r="AI434" s="14"/>
      <c r="AJ434" s="14"/>
      <c r="AK434" s="14"/>
      <c r="AL434" s="14"/>
      <c r="AM434" s="14"/>
      <c r="AN434" s="14"/>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14"/>
      <c r="AH435" s="14"/>
      <c r="AI435" s="14"/>
      <c r="AJ435" s="14"/>
      <c r="AK435" s="14"/>
      <c r="AL435" s="14"/>
      <c r="AM435" s="14"/>
      <c r="AN435" s="14"/>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14"/>
      <c r="AH436" s="14"/>
      <c r="AI436" s="14"/>
      <c r="AJ436" s="14"/>
      <c r="AK436" s="14"/>
      <c r="AL436" s="14"/>
      <c r="AM436" s="14"/>
      <c r="AN436" s="14"/>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14"/>
      <c r="AH437" s="14"/>
      <c r="AI437" s="14"/>
      <c r="AJ437" s="14"/>
      <c r="AK437" s="14"/>
      <c r="AL437" s="14"/>
      <c r="AM437" s="14"/>
      <c r="AN437" s="14"/>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14"/>
      <c r="AH438" s="14"/>
      <c r="AI438" s="14"/>
      <c r="AJ438" s="14"/>
      <c r="AK438" s="14"/>
      <c r="AL438" s="14"/>
      <c r="AM438" s="14"/>
      <c r="AN438" s="14"/>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14"/>
      <c r="AH439" s="14"/>
      <c r="AI439" s="14"/>
      <c r="AJ439" s="14"/>
      <c r="AK439" s="14"/>
      <c r="AL439" s="14"/>
      <c r="AM439" s="14"/>
      <c r="AN439" s="14"/>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14"/>
      <c r="AH440" s="14"/>
      <c r="AI440" s="14"/>
      <c r="AJ440" s="14"/>
      <c r="AK440" s="14"/>
      <c r="AL440" s="14"/>
      <c r="AM440" s="14"/>
      <c r="AN440" s="14"/>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14"/>
      <c r="AH441" s="14"/>
      <c r="AI441" s="14"/>
      <c r="AJ441" s="14"/>
      <c r="AK441" s="14"/>
      <c r="AL441" s="14"/>
      <c r="AM441" s="14"/>
      <c r="AN441" s="14"/>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14"/>
      <c r="AH442" s="14"/>
      <c r="AI442" s="14"/>
      <c r="AJ442" s="14"/>
      <c r="AK442" s="14"/>
      <c r="AL442" s="14"/>
      <c r="AM442" s="14"/>
      <c r="AN442" s="14"/>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14"/>
      <c r="AH443" s="14"/>
      <c r="AI443" s="14"/>
      <c r="AJ443" s="14"/>
      <c r="AK443" s="14"/>
      <c r="AL443" s="14"/>
      <c r="AM443" s="14"/>
      <c r="AN443" s="14"/>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14"/>
      <c r="AH444" s="14"/>
      <c r="AI444" s="14"/>
      <c r="AJ444" s="14"/>
      <c r="AK444" s="14"/>
      <c r="AL444" s="14"/>
      <c r="AM444" s="14"/>
      <c r="AN444" s="14"/>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14"/>
      <c r="AH445" s="14"/>
      <c r="AI445" s="14"/>
      <c r="AJ445" s="14"/>
      <c r="AK445" s="14"/>
      <c r="AL445" s="14"/>
      <c r="AM445" s="14"/>
      <c r="AN445" s="14"/>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14"/>
      <c r="AH446" s="14"/>
      <c r="AI446" s="14"/>
      <c r="AJ446" s="14"/>
      <c r="AK446" s="14"/>
      <c r="AL446" s="14"/>
      <c r="AM446" s="14"/>
      <c r="AN446" s="14"/>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14"/>
      <c r="AH447" s="14"/>
      <c r="AI447" s="14"/>
      <c r="AJ447" s="14"/>
      <c r="AK447" s="14"/>
      <c r="AL447" s="14"/>
      <c r="AM447" s="14"/>
      <c r="AN447" s="14"/>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14"/>
      <c r="AH448" s="14"/>
      <c r="AI448" s="14"/>
      <c r="AJ448" s="14"/>
      <c r="AK448" s="14"/>
      <c r="AL448" s="14"/>
      <c r="AM448" s="14"/>
      <c r="AN448" s="14"/>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14"/>
      <c r="AH449" s="14"/>
      <c r="AI449" s="14"/>
      <c r="AJ449" s="14"/>
      <c r="AK449" s="14"/>
      <c r="AL449" s="14"/>
      <c r="AM449" s="14"/>
      <c r="AN449" s="14"/>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14"/>
      <c r="AH450" s="14"/>
      <c r="AI450" s="14"/>
      <c r="AJ450" s="14"/>
      <c r="AK450" s="14"/>
      <c r="AL450" s="14"/>
      <c r="AM450" s="14"/>
      <c r="AN450" s="14"/>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14"/>
      <c r="AH451" s="14"/>
      <c r="AI451" s="14"/>
      <c r="AJ451" s="14"/>
      <c r="AK451" s="14"/>
      <c r="AL451" s="14"/>
      <c r="AM451" s="14"/>
      <c r="AN451" s="14"/>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14"/>
      <c r="AH452" s="14"/>
      <c r="AI452" s="14"/>
      <c r="AJ452" s="14"/>
      <c r="AK452" s="14"/>
      <c r="AL452" s="14"/>
      <c r="AM452" s="14"/>
      <c r="AN452" s="14"/>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14"/>
      <c r="AH453" s="14"/>
      <c r="AI453" s="14"/>
      <c r="AJ453" s="14"/>
      <c r="AK453" s="14"/>
      <c r="AL453" s="14"/>
      <c r="AM453" s="14"/>
      <c r="AN453" s="14"/>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14"/>
      <c r="AH454" s="14"/>
      <c r="AI454" s="14"/>
      <c r="AJ454" s="14"/>
      <c r="AK454" s="14"/>
      <c r="AL454" s="14"/>
      <c r="AM454" s="14"/>
      <c r="AN454" s="14"/>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14"/>
      <c r="AH455" s="14"/>
      <c r="AI455" s="14"/>
      <c r="AJ455" s="14"/>
      <c r="AK455" s="14"/>
      <c r="AL455" s="14"/>
      <c r="AM455" s="14"/>
      <c r="AN455" s="14"/>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14"/>
      <c r="AH456" s="14"/>
      <c r="AI456" s="14"/>
      <c r="AJ456" s="14"/>
      <c r="AK456" s="14"/>
      <c r="AL456" s="14"/>
      <c r="AM456" s="14"/>
      <c r="AN456" s="14"/>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14"/>
      <c r="AH457" s="14"/>
      <c r="AI457" s="14"/>
      <c r="AJ457" s="14"/>
      <c r="AK457" s="14"/>
      <c r="AL457" s="14"/>
      <c r="AM457" s="14"/>
      <c r="AN457" s="14"/>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14"/>
      <c r="AH458" s="14"/>
      <c r="AI458" s="14"/>
      <c r="AJ458" s="14"/>
      <c r="AK458" s="14"/>
      <c r="AL458" s="14"/>
      <c r="AM458" s="14"/>
      <c r="AN458" s="14"/>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14"/>
      <c r="AH459" s="14"/>
      <c r="AI459" s="14"/>
      <c r="AJ459" s="14"/>
      <c r="AK459" s="14"/>
      <c r="AL459" s="14"/>
      <c r="AM459" s="14"/>
      <c r="AN459" s="14"/>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14"/>
      <c r="AH460" s="14"/>
      <c r="AI460" s="14"/>
      <c r="AJ460" s="14"/>
      <c r="AK460" s="14"/>
      <c r="AL460" s="14"/>
      <c r="AM460" s="14"/>
      <c r="AN460" s="14"/>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14"/>
      <c r="AH461" s="14"/>
      <c r="AI461" s="14"/>
      <c r="AJ461" s="14"/>
      <c r="AK461" s="14"/>
      <c r="AL461" s="14"/>
      <c r="AM461" s="14"/>
      <c r="AN461" s="14"/>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14"/>
      <c r="AH462" s="14"/>
      <c r="AI462" s="14"/>
      <c r="AJ462" s="14"/>
      <c r="AK462" s="14"/>
      <c r="AL462" s="14"/>
      <c r="AM462" s="14"/>
      <c r="AN462" s="14"/>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14"/>
      <c r="AH463" s="14"/>
      <c r="AI463" s="14"/>
      <c r="AJ463" s="14"/>
      <c r="AK463" s="14"/>
      <c r="AL463" s="14"/>
      <c r="AM463" s="14"/>
      <c r="AN463" s="14"/>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14"/>
      <c r="AH464" s="14"/>
      <c r="AI464" s="14"/>
      <c r="AJ464" s="14"/>
      <c r="AK464" s="14"/>
      <c r="AL464" s="14"/>
      <c r="AM464" s="14"/>
      <c r="AN464" s="14"/>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14"/>
      <c r="AH465" s="14"/>
      <c r="AI465" s="14"/>
      <c r="AJ465" s="14"/>
      <c r="AK465" s="14"/>
      <c r="AL465" s="14"/>
      <c r="AM465" s="14"/>
      <c r="AN465" s="14"/>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14"/>
      <c r="AH466" s="14"/>
      <c r="AI466" s="14"/>
      <c r="AJ466" s="14"/>
      <c r="AK466" s="14"/>
      <c r="AL466" s="14"/>
      <c r="AM466" s="14"/>
      <c r="AN466" s="14"/>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14"/>
      <c r="AH467" s="14"/>
      <c r="AI467" s="14"/>
      <c r="AJ467" s="14"/>
      <c r="AK467" s="14"/>
      <c r="AL467" s="14"/>
      <c r="AM467" s="14"/>
      <c r="AN467" s="14"/>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14"/>
      <c r="AH468" s="14"/>
      <c r="AI468" s="14"/>
      <c r="AJ468" s="14"/>
      <c r="AK468" s="14"/>
      <c r="AL468" s="14"/>
      <c r="AM468" s="14"/>
      <c r="AN468" s="14"/>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14"/>
      <c r="AH469" s="14"/>
      <c r="AI469" s="14"/>
      <c r="AJ469" s="14"/>
      <c r="AK469" s="14"/>
      <c r="AL469" s="14"/>
      <c r="AM469" s="14"/>
      <c r="AN469" s="14"/>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14"/>
      <c r="AH470" s="14"/>
      <c r="AI470" s="14"/>
      <c r="AJ470" s="14"/>
      <c r="AK470" s="14"/>
      <c r="AL470" s="14"/>
      <c r="AM470" s="14"/>
      <c r="AN470" s="14"/>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14"/>
      <c r="AH471" s="14"/>
      <c r="AI471" s="14"/>
      <c r="AJ471" s="14"/>
      <c r="AK471" s="14"/>
      <c r="AL471" s="14"/>
      <c r="AM471" s="14"/>
      <c r="AN471" s="14"/>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14"/>
      <c r="AH472" s="14"/>
      <c r="AI472" s="14"/>
      <c r="AJ472" s="14"/>
      <c r="AK472" s="14"/>
      <c r="AL472" s="14"/>
      <c r="AM472" s="14"/>
      <c r="AN472" s="14"/>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14"/>
      <c r="AH473" s="14"/>
      <c r="AI473" s="14"/>
      <c r="AJ473" s="14"/>
      <c r="AK473" s="14"/>
      <c r="AL473" s="14"/>
      <c r="AM473" s="14"/>
      <c r="AN473" s="14"/>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14"/>
      <c r="AH474" s="14"/>
      <c r="AI474" s="14"/>
      <c r="AJ474" s="14"/>
      <c r="AK474" s="14"/>
      <c r="AL474" s="14"/>
      <c r="AM474" s="14"/>
      <c r="AN474" s="14"/>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14"/>
      <c r="AH475" s="14"/>
      <c r="AI475" s="14"/>
      <c r="AJ475" s="14"/>
      <c r="AK475" s="14"/>
      <c r="AL475" s="14"/>
      <c r="AM475" s="14"/>
      <c r="AN475" s="14"/>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14"/>
      <c r="AH476" s="14"/>
      <c r="AI476" s="14"/>
      <c r="AJ476" s="14"/>
      <c r="AK476" s="14"/>
      <c r="AL476" s="14"/>
      <c r="AM476" s="14"/>
      <c r="AN476" s="14"/>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14"/>
      <c r="AH477" s="14"/>
      <c r="AI477" s="14"/>
      <c r="AJ477" s="14"/>
      <c r="AK477" s="14"/>
      <c r="AL477" s="14"/>
      <c r="AM477" s="14"/>
      <c r="AN477" s="14"/>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14"/>
      <c r="AH478" s="14"/>
      <c r="AI478" s="14"/>
      <c r="AJ478" s="14"/>
      <c r="AK478" s="14"/>
      <c r="AL478" s="14"/>
      <c r="AM478" s="14"/>
      <c r="AN478" s="14"/>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14"/>
      <c r="AH479" s="14"/>
      <c r="AI479" s="14"/>
      <c r="AJ479" s="14"/>
      <c r="AK479" s="14"/>
      <c r="AL479" s="14"/>
      <c r="AM479" s="14"/>
      <c r="AN479" s="14"/>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14"/>
      <c r="AH480" s="14"/>
      <c r="AI480" s="14"/>
      <c r="AJ480" s="14"/>
      <c r="AK480" s="14"/>
      <c r="AL480" s="14"/>
      <c r="AM480" s="14"/>
      <c r="AN480" s="14"/>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14"/>
      <c r="AH481" s="14"/>
      <c r="AI481" s="14"/>
      <c r="AJ481" s="14"/>
      <c r="AK481" s="14"/>
      <c r="AL481" s="14"/>
      <c r="AM481" s="14"/>
      <c r="AN481" s="14"/>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14"/>
      <c r="AH482" s="14"/>
      <c r="AI482" s="14"/>
      <c r="AJ482" s="14"/>
      <c r="AK482" s="14"/>
      <c r="AL482" s="14"/>
      <c r="AM482" s="14"/>
      <c r="AN482" s="14"/>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14"/>
      <c r="AH483" s="14"/>
      <c r="AI483" s="14"/>
      <c r="AJ483" s="14"/>
      <c r="AK483" s="14"/>
      <c r="AL483" s="14"/>
      <c r="AM483" s="14"/>
      <c r="AN483" s="14"/>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14"/>
      <c r="AH484" s="14"/>
      <c r="AI484" s="14"/>
      <c r="AJ484" s="14"/>
      <c r="AK484" s="14"/>
      <c r="AL484" s="14"/>
      <c r="AM484" s="14"/>
      <c r="AN484" s="14"/>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14"/>
      <c r="AH485" s="14"/>
      <c r="AI485" s="14"/>
      <c r="AJ485" s="14"/>
      <c r="AK485" s="14"/>
      <c r="AL485" s="14"/>
      <c r="AM485" s="14"/>
      <c r="AN485" s="14"/>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14"/>
      <c r="AH486" s="14"/>
      <c r="AI486" s="14"/>
      <c r="AJ486" s="14"/>
      <c r="AK486" s="14"/>
      <c r="AL486" s="14"/>
      <c r="AM486" s="14"/>
      <c r="AN486" s="14"/>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14"/>
      <c r="AH487" s="14"/>
      <c r="AI487" s="14"/>
      <c r="AJ487" s="14"/>
      <c r="AK487" s="14"/>
      <c r="AL487" s="14"/>
      <c r="AM487" s="14"/>
      <c r="AN487" s="14"/>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14"/>
      <c r="AH488" s="14"/>
      <c r="AI488" s="14"/>
      <c r="AJ488" s="14"/>
      <c r="AK488" s="14"/>
      <c r="AL488" s="14"/>
      <c r="AM488" s="14"/>
      <c r="AN488" s="14"/>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14"/>
      <c r="AH489" s="14"/>
      <c r="AI489" s="14"/>
      <c r="AJ489" s="14"/>
      <c r="AK489" s="14"/>
      <c r="AL489" s="14"/>
      <c r="AM489" s="14"/>
      <c r="AN489" s="14"/>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14"/>
      <c r="AH490" s="14"/>
      <c r="AI490" s="14"/>
      <c r="AJ490" s="14"/>
      <c r="AK490" s="14"/>
      <c r="AL490" s="14"/>
      <c r="AM490" s="14"/>
      <c r="AN490" s="14"/>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14"/>
      <c r="AH491" s="14"/>
      <c r="AI491" s="14"/>
      <c r="AJ491" s="14"/>
      <c r="AK491" s="14"/>
      <c r="AL491" s="14"/>
      <c r="AM491" s="14"/>
      <c r="AN491" s="14"/>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14"/>
      <c r="AH492" s="14"/>
      <c r="AI492" s="14"/>
      <c r="AJ492" s="14"/>
      <c r="AK492" s="14"/>
      <c r="AL492" s="14"/>
      <c r="AM492" s="14"/>
      <c r="AN492" s="14"/>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14"/>
      <c r="AH493" s="14"/>
      <c r="AI493" s="14"/>
      <c r="AJ493" s="14"/>
      <c r="AK493" s="14"/>
      <c r="AL493" s="14"/>
      <c r="AM493" s="14"/>
      <c r="AN493" s="14"/>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14"/>
      <c r="AH494" s="14"/>
      <c r="AI494" s="14"/>
      <c r="AJ494" s="14"/>
      <c r="AK494" s="14"/>
      <c r="AL494" s="14"/>
      <c r="AM494" s="14"/>
      <c r="AN494" s="14"/>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14"/>
      <c r="AH495" s="14"/>
      <c r="AI495" s="14"/>
      <c r="AJ495" s="14"/>
      <c r="AK495" s="14"/>
      <c r="AL495" s="14"/>
      <c r="AM495" s="14"/>
      <c r="AN495" s="14"/>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14"/>
      <c r="AH496" s="14"/>
      <c r="AI496" s="14"/>
      <c r="AJ496" s="14"/>
      <c r="AK496" s="14"/>
      <c r="AL496" s="14"/>
      <c r="AM496" s="14"/>
      <c r="AN496" s="14"/>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14"/>
      <c r="AH497" s="14"/>
      <c r="AI497" s="14"/>
      <c r="AJ497" s="14"/>
      <c r="AK497" s="14"/>
      <c r="AL497" s="14"/>
      <c r="AM497" s="14"/>
      <c r="AN497" s="14"/>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14"/>
      <c r="AH498" s="14"/>
      <c r="AI498" s="14"/>
      <c r="AJ498" s="14"/>
      <c r="AK498" s="14"/>
      <c r="AL498" s="14"/>
      <c r="AM498" s="14"/>
      <c r="AN498" s="14"/>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14"/>
      <c r="AH499" s="14"/>
      <c r="AI499" s="14"/>
      <c r="AJ499" s="14"/>
      <c r="AK499" s="14"/>
      <c r="AL499" s="14"/>
      <c r="AM499" s="14"/>
      <c r="AN499" s="14"/>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14"/>
      <c r="AH500" s="14"/>
      <c r="AI500" s="14"/>
      <c r="AJ500" s="14"/>
      <c r="AK500" s="14"/>
      <c r="AL500" s="14"/>
      <c r="AM500" s="14"/>
      <c r="AN500" s="14"/>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14"/>
      <c r="AH501" s="14"/>
      <c r="AI501" s="14"/>
      <c r="AJ501" s="14"/>
      <c r="AK501" s="14"/>
      <c r="AL501" s="14"/>
      <c r="AM501" s="14"/>
      <c r="AN501" s="14"/>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14"/>
      <c r="AH502" s="14"/>
      <c r="AI502" s="14"/>
      <c r="AJ502" s="14"/>
      <c r="AK502" s="14"/>
      <c r="AL502" s="14"/>
      <c r="AM502" s="14"/>
      <c r="AN502" s="14"/>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14"/>
      <c r="AH503" s="14"/>
      <c r="AI503" s="14"/>
      <c r="AJ503" s="14"/>
      <c r="AK503" s="14"/>
      <c r="AL503" s="14"/>
      <c r="AM503" s="14"/>
      <c r="AN503" s="14"/>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14"/>
      <c r="AH504" s="14"/>
      <c r="AI504" s="14"/>
      <c r="AJ504" s="14"/>
      <c r="AK504" s="14"/>
      <c r="AL504" s="14"/>
      <c r="AM504" s="14"/>
      <c r="AN504" s="14"/>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14"/>
      <c r="AH505" s="14"/>
      <c r="AI505" s="14"/>
      <c r="AJ505" s="14"/>
      <c r="AK505" s="14"/>
      <c r="AL505" s="14"/>
      <c r="AM505" s="14"/>
      <c r="AN505" s="14"/>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14"/>
      <c r="AH506" s="14"/>
      <c r="AI506" s="14"/>
      <c r="AJ506" s="14"/>
      <c r="AK506" s="14"/>
      <c r="AL506" s="14"/>
      <c r="AM506" s="14"/>
      <c r="AN506" s="14"/>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14"/>
      <c r="AH507" s="14"/>
      <c r="AI507" s="14"/>
      <c r="AJ507" s="14"/>
      <c r="AK507" s="14"/>
      <c r="AL507" s="14"/>
      <c r="AM507" s="14"/>
      <c r="AN507" s="14"/>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14"/>
      <c r="AH508" s="14"/>
      <c r="AI508" s="14"/>
      <c r="AJ508" s="14"/>
      <c r="AK508" s="14"/>
      <c r="AL508" s="14"/>
      <c r="AM508" s="14"/>
      <c r="AN508" s="14"/>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14"/>
      <c r="AH509" s="14"/>
      <c r="AI509" s="14"/>
      <c r="AJ509" s="14"/>
      <c r="AK509" s="14"/>
      <c r="AL509" s="14"/>
      <c r="AM509" s="14"/>
      <c r="AN509" s="14"/>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14"/>
      <c r="AH510" s="14"/>
      <c r="AI510" s="14"/>
      <c r="AJ510" s="14"/>
      <c r="AK510" s="14"/>
      <c r="AL510" s="14"/>
      <c r="AM510" s="14"/>
      <c r="AN510" s="14"/>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14"/>
      <c r="AH511" s="14"/>
      <c r="AI511" s="14"/>
      <c r="AJ511" s="14"/>
      <c r="AK511" s="14"/>
      <c r="AL511" s="14"/>
      <c r="AM511" s="14"/>
      <c r="AN511" s="14"/>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14"/>
      <c r="AH512" s="14"/>
      <c r="AI512" s="14"/>
      <c r="AJ512" s="14"/>
      <c r="AK512" s="14"/>
      <c r="AL512" s="14"/>
      <c r="AM512" s="14"/>
      <c r="AN512" s="14"/>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14"/>
      <c r="AH513" s="14"/>
      <c r="AI513" s="14"/>
      <c r="AJ513" s="14"/>
      <c r="AK513" s="14"/>
      <c r="AL513" s="14"/>
      <c r="AM513" s="14"/>
      <c r="AN513" s="14"/>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14"/>
      <c r="AH514" s="14"/>
      <c r="AI514" s="14"/>
      <c r="AJ514" s="14"/>
      <c r="AK514" s="14"/>
      <c r="AL514" s="14"/>
      <c r="AM514" s="14"/>
      <c r="AN514" s="14"/>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14"/>
      <c r="AH515" s="14"/>
      <c r="AI515" s="14"/>
      <c r="AJ515" s="14"/>
      <c r="AK515" s="14"/>
      <c r="AL515" s="14"/>
      <c r="AM515" s="14"/>
      <c r="AN515" s="14"/>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14"/>
      <c r="AH516" s="14"/>
      <c r="AI516" s="14"/>
      <c r="AJ516" s="14"/>
      <c r="AK516" s="14"/>
      <c r="AL516" s="14"/>
      <c r="AM516" s="14"/>
      <c r="AN516" s="14"/>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14"/>
      <c r="AH517" s="14"/>
      <c r="AI517" s="14"/>
      <c r="AJ517" s="14"/>
      <c r="AK517" s="14"/>
      <c r="AL517" s="14"/>
      <c r="AM517" s="14"/>
      <c r="AN517" s="14"/>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14"/>
      <c r="AH518" s="14"/>
      <c r="AI518" s="14"/>
      <c r="AJ518" s="14"/>
      <c r="AK518" s="14"/>
      <c r="AL518" s="14"/>
      <c r="AM518" s="14"/>
      <c r="AN518" s="14"/>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14"/>
      <c r="AH519" s="14"/>
      <c r="AI519" s="14"/>
      <c r="AJ519" s="14"/>
      <c r="AK519" s="14"/>
      <c r="AL519" s="14"/>
      <c r="AM519" s="14"/>
      <c r="AN519" s="14"/>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14"/>
      <c r="AH520" s="14"/>
      <c r="AI520" s="14"/>
      <c r="AJ520" s="14"/>
      <c r="AK520" s="14"/>
      <c r="AL520" s="14"/>
      <c r="AM520" s="14"/>
      <c r="AN520" s="14"/>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14"/>
      <c r="AH521" s="14"/>
      <c r="AI521" s="14"/>
      <c r="AJ521" s="14"/>
      <c r="AK521" s="14"/>
      <c r="AL521" s="14"/>
      <c r="AM521" s="14"/>
      <c r="AN521" s="14"/>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14"/>
      <c r="AH522" s="14"/>
      <c r="AI522" s="14"/>
      <c r="AJ522" s="14"/>
      <c r="AK522" s="14"/>
      <c r="AL522" s="14"/>
      <c r="AM522" s="14"/>
      <c r="AN522" s="14"/>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14"/>
      <c r="AH523" s="14"/>
      <c r="AI523" s="14"/>
      <c r="AJ523" s="14"/>
      <c r="AK523" s="14"/>
      <c r="AL523" s="14"/>
      <c r="AM523" s="14"/>
      <c r="AN523" s="14"/>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14"/>
      <c r="AH524" s="14"/>
      <c r="AI524" s="14"/>
      <c r="AJ524" s="14"/>
      <c r="AK524" s="14"/>
      <c r="AL524" s="14"/>
      <c r="AM524" s="14"/>
      <c r="AN524" s="14"/>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14"/>
      <c r="AH525" s="14"/>
      <c r="AI525" s="14"/>
      <c r="AJ525" s="14"/>
      <c r="AK525" s="14"/>
      <c r="AL525" s="14"/>
      <c r="AM525" s="14"/>
      <c r="AN525" s="14"/>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14"/>
      <c r="AH526" s="14"/>
      <c r="AI526" s="14"/>
      <c r="AJ526" s="14"/>
      <c r="AK526" s="14"/>
      <c r="AL526" s="14"/>
      <c r="AM526" s="14"/>
      <c r="AN526" s="14"/>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14"/>
      <c r="AH527" s="14"/>
      <c r="AI527" s="14"/>
      <c r="AJ527" s="14"/>
      <c r="AK527" s="14"/>
      <c r="AL527" s="14"/>
      <c r="AM527" s="14"/>
      <c r="AN527" s="14"/>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14"/>
      <c r="AH528" s="14"/>
      <c r="AI528" s="14"/>
      <c r="AJ528" s="14"/>
      <c r="AK528" s="14"/>
      <c r="AL528" s="14"/>
      <c r="AM528" s="14"/>
      <c r="AN528" s="14"/>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14"/>
      <c r="AH529" s="14"/>
      <c r="AI529" s="14"/>
      <c r="AJ529" s="14"/>
      <c r="AK529" s="14"/>
      <c r="AL529" s="14"/>
      <c r="AM529" s="14"/>
      <c r="AN529" s="14"/>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14"/>
      <c r="AH530" s="14"/>
      <c r="AI530" s="14"/>
      <c r="AJ530" s="14"/>
      <c r="AK530" s="14"/>
      <c r="AL530" s="14"/>
      <c r="AM530" s="14"/>
      <c r="AN530" s="14"/>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14"/>
      <c r="AH531" s="14"/>
      <c r="AI531" s="14"/>
      <c r="AJ531" s="14"/>
      <c r="AK531" s="14"/>
      <c r="AL531" s="14"/>
      <c r="AM531" s="14"/>
      <c r="AN531" s="14"/>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14"/>
      <c r="AH532" s="14"/>
      <c r="AI532" s="14"/>
      <c r="AJ532" s="14"/>
      <c r="AK532" s="14"/>
      <c r="AL532" s="14"/>
      <c r="AM532" s="14"/>
      <c r="AN532" s="14"/>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14"/>
      <c r="AH533" s="14"/>
      <c r="AI533" s="14"/>
      <c r="AJ533" s="14"/>
      <c r="AK533" s="14"/>
      <c r="AL533" s="14"/>
      <c r="AM533" s="14"/>
      <c r="AN533" s="14"/>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14"/>
      <c r="AH534" s="14"/>
      <c r="AI534" s="14"/>
      <c r="AJ534" s="14"/>
      <c r="AK534" s="14"/>
      <c r="AL534" s="14"/>
      <c r="AM534" s="14"/>
      <c r="AN534" s="14"/>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14"/>
      <c r="AH535" s="14"/>
      <c r="AI535" s="14"/>
      <c r="AJ535" s="14"/>
      <c r="AK535" s="14"/>
      <c r="AL535" s="14"/>
      <c r="AM535" s="14"/>
      <c r="AN535" s="14"/>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14"/>
      <c r="AH536" s="14"/>
      <c r="AI536" s="14"/>
      <c r="AJ536" s="14"/>
      <c r="AK536" s="14"/>
      <c r="AL536" s="14"/>
      <c r="AM536" s="14"/>
      <c r="AN536" s="14"/>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14"/>
      <c r="AH537" s="14"/>
      <c r="AI537" s="14"/>
      <c r="AJ537" s="14"/>
      <c r="AK537" s="14"/>
      <c r="AL537" s="14"/>
      <c r="AM537" s="14"/>
      <c r="AN537" s="14"/>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14"/>
      <c r="AH538" s="14"/>
      <c r="AI538" s="14"/>
      <c r="AJ538" s="14"/>
      <c r="AK538" s="14"/>
      <c r="AL538" s="14"/>
      <c r="AM538" s="14"/>
      <c r="AN538" s="14"/>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14"/>
      <c r="AH539" s="14"/>
      <c r="AI539" s="14"/>
      <c r="AJ539" s="14"/>
      <c r="AK539" s="14"/>
      <c r="AL539" s="14"/>
      <c r="AM539" s="14"/>
      <c r="AN539" s="14"/>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14"/>
      <c r="AH540" s="14"/>
      <c r="AI540" s="14"/>
      <c r="AJ540" s="14"/>
      <c r="AK540" s="14"/>
      <c r="AL540" s="14"/>
      <c r="AM540" s="14"/>
      <c r="AN540" s="14"/>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14"/>
      <c r="AH541" s="14"/>
      <c r="AI541" s="14"/>
      <c r="AJ541" s="14"/>
      <c r="AK541" s="14"/>
      <c r="AL541" s="14"/>
      <c r="AM541" s="14"/>
      <c r="AN541" s="14"/>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14"/>
      <c r="AH542" s="14"/>
      <c r="AI542" s="14"/>
      <c r="AJ542" s="14"/>
      <c r="AK542" s="14"/>
      <c r="AL542" s="14"/>
      <c r="AM542" s="14"/>
      <c r="AN542" s="14"/>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14"/>
      <c r="AH543" s="14"/>
      <c r="AI543" s="14"/>
      <c r="AJ543" s="14"/>
      <c r="AK543" s="14"/>
      <c r="AL543" s="14"/>
      <c r="AM543" s="14"/>
      <c r="AN543" s="14"/>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14"/>
      <c r="AH544" s="14"/>
      <c r="AI544" s="14"/>
      <c r="AJ544" s="14"/>
      <c r="AK544" s="14"/>
      <c r="AL544" s="14"/>
      <c r="AM544" s="14"/>
      <c r="AN544" s="14"/>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14"/>
      <c r="AH545" s="14"/>
      <c r="AI545" s="14"/>
      <c r="AJ545" s="14"/>
      <c r="AK545" s="14"/>
      <c r="AL545" s="14"/>
      <c r="AM545" s="14"/>
      <c r="AN545" s="14"/>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14"/>
      <c r="AH546" s="14"/>
      <c r="AI546" s="14"/>
      <c r="AJ546" s="14"/>
      <c r="AK546" s="14"/>
      <c r="AL546" s="14"/>
      <c r="AM546" s="14"/>
      <c r="AN546" s="14"/>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14"/>
      <c r="AH547" s="14"/>
      <c r="AI547" s="14"/>
      <c r="AJ547" s="14"/>
      <c r="AK547" s="14"/>
      <c r="AL547" s="14"/>
      <c r="AM547" s="14"/>
      <c r="AN547" s="14"/>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14"/>
      <c r="AH548" s="14"/>
      <c r="AI548" s="14"/>
      <c r="AJ548" s="14"/>
      <c r="AK548" s="14"/>
      <c r="AL548" s="14"/>
      <c r="AM548" s="14"/>
      <c r="AN548" s="14"/>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14"/>
      <c r="AH549" s="14"/>
      <c r="AI549" s="14"/>
      <c r="AJ549" s="14"/>
      <c r="AK549" s="14"/>
      <c r="AL549" s="14"/>
      <c r="AM549" s="14"/>
      <c r="AN549" s="14"/>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14"/>
      <c r="AH550" s="14"/>
      <c r="AI550" s="14"/>
      <c r="AJ550" s="14"/>
      <c r="AK550" s="14"/>
      <c r="AL550" s="14"/>
      <c r="AM550" s="14"/>
      <c r="AN550" s="14"/>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14"/>
      <c r="AH551" s="14"/>
      <c r="AI551" s="14"/>
      <c r="AJ551" s="14"/>
      <c r="AK551" s="14"/>
      <c r="AL551" s="14"/>
      <c r="AM551" s="14"/>
      <c r="AN551" s="14"/>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14"/>
      <c r="AH552" s="14"/>
      <c r="AI552" s="14"/>
      <c r="AJ552" s="14"/>
      <c r="AK552" s="14"/>
      <c r="AL552" s="14"/>
      <c r="AM552" s="14"/>
      <c r="AN552" s="14"/>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14"/>
      <c r="AH553" s="14"/>
      <c r="AI553" s="14"/>
      <c r="AJ553" s="14"/>
      <c r="AK553" s="14"/>
      <c r="AL553" s="14"/>
      <c r="AM553" s="14"/>
      <c r="AN553" s="14"/>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14"/>
      <c r="AH554" s="14"/>
      <c r="AI554" s="14"/>
      <c r="AJ554" s="14"/>
      <c r="AK554" s="14"/>
      <c r="AL554" s="14"/>
      <c r="AM554" s="14"/>
      <c r="AN554" s="14"/>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14"/>
      <c r="AH555" s="14"/>
      <c r="AI555" s="14"/>
      <c r="AJ555" s="14"/>
      <c r="AK555" s="14"/>
      <c r="AL555" s="14"/>
      <c r="AM555" s="14"/>
      <c r="AN555" s="14"/>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14"/>
      <c r="AH556" s="14"/>
      <c r="AI556" s="14"/>
      <c r="AJ556" s="14"/>
      <c r="AK556" s="14"/>
      <c r="AL556" s="14"/>
      <c r="AM556" s="14"/>
      <c r="AN556" s="14"/>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14"/>
      <c r="AH557" s="14"/>
      <c r="AI557" s="14"/>
      <c r="AJ557" s="14"/>
      <c r="AK557" s="14"/>
      <c r="AL557" s="14"/>
      <c r="AM557" s="14"/>
      <c r="AN557" s="14"/>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14"/>
      <c r="AH558" s="14"/>
      <c r="AI558" s="14"/>
      <c r="AJ558" s="14"/>
      <c r="AK558" s="14"/>
      <c r="AL558" s="14"/>
      <c r="AM558" s="14"/>
      <c r="AN558" s="14"/>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14"/>
      <c r="AH559" s="14"/>
      <c r="AI559" s="14"/>
      <c r="AJ559" s="14"/>
      <c r="AK559" s="14"/>
      <c r="AL559" s="14"/>
      <c r="AM559" s="14"/>
      <c r="AN559" s="14"/>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14"/>
      <c r="AH560" s="14"/>
      <c r="AI560" s="14"/>
      <c r="AJ560" s="14"/>
      <c r="AK560" s="14"/>
      <c r="AL560" s="14"/>
      <c r="AM560" s="14"/>
      <c r="AN560" s="14"/>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14"/>
      <c r="AH561" s="14"/>
      <c r="AI561" s="14"/>
      <c r="AJ561" s="14"/>
      <c r="AK561" s="14"/>
      <c r="AL561" s="14"/>
      <c r="AM561" s="14"/>
      <c r="AN561" s="14"/>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14"/>
      <c r="AH562" s="14"/>
      <c r="AI562" s="14"/>
      <c r="AJ562" s="14"/>
      <c r="AK562" s="14"/>
      <c r="AL562" s="14"/>
      <c r="AM562" s="14"/>
      <c r="AN562" s="14"/>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14"/>
      <c r="AH563" s="14"/>
      <c r="AI563" s="14"/>
      <c r="AJ563" s="14"/>
      <c r="AK563" s="14"/>
      <c r="AL563" s="14"/>
      <c r="AM563" s="14"/>
      <c r="AN563" s="14"/>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14"/>
      <c r="AH564" s="14"/>
      <c r="AI564" s="14"/>
      <c r="AJ564" s="14"/>
      <c r="AK564" s="14"/>
      <c r="AL564" s="14"/>
      <c r="AM564" s="14"/>
      <c r="AN564" s="14"/>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14"/>
      <c r="AH565" s="14"/>
      <c r="AI565" s="14"/>
      <c r="AJ565" s="14"/>
      <c r="AK565" s="14"/>
      <c r="AL565" s="14"/>
      <c r="AM565" s="14"/>
      <c r="AN565" s="14"/>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14"/>
      <c r="AH566" s="14"/>
      <c r="AI566" s="14"/>
      <c r="AJ566" s="14"/>
      <c r="AK566" s="14"/>
      <c r="AL566" s="14"/>
      <c r="AM566" s="14"/>
      <c r="AN566" s="14"/>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14"/>
      <c r="AH567" s="14"/>
      <c r="AI567" s="14"/>
      <c r="AJ567" s="14"/>
      <c r="AK567" s="14"/>
      <c r="AL567" s="14"/>
      <c r="AM567" s="14"/>
      <c r="AN567" s="14"/>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14"/>
      <c r="AH568" s="14"/>
      <c r="AI568" s="14"/>
      <c r="AJ568" s="14"/>
      <c r="AK568" s="14"/>
      <c r="AL568" s="14"/>
      <c r="AM568" s="14"/>
      <c r="AN568" s="14"/>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14"/>
      <c r="AH569" s="14"/>
      <c r="AI569" s="14"/>
      <c r="AJ569" s="14"/>
      <c r="AK569" s="14"/>
      <c r="AL569" s="14"/>
      <c r="AM569" s="14"/>
      <c r="AN569" s="14"/>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14"/>
      <c r="AH570" s="14"/>
      <c r="AI570" s="14"/>
      <c r="AJ570" s="14"/>
      <c r="AK570" s="14"/>
      <c r="AL570" s="14"/>
      <c r="AM570" s="14"/>
      <c r="AN570" s="14"/>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14"/>
      <c r="AH571" s="14"/>
      <c r="AI571" s="14"/>
      <c r="AJ571" s="14"/>
      <c r="AK571" s="14"/>
      <c r="AL571" s="14"/>
      <c r="AM571" s="14"/>
      <c r="AN571" s="14"/>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14"/>
      <c r="AH572" s="14"/>
      <c r="AI572" s="14"/>
      <c r="AJ572" s="14"/>
      <c r="AK572" s="14"/>
      <c r="AL572" s="14"/>
      <c r="AM572" s="14"/>
      <c r="AN572" s="14"/>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14"/>
      <c r="AH573" s="14"/>
      <c r="AI573" s="14"/>
      <c r="AJ573" s="14"/>
      <c r="AK573" s="14"/>
      <c r="AL573" s="14"/>
      <c r="AM573" s="14"/>
      <c r="AN573" s="14"/>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14"/>
      <c r="AH574" s="14"/>
      <c r="AI574" s="14"/>
      <c r="AJ574" s="14"/>
      <c r="AK574" s="14"/>
      <c r="AL574" s="14"/>
      <c r="AM574" s="14"/>
      <c r="AN574" s="14"/>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14"/>
      <c r="AH575" s="14"/>
      <c r="AI575" s="14"/>
      <c r="AJ575" s="14"/>
      <c r="AK575" s="14"/>
      <c r="AL575" s="14"/>
      <c r="AM575" s="14"/>
      <c r="AN575" s="14"/>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14"/>
      <c r="AH576" s="14"/>
      <c r="AI576" s="14"/>
      <c r="AJ576" s="14"/>
      <c r="AK576" s="14"/>
      <c r="AL576" s="14"/>
      <c r="AM576" s="14"/>
      <c r="AN576" s="14"/>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14"/>
      <c r="AH577" s="14"/>
      <c r="AI577" s="14"/>
      <c r="AJ577" s="14"/>
      <c r="AK577" s="14"/>
      <c r="AL577" s="14"/>
      <c r="AM577" s="14"/>
      <c r="AN577" s="14"/>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14"/>
      <c r="AH578" s="14"/>
      <c r="AI578" s="14"/>
      <c r="AJ578" s="14"/>
      <c r="AK578" s="14"/>
      <c r="AL578" s="14"/>
      <c r="AM578" s="14"/>
      <c r="AN578" s="14"/>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14"/>
      <c r="AH579" s="14"/>
      <c r="AI579" s="14"/>
      <c r="AJ579" s="14"/>
      <c r="AK579" s="14"/>
      <c r="AL579" s="14"/>
      <c r="AM579" s="14"/>
      <c r="AN579" s="14"/>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14"/>
      <c r="AH580" s="14"/>
      <c r="AI580" s="14"/>
      <c r="AJ580" s="14"/>
      <c r="AK580" s="14"/>
      <c r="AL580" s="14"/>
      <c r="AM580" s="14"/>
      <c r="AN580" s="14"/>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14"/>
      <c r="AH581" s="14"/>
      <c r="AI581" s="14"/>
      <c r="AJ581" s="14"/>
      <c r="AK581" s="14"/>
      <c r="AL581" s="14"/>
      <c r="AM581" s="14"/>
      <c r="AN581" s="14"/>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14"/>
      <c r="AH582" s="14"/>
      <c r="AI582" s="14"/>
      <c r="AJ582" s="14"/>
      <c r="AK582" s="14"/>
      <c r="AL582" s="14"/>
      <c r="AM582" s="14"/>
      <c r="AN582" s="14"/>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14"/>
      <c r="AH583" s="14"/>
      <c r="AI583" s="14"/>
      <c r="AJ583" s="14"/>
      <c r="AK583" s="14"/>
      <c r="AL583" s="14"/>
      <c r="AM583" s="14"/>
      <c r="AN583" s="14"/>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14"/>
      <c r="AH584" s="14"/>
      <c r="AI584" s="14"/>
      <c r="AJ584" s="14"/>
      <c r="AK584" s="14"/>
      <c r="AL584" s="14"/>
      <c r="AM584" s="14"/>
      <c r="AN584" s="14"/>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14"/>
      <c r="AH585" s="14"/>
      <c r="AI585" s="14"/>
      <c r="AJ585" s="14"/>
      <c r="AK585" s="14"/>
      <c r="AL585" s="14"/>
      <c r="AM585" s="14"/>
      <c r="AN585" s="14"/>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14"/>
      <c r="AH586" s="14"/>
      <c r="AI586" s="14"/>
      <c r="AJ586" s="14"/>
      <c r="AK586" s="14"/>
      <c r="AL586" s="14"/>
      <c r="AM586" s="14"/>
      <c r="AN586" s="14"/>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14"/>
      <c r="AH587" s="14"/>
      <c r="AI587" s="14"/>
      <c r="AJ587" s="14"/>
      <c r="AK587" s="14"/>
      <c r="AL587" s="14"/>
      <c r="AM587" s="14"/>
      <c r="AN587" s="14"/>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14"/>
      <c r="AH588" s="14"/>
      <c r="AI588" s="14"/>
      <c r="AJ588" s="14"/>
      <c r="AK588" s="14"/>
      <c r="AL588" s="14"/>
      <c r="AM588" s="14"/>
      <c r="AN588" s="14"/>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14"/>
      <c r="AH589" s="14"/>
      <c r="AI589" s="14"/>
      <c r="AJ589" s="14"/>
      <c r="AK589" s="14"/>
      <c r="AL589" s="14"/>
      <c r="AM589" s="14"/>
      <c r="AN589" s="14"/>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14"/>
      <c r="AH590" s="14"/>
      <c r="AI590" s="14"/>
      <c r="AJ590" s="14"/>
      <c r="AK590" s="14"/>
      <c r="AL590" s="14"/>
      <c r="AM590" s="14"/>
      <c r="AN590" s="14"/>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14"/>
      <c r="AH591" s="14"/>
      <c r="AI591" s="14"/>
      <c r="AJ591" s="14"/>
      <c r="AK591" s="14"/>
      <c r="AL591" s="14"/>
      <c r="AM591" s="14"/>
      <c r="AN591" s="14"/>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14"/>
      <c r="AH592" s="14"/>
      <c r="AI592" s="14"/>
      <c r="AJ592" s="14"/>
      <c r="AK592" s="14"/>
      <c r="AL592" s="14"/>
      <c r="AM592" s="14"/>
      <c r="AN592" s="14"/>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14"/>
      <c r="AH593" s="14"/>
      <c r="AI593" s="14"/>
      <c r="AJ593" s="14"/>
      <c r="AK593" s="14"/>
      <c r="AL593" s="14"/>
      <c r="AM593" s="14"/>
      <c r="AN593" s="14"/>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14"/>
      <c r="AH594" s="14"/>
      <c r="AI594" s="14"/>
      <c r="AJ594" s="14"/>
      <c r="AK594" s="14"/>
      <c r="AL594" s="14"/>
      <c r="AM594" s="14"/>
      <c r="AN594" s="14"/>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14"/>
      <c r="AH595" s="14"/>
      <c r="AI595" s="14"/>
      <c r="AJ595" s="14"/>
      <c r="AK595" s="14"/>
      <c r="AL595" s="14"/>
      <c r="AM595" s="14"/>
      <c r="AN595" s="14"/>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14"/>
      <c r="AH596" s="14"/>
      <c r="AI596" s="14"/>
      <c r="AJ596" s="14"/>
      <c r="AK596" s="14"/>
      <c r="AL596" s="14"/>
      <c r="AM596" s="14"/>
      <c r="AN596" s="14"/>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14"/>
      <c r="AH597" s="14"/>
      <c r="AI597" s="14"/>
      <c r="AJ597" s="14"/>
      <c r="AK597" s="14"/>
      <c r="AL597" s="14"/>
      <c r="AM597" s="14"/>
      <c r="AN597" s="14"/>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14"/>
      <c r="AH598" s="14"/>
      <c r="AI598" s="14"/>
      <c r="AJ598" s="14"/>
      <c r="AK598" s="14"/>
      <c r="AL598" s="14"/>
      <c r="AM598" s="14"/>
      <c r="AN598" s="14"/>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14"/>
      <c r="AH599" s="14"/>
      <c r="AI599" s="14"/>
      <c r="AJ599" s="14"/>
      <c r="AK599" s="14"/>
      <c r="AL599" s="14"/>
      <c r="AM599" s="14"/>
      <c r="AN599" s="14"/>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14"/>
      <c r="AH600" s="14"/>
      <c r="AI600" s="14"/>
      <c r="AJ600" s="14"/>
      <c r="AK600" s="14"/>
      <c r="AL600" s="14"/>
      <c r="AM600" s="14"/>
      <c r="AN600" s="14"/>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14"/>
      <c r="AH601" s="14"/>
      <c r="AI601" s="14"/>
      <c r="AJ601" s="14"/>
      <c r="AK601" s="14"/>
      <c r="AL601" s="14"/>
      <c r="AM601" s="14"/>
      <c r="AN601" s="14"/>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14"/>
      <c r="AH602" s="14"/>
      <c r="AI602" s="14"/>
      <c r="AJ602" s="14"/>
      <c r="AK602" s="14"/>
      <c r="AL602" s="14"/>
      <c r="AM602" s="14"/>
      <c r="AN602" s="14"/>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14"/>
      <c r="AH603" s="14"/>
      <c r="AI603" s="14"/>
      <c r="AJ603" s="14"/>
      <c r="AK603" s="14"/>
      <c r="AL603" s="14"/>
      <c r="AM603" s="14"/>
      <c r="AN603" s="14"/>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14"/>
      <c r="AH604" s="14"/>
      <c r="AI604" s="14"/>
      <c r="AJ604" s="14"/>
      <c r="AK604" s="14"/>
      <c r="AL604" s="14"/>
      <c r="AM604" s="14"/>
      <c r="AN604" s="14"/>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14"/>
      <c r="AH605" s="14"/>
      <c r="AI605" s="14"/>
      <c r="AJ605" s="14"/>
      <c r="AK605" s="14"/>
      <c r="AL605" s="14"/>
      <c r="AM605" s="14"/>
      <c r="AN605" s="14"/>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14"/>
      <c r="AH606" s="14"/>
      <c r="AI606" s="14"/>
      <c r="AJ606" s="14"/>
      <c r="AK606" s="14"/>
      <c r="AL606" s="14"/>
      <c r="AM606" s="14"/>
      <c r="AN606" s="14"/>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14"/>
      <c r="AH607" s="14"/>
      <c r="AI607" s="14"/>
      <c r="AJ607" s="14"/>
      <c r="AK607" s="14"/>
      <c r="AL607" s="14"/>
      <c r="AM607" s="14"/>
      <c r="AN607" s="14"/>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14"/>
      <c r="AH608" s="14"/>
      <c r="AI608" s="14"/>
      <c r="AJ608" s="14"/>
      <c r="AK608" s="14"/>
      <c r="AL608" s="14"/>
      <c r="AM608" s="14"/>
      <c r="AN608" s="14"/>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14"/>
      <c r="AH609" s="14"/>
      <c r="AI609" s="14"/>
      <c r="AJ609" s="14"/>
      <c r="AK609" s="14"/>
      <c r="AL609" s="14"/>
      <c r="AM609" s="14"/>
      <c r="AN609" s="14"/>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14"/>
      <c r="AH610" s="14"/>
      <c r="AI610" s="14"/>
      <c r="AJ610" s="14"/>
      <c r="AK610" s="14"/>
      <c r="AL610" s="14"/>
      <c r="AM610" s="14"/>
      <c r="AN610" s="14"/>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14"/>
      <c r="AH611" s="14"/>
      <c r="AI611" s="14"/>
      <c r="AJ611" s="14"/>
      <c r="AK611" s="14"/>
      <c r="AL611" s="14"/>
      <c r="AM611" s="14"/>
      <c r="AN611" s="14"/>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14"/>
      <c r="AH612" s="14"/>
      <c r="AI612" s="14"/>
      <c r="AJ612" s="14"/>
      <c r="AK612" s="14"/>
      <c r="AL612" s="14"/>
      <c r="AM612" s="14"/>
      <c r="AN612" s="14"/>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14"/>
      <c r="AH613" s="14"/>
      <c r="AI613" s="14"/>
      <c r="AJ613" s="14"/>
      <c r="AK613" s="14"/>
      <c r="AL613" s="14"/>
      <c r="AM613" s="14"/>
      <c r="AN613" s="14"/>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14"/>
      <c r="AH614" s="14"/>
      <c r="AI614" s="14"/>
      <c r="AJ614" s="14"/>
      <c r="AK614" s="14"/>
      <c r="AL614" s="14"/>
      <c r="AM614" s="14"/>
      <c r="AN614" s="14"/>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14"/>
      <c r="AH615" s="14"/>
      <c r="AI615" s="14"/>
      <c r="AJ615" s="14"/>
      <c r="AK615" s="14"/>
      <c r="AL615" s="14"/>
      <c r="AM615" s="14"/>
      <c r="AN615" s="14"/>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14"/>
      <c r="AH616" s="14"/>
      <c r="AI616" s="14"/>
      <c r="AJ616" s="14"/>
      <c r="AK616" s="14"/>
      <c r="AL616" s="14"/>
      <c r="AM616" s="14"/>
      <c r="AN616" s="14"/>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14"/>
      <c r="AH617" s="14"/>
      <c r="AI617" s="14"/>
      <c r="AJ617" s="14"/>
      <c r="AK617" s="14"/>
      <c r="AL617" s="14"/>
      <c r="AM617" s="14"/>
      <c r="AN617" s="14"/>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14"/>
      <c r="AH618" s="14"/>
      <c r="AI618" s="14"/>
      <c r="AJ618" s="14"/>
      <c r="AK618" s="14"/>
      <c r="AL618" s="14"/>
      <c r="AM618" s="14"/>
      <c r="AN618" s="14"/>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14"/>
      <c r="AH619" s="14"/>
      <c r="AI619" s="14"/>
      <c r="AJ619" s="14"/>
      <c r="AK619" s="14"/>
      <c r="AL619" s="14"/>
      <c r="AM619" s="14"/>
      <c r="AN619" s="14"/>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14"/>
      <c r="AH620" s="14"/>
      <c r="AI620" s="14"/>
      <c r="AJ620" s="14"/>
      <c r="AK620" s="14"/>
      <c r="AL620" s="14"/>
      <c r="AM620" s="14"/>
      <c r="AN620" s="14"/>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14"/>
      <c r="AH621" s="14"/>
      <c r="AI621" s="14"/>
      <c r="AJ621" s="14"/>
      <c r="AK621" s="14"/>
      <c r="AL621" s="14"/>
      <c r="AM621" s="14"/>
      <c r="AN621" s="14"/>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14"/>
      <c r="AH622" s="14"/>
      <c r="AI622" s="14"/>
      <c r="AJ622" s="14"/>
      <c r="AK622" s="14"/>
      <c r="AL622" s="14"/>
      <c r="AM622" s="14"/>
      <c r="AN622" s="14"/>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14"/>
      <c r="AH623" s="14"/>
      <c r="AI623" s="14"/>
      <c r="AJ623" s="14"/>
      <c r="AK623" s="14"/>
      <c r="AL623" s="14"/>
      <c r="AM623" s="14"/>
      <c r="AN623" s="14"/>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14"/>
      <c r="AH624" s="14"/>
      <c r="AI624" s="14"/>
      <c r="AJ624" s="14"/>
      <c r="AK624" s="14"/>
      <c r="AL624" s="14"/>
      <c r="AM624" s="14"/>
      <c r="AN624" s="14"/>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14"/>
      <c r="AH625" s="14"/>
      <c r="AI625" s="14"/>
      <c r="AJ625" s="14"/>
      <c r="AK625" s="14"/>
      <c r="AL625" s="14"/>
      <c r="AM625" s="14"/>
      <c r="AN625" s="14"/>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14"/>
      <c r="AH626" s="14"/>
      <c r="AI626" s="14"/>
      <c r="AJ626" s="14"/>
      <c r="AK626" s="14"/>
      <c r="AL626" s="14"/>
      <c r="AM626" s="14"/>
      <c r="AN626" s="14"/>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14"/>
      <c r="AH627" s="14"/>
      <c r="AI627" s="14"/>
      <c r="AJ627" s="14"/>
      <c r="AK627" s="14"/>
      <c r="AL627" s="14"/>
      <c r="AM627" s="14"/>
      <c r="AN627" s="14"/>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14"/>
      <c r="AH628" s="14"/>
      <c r="AI628" s="14"/>
      <c r="AJ628" s="14"/>
      <c r="AK628" s="14"/>
      <c r="AL628" s="14"/>
      <c r="AM628" s="14"/>
      <c r="AN628" s="14"/>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14"/>
      <c r="AH629" s="14"/>
      <c r="AI629" s="14"/>
      <c r="AJ629" s="14"/>
      <c r="AK629" s="14"/>
      <c r="AL629" s="14"/>
      <c r="AM629" s="14"/>
      <c r="AN629" s="14"/>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14"/>
      <c r="AH630" s="14"/>
      <c r="AI630" s="14"/>
      <c r="AJ630" s="14"/>
      <c r="AK630" s="14"/>
      <c r="AL630" s="14"/>
      <c r="AM630" s="14"/>
      <c r="AN630" s="14"/>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14"/>
      <c r="AH631" s="14"/>
      <c r="AI631" s="14"/>
      <c r="AJ631" s="14"/>
      <c r="AK631" s="14"/>
      <c r="AL631" s="14"/>
      <c r="AM631" s="14"/>
      <c r="AN631" s="14"/>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14"/>
      <c r="AH632" s="14"/>
      <c r="AI632" s="14"/>
      <c r="AJ632" s="14"/>
      <c r="AK632" s="14"/>
      <c r="AL632" s="14"/>
      <c r="AM632" s="14"/>
      <c r="AN632" s="14"/>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14"/>
      <c r="AH633" s="14"/>
      <c r="AI633" s="14"/>
      <c r="AJ633" s="14"/>
      <c r="AK633" s="14"/>
      <c r="AL633" s="14"/>
      <c r="AM633" s="14"/>
      <c r="AN633" s="14"/>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14"/>
      <c r="AH634" s="14"/>
      <c r="AI634" s="14"/>
      <c r="AJ634" s="14"/>
      <c r="AK634" s="14"/>
      <c r="AL634" s="14"/>
      <c r="AM634" s="14"/>
      <c r="AN634" s="14"/>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14"/>
      <c r="AH635" s="14"/>
      <c r="AI635" s="14"/>
      <c r="AJ635" s="14"/>
      <c r="AK635" s="14"/>
      <c r="AL635" s="14"/>
      <c r="AM635" s="14"/>
      <c r="AN635" s="14"/>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14"/>
      <c r="AH636" s="14"/>
      <c r="AI636" s="14"/>
      <c r="AJ636" s="14"/>
      <c r="AK636" s="14"/>
      <c r="AL636" s="14"/>
      <c r="AM636" s="14"/>
      <c r="AN636" s="14"/>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14"/>
      <c r="AH637" s="14"/>
      <c r="AI637" s="14"/>
      <c r="AJ637" s="14"/>
      <c r="AK637" s="14"/>
      <c r="AL637" s="14"/>
      <c r="AM637" s="14"/>
      <c r="AN637" s="14"/>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14"/>
      <c r="AH638" s="14"/>
      <c r="AI638" s="14"/>
      <c r="AJ638" s="14"/>
      <c r="AK638" s="14"/>
      <c r="AL638" s="14"/>
      <c r="AM638" s="14"/>
      <c r="AN638" s="14"/>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14"/>
      <c r="AH639" s="14"/>
      <c r="AI639" s="14"/>
      <c r="AJ639" s="14"/>
      <c r="AK639" s="14"/>
      <c r="AL639" s="14"/>
      <c r="AM639" s="14"/>
      <c r="AN639" s="14"/>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14"/>
      <c r="AH640" s="14"/>
      <c r="AI640" s="14"/>
      <c r="AJ640" s="14"/>
      <c r="AK640" s="14"/>
      <c r="AL640" s="14"/>
      <c r="AM640" s="14"/>
      <c r="AN640" s="14"/>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14"/>
      <c r="AH641" s="14"/>
      <c r="AI641" s="14"/>
      <c r="AJ641" s="14"/>
      <c r="AK641" s="14"/>
      <c r="AL641" s="14"/>
      <c r="AM641" s="14"/>
      <c r="AN641" s="14"/>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14"/>
      <c r="AH642" s="14"/>
      <c r="AI642" s="14"/>
      <c r="AJ642" s="14"/>
      <c r="AK642" s="14"/>
      <c r="AL642" s="14"/>
      <c r="AM642" s="14"/>
      <c r="AN642" s="14"/>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14"/>
      <c r="AH643" s="14"/>
      <c r="AI643" s="14"/>
      <c r="AJ643" s="14"/>
      <c r="AK643" s="14"/>
      <c r="AL643" s="14"/>
      <c r="AM643" s="14"/>
      <c r="AN643" s="14"/>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14"/>
      <c r="AH644" s="14"/>
      <c r="AI644" s="14"/>
      <c r="AJ644" s="14"/>
      <c r="AK644" s="14"/>
      <c r="AL644" s="14"/>
      <c r="AM644" s="14"/>
      <c r="AN644" s="14"/>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14"/>
      <c r="AH645" s="14"/>
      <c r="AI645" s="14"/>
      <c r="AJ645" s="14"/>
      <c r="AK645" s="14"/>
      <c r="AL645" s="14"/>
      <c r="AM645" s="14"/>
      <c r="AN645" s="14"/>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14"/>
      <c r="AH646" s="14"/>
      <c r="AI646" s="14"/>
      <c r="AJ646" s="14"/>
      <c r="AK646" s="14"/>
      <c r="AL646" s="14"/>
      <c r="AM646" s="14"/>
      <c r="AN646" s="14"/>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14"/>
      <c r="AH647" s="14"/>
      <c r="AI647" s="14"/>
      <c r="AJ647" s="14"/>
      <c r="AK647" s="14"/>
      <c r="AL647" s="14"/>
      <c r="AM647" s="14"/>
      <c r="AN647" s="14"/>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14"/>
      <c r="AH648" s="14"/>
      <c r="AI648" s="14"/>
      <c r="AJ648" s="14"/>
      <c r="AK648" s="14"/>
      <c r="AL648" s="14"/>
      <c r="AM648" s="14"/>
      <c r="AN648" s="14"/>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14"/>
      <c r="AH649" s="14"/>
      <c r="AI649" s="14"/>
      <c r="AJ649" s="14"/>
      <c r="AK649" s="14"/>
      <c r="AL649" s="14"/>
      <c r="AM649" s="14"/>
      <c r="AN649" s="14"/>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14"/>
      <c r="AH650" s="14"/>
      <c r="AI650" s="14"/>
      <c r="AJ650" s="14"/>
      <c r="AK650" s="14"/>
      <c r="AL650" s="14"/>
      <c r="AM650" s="14"/>
      <c r="AN650" s="14"/>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14"/>
      <c r="AH651" s="14"/>
      <c r="AI651" s="14"/>
      <c r="AJ651" s="14"/>
      <c r="AK651" s="14"/>
      <c r="AL651" s="14"/>
      <c r="AM651" s="14"/>
      <c r="AN651" s="14"/>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14"/>
      <c r="AH652" s="14"/>
      <c r="AI652" s="14"/>
      <c r="AJ652" s="14"/>
      <c r="AK652" s="14"/>
      <c r="AL652" s="14"/>
      <c r="AM652" s="14"/>
      <c r="AN652" s="14"/>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14"/>
      <c r="AH653" s="14"/>
      <c r="AI653" s="14"/>
      <c r="AJ653" s="14"/>
      <c r="AK653" s="14"/>
      <c r="AL653" s="14"/>
      <c r="AM653" s="14"/>
      <c r="AN653" s="14"/>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14"/>
      <c r="AH654" s="14"/>
      <c r="AI654" s="14"/>
      <c r="AJ654" s="14"/>
      <c r="AK654" s="14"/>
      <c r="AL654" s="14"/>
      <c r="AM654" s="14"/>
      <c r="AN654" s="14"/>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14"/>
      <c r="AH655" s="14"/>
      <c r="AI655" s="14"/>
      <c r="AJ655" s="14"/>
      <c r="AK655" s="14"/>
      <c r="AL655" s="14"/>
      <c r="AM655" s="14"/>
      <c r="AN655" s="14"/>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14"/>
      <c r="AH656" s="14"/>
      <c r="AI656" s="14"/>
      <c r="AJ656" s="14"/>
      <c r="AK656" s="14"/>
      <c r="AL656" s="14"/>
      <c r="AM656" s="14"/>
      <c r="AN656" s="14"/>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14"/>
      <c r="AH657" s="14"/>
      <c r="AI657" s="14"/>
      <c r="AJ657" s="14"/>
      <c r="AK657" s="14"/>
      <c r="AL657" s="14"/>
      <c r="AM657" s="14"/>
      <c r="AN657" s="14"/>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14"/>
      <c r="AH658" s="14"/>
      <c r="AI658" s="14"/>
      <c r="AJ658" s="14"/>
      <c r="AK658" s="14"/>
      <c r="AL658" s="14"/>
      <c r="AM658" s="14"/>
      <c r="AN658" s="14"/>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14"/>
      <c r="AH659" s="14"/>
      <c r="AI659" s="14"/>
      <c r="AJ659" s="14"/>
      <c r="AK659" s="14"/>
      <c r="AL659" s="14"/>
      <c r="AM659" s="14"/>
      <c r="AN659" s="14"/>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14"/>
      <c r="AH660" s="14"/>
      <c r="AI660" s="14"/>
      <c r="AJ660" s="14"/>
      <c r="AK660" s="14"/>
      <c r="AL660" s="14"/>
      <c r="AM660" s="14"/>
      <c r="AN660" s="14"/>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14"/>
      <c r="AH661" s="14"/>
      <c r="AI661" s="14"/>
      <c r="AJ661" s="14"/>
      <c r="AK661" s="14"/>
      <c r="AL661" s="14"/>
      <c r="AM661" s="14"/>
      <c r="AN661" s="14"/>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14"/>
      <c r="AH662" s="14"/>
      <c r="AI662" s="14"/>
      <c r="AJ662" s="14"/>
      <c r="AK662" s="14"/>
      <c r="AL662" s="14"/>
      <c r="AM662" s="14"/>
      <c r="AN662" s="14"/>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14"/>
      <c r="AH663" s="14"/>
      <c r="AI663" s="14"/>
      <c r="AJ663" s="14"/>
      <c r="AK663" s="14"/>
      <c r="AL663" s="14"/>
      <c r="AM663" s="14"/>
      <c r="AN663" s="14"/>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14"/>
      <c r="AH664" s="14"/>
      <c r="AI664" s="14"/>
      <c r="AJ664" s="14"/>
      <c r="AK664" s="14"/>
      <c r="AL664" s="14"/>
      <c r="AM664" s="14"/>
      <c r="AN664" s="14"/>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14"/>
      <c r="AH665" s="14"/>
      <c r="AI665" s="14"/>
      <c r="AJ665" s="14"/>
      <c r="AK665" s="14"/>
      <c r="AL665" s="14"/>
      <c r="AM665" s="14"/>
      <c r="AN665" s="14"/>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14"/>
      <c r="AH666" s="14"/>
      <c r="AI666" s="14"/>
      <c r="AJ666" s="14"/>
      <c r="AK666" s="14"/>
      <c r="AL666" s="14"/>
      <c r="AM666" s="14"/>
      <c r="AN666" s="14"/>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14"/>
      <c r="AH667" s="14"/>
      <c r="AI667" s="14"/>
      <c r="AJ667" s="14"/>
      <c r="AK667" s="14"/>
      <c r="AL667" s="14"/>
      <c r="AM667" s="14"/>
      <c r="AN667" s="14"/>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14"/>
      <c r="AH668" s="14"/>
      <c r="AI668" s="14"/>
      <c r="AJ668" s="14"/>
      <c r="AK668" s="14"/>
      <c r="AL668" s="14"/>
      <c r="AM668" s="14"/>
      <c r="AN668" s="14"/>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14"/>
      <c r="AH669" s="14"/>
      <c r="AI669" s="14"/>
      <c r="AJ669" s="14"/>
      <c r="AK669" s="14"/>
      <c r="AL669" s="14"/>
      <c r="AM669" s="14"/>
      <c r="AN669" s="14"/>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14"/>
      <c r="AH670" s="14"/>
      <c r="AI670" s="14"/>
      <c r="AJ670" s="14"/>
      <c r="AK670" s="14"/>
      <c r="AL670" s="14"/>
      <c r="AM670" s="14"/>
      <c r="AN670" s="14"/>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14"/>
      <c r="AH671" s="14"/>
      <c r="AI671" s="14"/>
      <c r="AJ671" s="14"/>
      <c r="AK671" s="14"/>
      <c r="AL671" s="14"/>
      <c r="AM671" s="14"/>
      <c r="AN671" s="14"/>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14"/>
      <c r="AH672" s="14"/>
      <c r="AI672" s="14"/>
      <c r="AJ672" s="14"/>
      <c r="AK672" s="14"/>
      <c r="AL672" s="14"/>
      <c r="AM672" s="14"/>
      <c r="AN672" s="14"/>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14"/>
      <c r="AH673" s="14"/>
      <c r="AI673" s="14"/>
      <c r="AJ673" s="14"/>
      <c r="AK673" s="14"/>
      <c r="AL673" s="14"/>
      <c r="AM673" s="14"/>
      <c r="AN673" s="14"/>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14"/>
      <c r="AH674" s="14"/>
      <c r="AI674" s="14"/>
      <c r="AJ674" s="14"/>
      <c r="AK674" s="14"/>
      <c r="AL674" s="14"/>
      <c r="AM674" s="14"/>
      <c r="AN674" s="14"/>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14"/>
      <c r="AH675" s="14"/>
      <c r="AI675" s="14"/>
      <c r="AJ675" s="14"/>
      <c r="AK675" s="14"/>
      <c r="AL675" s="14"/>
      <c r="AM675" s="14"/>
      <c r="AN675" s="14"/>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14"/>
      <c r="AH676" s="14"/>
      <c r="AI676" s="14"/>
      <c r="AJ676" s="14"/>
      <c r="AK676" s="14"/>
      <c r="AL676" s="14"/>
      <c r="AM676" s="14"/>
      <c r="AN676" s="14"/>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14"/>
      <c r="AH677" s="14"/>
      <c r="AI677" s="14"/>
      <c r="AJ677" s="14"/>
      <c r="AK677" s="14"/>
      <c r="AL677" s="14"/>
      <c r="AM677" s="14"/>
      <c r="AN677" s="14"/>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14"/>
      <c r="AH678" s="14"/>
      <c r="AI678" s="14"/>
      <c r="AJ678" s="14"/>
      <c r="AK678" s="14"/>
      <c r="AL678" s="14"/>
      <c r="AM678" s="14"/>
      <c r="AN678" s="14"/>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14"/>
      <c r="AH679" s="14"/>
      <c r="AI679" s="14"/>
      <c r="AJ679" s="14"/>
      <c r="AK679" s="14"/>
      <c r="AL679" s="14"/>
      <c r="AM679" s="14"/>
      <c r="AN679" s="14"/>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14"/>
      <c r="AH680" s="14"/>
      <c r="AI680" s="14"/>
      <c r="AJ680" s="14"/>
      <c r="AK680" s="14"/>
      <c r="AL680" s="14"/>
      <c r="AM680" s="14"/>
      <c r="AN680" s="14"/>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14"/>
      <c r="AH681" s="14"/>
      <c r="AI681" s="14"/>
      <c r="AJ681" s="14"/>
      <c r="AK681" s="14"/>
      <c r="AL681" s="14"/>
      <c r="AM681" s="14"/>
      <c r="AN681" s="14"/>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14"/>
      <c r="AH682" s="14"/>
      <c r="AI682" s="14"/>
      <c r="AJ682" s="14"/>
      <c r="AK682" s="14"/>
      <c r="AL682" s="14"/>
      <c r="AM682" s="14"/>
      <c r="AN682" s="14"/>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14"/>
      <c r="AH683" s="14"/>
      <c r="AI683" s="14"/>
      <c r="AJ683" s="14"/>
      <c r="AK683" s="14"/>
      <c r="AL683" s="14"/>
      <c r="AM683" s="14"/>
      <c r="AN683" s="14"/>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14"/>
      <c r="AH684" s="14"/>
      <c r="AI684" s="14"/>
      <c r="AJ684" s="14"/>
      <c r="AK684" s="14"/>
      <c r="AL684" s="14"/>
      <c r="AM684" s="14"/>
      <c r="AN684" s="14"/>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14"/>
      <c r="AH685" s="14"/>
      <c r="AI685" s="14"/>
      <c r="AJ685" s="14"/>
      <c r="AK685" s="14"/>
      <c r="AL685" s="14"/>
      <c r="AM685" s="14"/>
      <c r="AN685" s="14"/>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14"/>
      <c r="AH686" s="14"/>
      <c r="AI686" s="14"/>
      <c r="AJ686" s="14"/>
      <c r="AK686" s="14"/>
      <c r="AL686" s="14"/>
      <c r="AM686" s="14"/>
      <c r="AN686" s="14"/>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14"/>
      <c r="AH687" s="14"/>
      <c r="AI687" s="14"/>
      <c r="AJ687" s="14"/>
      <c r="AK687" s="14"/>
      <c r="AL687" s="14"/>
      <c r="AM687" s="14"/>
      <c r="AN687" s="14"/>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14"/>
      <c r="AH688" s="14"/>
      <c r="AI688" s="14"/>
      <c r="AJ688" s="14"/>
      <c r="AK688" s="14"/>
      <c r="AL688" s="14"/>
      <c r="AM688" s="14"/>
      <c r="AN688" s="14"/>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14"/>
      <c r="AH689" s="14"/>
      <c r="AI689" s="14"/>
      <c r="AJ689" s="14"/>
      <c r="AK689" s="14"/>
      <c r="AL689" s="14"/>
      <c r="AM689" s="14"/>
      <c r="AN689" s="14"/>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14"/>
      <c r="AH690" s="14"/>
      <c r="AI690" s="14"/>
      <c r="AJ690" s="14"/>
      <c r="AK690" s="14"/>
      <c r="AL690" s="14"/>
      <c r="AM690" s="14"/>
      <c r="AN690" s="14"/>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14"/>
      <c r="AH691" s="14"/>
      <c r="AI691" s="14"/>
      <c r="AJ691" s="14"/>
      <c r="AK691" s="14"/>
      <c r="AL691" s="14"/>
      <c r="AM691" s="14"/>
      <c r="AN691" s="14"/>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14"/>
      <c r="AH692" s="14"/>
      <c r="AI692" s="14"/>
      <c r="AJ692" s="14"/>
      <c r="AK692" s="14"/>
      <c r="AL692" s="14"/>
      <c r="AM692" s="14"/>
      <c r="AN692" s="14"/>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14"/>
      <c r="AH693" s="14"/>
      <c r="AI693" s="14"/>
      <c r="AJ693" s="14"/>
      <c r="AK693" s="14"/>
      <c r="AL693" s="14"/>
      <c r="AM693" s="14"/>
      <c r="AN693" s="14"/>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14"/>
      <c r="AH694" s="14"/>
      <c r="AI694" s="14"/>
      <c r="AJ694" s="14"/>
      <c r="AK694" s="14"/>
      <c r="AL694" s="14"/>
      <c r="AM694" s="14"/>
      <c r="AN694" s="14"/>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14"/>
      <c r="AH695" s="14"/>
      <c r="AI695" s="14"/>
      <c r="AJ695" s="14"/>
      <c r="AK695" s="14"/>
      <c r="AL695" s="14"/>
      <c r="AM695" s="14"/>
      <c r="AN695" s="14"/>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14"/>
      <c r="AH696" s="14"/>
      <c r="AI696" s="14"/>
      <c r="AJ696" s="14"/>
      <c r="AK696" s="14"/>
      <c r="AL696" s="14"/>
      <c r="AM696" s="14"/>
      <c r="AN696" s="14"/>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14"/>
      <c r="AH697" s="14"/>
      <c r="AI697" s="14"/>
      <c r="AJ697" s="14"/>
      <c r="AK697" s="14"/>
      <c r="AL697" s="14"/>
      <c r="AM697" s="14"/>
      <c r="AN697" s="14"/>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14"/>
      <c r="AH698" s="14"/>
      <c r="AI698" s="14"/>
      <c r="AJ698" s="14"/>
      <c r="AK698" s="14"/>
      <c r="AL698" s="14"/>
      <c r="AM698" s="14"/>
      <c r="AN698" s="14"/>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14"/>
      <c r="AH699" s="14"/>
      <c r="AI699" s="14"/>
      <c r="AJ699" s="14"/>
      <c r="AK699" s="14"/>
      <c r="AL699" s="14"/>
      <c r="AM699" s="14"/>
      <c r="AN699" s="14"/>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14"/>
      <c r="AH700" s="14"/>
      <c r="AI700" s="14"/>
      <c r="AJ700" s="14"/>
      <c r="AK700" s="14"/>
      <c r="AL700" s="14"/>
      <c r="AM700" s="14"/>
      <c r="AN700" s="14"/>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14"/>
      <c r="AH701" s="14"/>
      <c r="AI701" s="14"/>
      <c r="AJ701" s="14"/>
      <c r="AK701" s="14"/>
      <c r="AL701" s="14"/>
      <c r="AM701" s="14"/>
      <c r="AN701" s="14"/>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14"/>
      <c r="AH702" s="14"/>
      <c r="AI702" s="14"/>
      <c r="AJ702" s="14"/>
      <c r="AK702" s="14"/>
      <c r="AL702" s="14"/>
      <c r="AM702" s="14"/>
      <c r="AN702" s="14"/>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14"/>
      <c r="AH703" s="14"/>
      <c r="AI703" s="14"/>
      <c r="AJ703" s="14"/>
      <c r="AK703" s="14"/>
      <c r="AL703" s="14"/>
      <c r="AM703" s="14"/>
      <c r="AN703" s="14"/>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14"/>
      <c r="AH704" s="14"/>
      <c r="AI704" s="14"/>
      <c r="AJ704" s="14"/>
      <c r="AK704" s="14"/>
      <c r="AL704" s="14"/>
      <c r="AM704" s="14"/>
      <c r="AN704" s="14"/>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14"/>
      <c r="AH705" s="14"/>
      <c r="AI705" s="14"/>
      <c r="AJ705" s="14"/>
      <c r="AK705" s="14"/>
      <c r="AL705" s="14"/>
      <c r="AM705" s="14"/>
      <c r="AN705" s="14"/>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14"/>
      <c r="AH706" s="14"/>
      <c r="AI706" s="14"/>
      <c r="AJ706" s="14"/>
      <c r="AK706" s="14"/>
      <c r="AL706" s="14"/>
      <c r="AM706" s="14"/>
      <c r="AN706" s="14"/>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14"/>
      <c r="AH707" s="14"/>
      <c r="AI707" s="14"/>
      <c r="AJ707" s="14"/>
      <c r="AK707" s="14"/>
      <c r="AL707" s="14"/>
      <c r="AM707" s="14"/>
      <c r="AN707" s="14"/>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14"/>
      <c r="AH708" s="14"/>
      <c r="AI708" s="14"/>
      <c r="AJ708" s="14"/>
      <c r="AK708" s="14"/>
      <c r="AL708" s="14"/>
      <c r="AM708" s="14"/>
      <c r="AN708" s="14"/>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14"/>
      <c r="AH709" s="14"/>
      <c r="AI709" s="14"/>
      <c r="AJ709" s="14"/>
      <c r="AK709" s="14"/>
      <c r="AL709" s="14"/>
      <c r="AM709" s="14"/>
      <c r="AN709" s="14"/>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14"/>
      <c r="AH710" s="14"/>
      <c r="AI710" s="14"/>
      <c r="AJ710" s="14"/>
      <c r="AK710" s="14"/>
      <c r="AL710" s="14"/>
      <c r="AM710" s="14"/>
      <c r="AN710" s="14"/>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14"/>
      <c r="AH711" s="14"/>
      <c r="AI711" s="14"/>
      <c r="AJ711" s="14"/>
      <c r="AK711" s="14"/>
      <c r="AL711" s="14"/>
      <c r="AM711" s="14"/>
      <c r="AN711" s="14"/>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14"/>
      <c r="AH712" s="14"/>
      <c r="AI712" s="14"/>
      <c r="AJ712" s="14"/>
      <c r="AK712" s="14"/>
      <c r="AL712" s="14"/>
      <c r="AM712" s="14"/>
      <c r="AN712" s="14"/>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14"/>
      <c r="AH713" s="14"/>
      <c r="AI713" s="14"/>
      <c r="AJ713" s="14"/>
      <c r="AK713" s="14"/>
      <c r="AL713" s="14"/>
      <c r="AM713" s="14"/>
      <c r="AN713" s="14"/>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14"/>
      <c r="AH714" s="14"/>
      <c r="AI714" s="14"/>
      <c r="AJ714" s="14"/>
      <c r="AK714" s="14"/>
      <c r="AL714" s="14"/>
      <c r="AM714" s="14"/>
      <c r="AN714" s="14"/>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14"/>
      <c r="AH715" s="14"/>
      <c r="AI715" s="14"/>
      <c r="AJ715" s="14"/>
      <c r="AK715" s="14"/>
      <c r="AL715" s="14"/>
      <c r="AM715" s="14"/>
      <c r="AN715" s="14"/>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14"/>
      <c r="AH716" s="14"/>
      <c r="AI716" s="14"/>
      <c r="AJ716" s="14"/>
      <c r="AK716" s="14"/>
      <c r="AL716" s="14"/>
      <c r="AM716" s="14"/>
      <c r="AN716" s="14"/>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14"/>
      <c r="AH717" s="14"/>
      <c r="AI717" s="14"/>
      <c r="AJ717" s="14"/>
      <c r="AK717" s="14"/>
      <c r="AL717" s="14"/>
      <c r="AM717" s="14"/>
      <c r="AN717" s="14"/>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14"/>
      <c r="AH718" s="14"/>
      <c r="AI718" s="14"/>
      <c r="AJ718" s="14"/>
      <c r="AK718" s="14"/>
      <c r="AL718" s="14"/>
      <c r="AM718" s="14"/>
      <c r="AN718" s="14"/>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14"/>
      <c r="AH719" s="14"/>
      <c r="AI719" s="14"/>
      <c r="AJ719" s="14"/>
      <c r="AK719" s="14"/>
      <c r="AL719" s="14"/>
      <c r="AM719" s="14"/>
      <c r="AN719" s="14"/>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14"/>
      <c r="AH720" s="14"/>
      <c r="AI720" s="14"/>
      <c r="AJ720" s="14"/>
      <c r="AK720" s="14"/>
      <c r="AL720" s="14"/>
      <c r="AM720" s="14"/>
      <c r="AN720" s="14"/>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14"/>
      <c r="AH721" s="14"/>
      <c r="AI721" s="14"/>
      <c r="AJ721" s="14"/>
      <c r="AK721" s="14"/>
      <c r="AL721" s="14"/>
      <c r="AM721" s="14"/>
      <c r="AN721" s="14"/>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14"/>
      <c r="AH722" s="14"/>
      <c r="AI722" s="14"/>
      <c r="AJ722" s="14"/>
      <c r="AK722" s="14"/>
      <c r="AL722" s="14"/>
      <c r="AM722" s="14"/>
      <c r="AN722" s="14"/>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14"/>
      <c r="AH723" s="14"/>
      <c r="AI723" s="14"/>
      <c r="AJ723" s="14"/>
      <c r="AK723" s="14"/>
      <c r="AL723" s="14"/>
      <c r="AM723" s="14"/>
      <c r="AN723" s="14"/>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14"/>
      <c r="AH724" s="14"/>
      <c r="AI724" s="14"/>
      <c r="AJ724" s="14"/>
      <c r="AK724" s="14"/>
      <c r="AL724" s="14"/>
      <c r="AM724" s="14"/>
      <c r="AN724" s="14"/>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14"/>
      <c r="AH725" s="14"/>
      <c r="AI725" s="14"/>
      <c r="AJ725" s="14"/>
      <c r="AK725" s="14"/>
      <c r="AL725" s="14"/>
      <c r="AM725" s="14"/>
      <c r="AN725" s="14"/>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14"/>
      <c r="AH726" s="14"/>
      <c r="AI726" s="14"/>
      <c r="AJ726" s="14"/>
      <c r="AK726" s="14"/>
      <c r="AL726" s="14"/>
      <c r="AM726" s="14"/>
      <c r="AN726" s="14"/>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14"/>
      <c r="AH727" s="14"/>
      <c r="AI727" s="14"/>
      <c r="AJ727" s="14"/>
      <c r="AK727" s="14"/>
      <c r="AL727" s="14"/>
      <c r="AM727" s="14"/>
      <c r="AN727" s="14"/>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14"/>
      <c r="AH728" s="14"/>
      <c r="AI728" s="14"/>
      <c r="AJ728" s="14"/>
      <c r="AK728" s="14"/>
      <c r="AL728" s="14"/>
      <c r="AM728" s="14"/>
      <c r="AN728" s="14"/>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14"/>
      <c r="AH729" s="14"/>
      <c r="AI729" s="14"/>
      <c r="AJ729" s="14"/>
      <c r="AK729" s="14"/>
      <c r="AL729" s="14"/>
      <c r="AM729" s="14"/>
      <c r="AN729" s="14"/>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14"/>
      <c r="AH730" s="14"/>
      <c r="AI730" s="14"/>
      <c r="AJ730" s="14"/>
      <c r="AK730" s="14"/>
      <c r="AL730" s="14"/>
      <c r="AM730" s="14"/>
      <c r="AN730" s="14"/>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14"/>
      <c r="AH731" s="14"/>
      <c r="AI731" s="14"/>
      <c r="AJ731" s="14"/>
      <c r="AK731" s="14"/>
      <c r="AL731" s="14"/>
      <c r="AM731" s="14"/>
      <c r="AN731" s="14"/>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14"/>
      <c r="AH732" s="14"/>
      <c r="AI732" s="14"/>
      <c r="AJ732" s="14"/>
      <c r="AK732" s="14"/>
      <c r="AL732" s="14"/>
      <c r="AM732" s="14"/>
      <c r="AN732" s="14"/>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14"/>
      <c r="AH733" s="14"/>
      <c r="AI733" s="14"/>
      <c r="AJ733" s="14"/>
      <c r="AK733" s="14"/>
      <c r="AL733" s="14"/>
      <c r="AM733" s="14"/>
      <c r="AN733" s="14"/>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14"/>
      <c r="AH734" s="14"/>
      <c r="AI734" s="14"/>
      <c r="AJ734" s="14"/>
      <c r="AK734" s="14"/>
      <c r="AL734" s="14"/>
      <c r="AM734" s="14"/>
      <c r="AN734" s="14"/>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14"/>
      <c r="AH735" s="14"/>
      <c r="AI735" s="14"/>
      <c r="AJ735" s="14"/>
      <c r="AK735" s="14"/>
      <c r="AL735" s="14"/>
      <c r="AM735" s="14"/>
      <c r="AN735" s="14"/>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14"/>
      <c r="AH736" s="14"/>
      <c r="AI736" s="14"/>
      <c r="AJ736" s="14"/>
      <c r="AK736" s="14"/>
      <c r="AL736" s="14"/>
      <c r="AM736" s="14"/>
      <c r="AN736" s="14"/>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14"/>
      <c r="AH737" s="14"/>
      <c r="AI737" s="14"/>
      <c r="AJ737" s="14"/>
      <c r="AK737" s="14"/>
      <c r="AL737" s="14"/>
      <c r="AM737" s="14"/>
      <c r="AN737" s="14"/>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14"/>
      <c r="AH738" s="14"/>
      <c r="AI738" s="14"/>
      <c r="AJ738" s="14"/>
      <c r="AK738" s="14"/>
      <c r="AL738" s="14"/>
      <c r="AM738" s="14"/>
      <c r="AN738" s="14"/>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14"/>
      <c r="AH739" s="14"/>
      <c r="AI739" s="14"/>
      <c r="AJ739" s="14"/>
      <c r="AK739" s="14"/>
      <c r="AL739" s="14"/>
      <c r="AM739" s="14"/>
      <c r="AN739" s="14"/>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14"/>
      <c r="AH740" s="14"/>
      <c r="AI740" s="14"/>
      <c r="AJ740" s="14"/>
      <c r="AK740" s="14"/>
      <c r="AL740" s="14"/>
      <c r="AM740" s="14"/>
      <c r="AN740" s="14"/>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14"/>
      <c r="AH741" s="14"/>
      <c r="AI741" s="14"/>
      <c r="AJ741" s="14"/>
      <c r="AK741" s="14"/>
      <c r="AL741" s="14"/>
      <c r="AM741" s="14"/>
      <c r="AN741" s="14"/>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14"/>
      <c r="AH742" s="14"/>
      <c r="AI742" s="14"/>
      <c r="AJ742" s="14"/>
      <c r="AK742" s="14"/>
      <c r="AL742" s="14"/>
      <c r="AM742" s="14"/>
      <c r="AN742" s="14"/>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14"/>
      <c r="AH743" s="14"/>
      <c r="AI743" s="14"/>
      <c r="AJ743" s="14"/>
      <c r="AK743" s="14"/>
      <c r="AL743" s="14"/>
      <c r="AM743" s="14"/>
      <c r="AN743" s="14"/>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14"/>
      <c r="AH744" s="14"/>
      <c r="AI744" s="14"/>
      <c r="AJ744" s="14"/>
      <c r="AK744" s="14"/>
      <c r="AL744" s="14"/>
      <c r="AM744" s="14"/>
      <c r="AN744" s="14"/>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14"/>
      <c r="AH745" s="14"/>
      <c r="AI745" s="14"/>
      <c r="AJ745" s="14"/>
      <c r="AK745" s="14"/>
      <c r="AL745" s="14"/>
      <c r="AM745" s="14"/>
      <c r="AN745" s="14"/>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14"/>
      <c r="AH746" s="14"/>
      <c r="AI746" s="14"/>
      <c r="AJ746" s="14"/>
      <c r="AK746" s="14"/>
      <c r="AL746" s="14"/>
      <c r="AM746" s="14"/>
      <c r="AN746" s="14"/>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14"/>
      <c r="AH747" s="14"/>
      <c r="AI747" s="14"/>
      <c r="AJ747" s="14"/>
      <c r="AK747" s="14"/>
      <c r="AL747" s="14"/>
      <c r="AM747" s="14"/>
      <c r="AN747" s="14"/>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14"/>
      <c r="AH748" s="14"/>
      <c r="AI748" s="14"/>
      <c r="AJ748" s="14"/>
      <c r="AK748" s="14"/>
      <c r="AL748" s="14"/>
      <c r="AM748" s="14"/>
      <c r="AN748" s="14"/>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14"/>
      <c r="AH749" s="14"/>
      <c r="AI749" s="14"/>
      <c r="AJ749" s="14"/>
      <c r="AK749" s="14"/>
      <c r="AL749" s="14"/>
      <c r="AM749" s="14"/>
      <c r="AN749" s="14"/>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14"/>
      <c r="AH750" s="14"/>
      <c r="AI750" s="14"/>
      <c r="AJ750" s="14"/>
      <c r="AK750" s="14"/>
      <c r="AL750" s="14"/>
      <c r="AM750" s="14"/>
      <c r="AN750" s="14"/>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14"/>
      <c r="AH751" s="14"/>
      <c r="AI751" s="14"/>
      <c r="AJ751" s="14"/>
      <c r="AK751" s="14"/>
      <c r="AL751" s="14"/>
      <c r="AM751" s="14"/>
      <c r="AN751" s="14"/>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14"/>
      <c r="AH752" s="14"/>
      <c r="AI752" s="14"/>
      <c r="AJ752" s="14"/>
      <c r="AK752" s="14"/>
      <c r="AL752" s="14"/>
      <c r="AM752" s="14"/>
      <c r="AN752" s="14"/>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14"/>
      <c r="AH753" s="14"/>
      <c r="AI753" s="14"/>
      <c r="AJ753" s="14"/>
      <c r="AK753" s="14"/>
      <c r="AL753" s="14"/>
      <c r="AM753" s="14"/>
      <c r="AN753" s="14"/>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14"/>
      <c r="AH754" s="14"/>
      <c r="AI754" s="14"/>
      <c r="AJ754" s="14"/>
      <c r="AK754" s="14"/>
      <c r="AL754" s="14"/>
      <c r="AM754" s="14"/>
      <c r="AN754" s="14"/>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14"/>
      <c r="AH755" s="14"/>
      <c r="AI755" s="14"/>
      <c r="AJ755" s="14"/>
      <c r="AK755" s="14"/>
      <c r="AL755" s="14"/>
      <c r="AM755" s="14"/>
      <c r="AN755" s="14"/>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14"/>
      <c r="AH756" s="14"/>
      <c r="AI756" s="14"/>
      <c r="AJ756" s="14"/>
      <c r="AK756" s="14"/>
      <c r="AL756" s="14"/>
      <c r="AM756" s="14"/>
      <c r="AN756" s="14"/>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14"/>
      <c r="AH757" s="14"/>
      <c r="AI757" s="14"/>
      <c r="AJ757" s="14"/>
      <c r="AK757" s="14"/>
      <c r="AL757" s="14"/>
      <c r="AM757" s="14"/>
      <c r="AN757" s="14"/>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14"/>
      <c r="AH758" s="14"/>
      <c r="AI758" s="14"/>
      <c r="AJ758" s="14"/>
      <c r="AK758" s="14"/>
      <c r="AL758" s="14"/>
      <c r="AM758" s="14"/>
      <c r="AN758" s="14"/>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14"/>
      <c r="AH759" s="14"/>
      <c r="AI759" s="14"/>
      <c r="AJ759" s="14"/>
      <c r="AK759" s="14"/>
      <c r="AL759" s="14"/>
      <c r="AM759" s="14"/>
      <c r="AN759" s="14"/>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14"/>
      <c r="AH760" s="14"/>
      <c r="AI760" s="14"/>
      <c r="AJ760" s="14"/>
      <c r="AK760" s="14"/>
      <c r="AL760" s="14"/>
      <c r="AM760" s="14"/>
      <c r="AN760" s="14"/>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14"/>
      <c r="AH761" s="14"/>
      <c r="AI761" s="14"/>
      <c r="AJ761" s="14"/>
      <c r="AK761" s="14"/>
      <c r="AL761" s="14"/>
      <c r="AM761" s="14"/>
      <c r="AN761" s="14"/>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14"/>
      <c r="AH762" s="14"/>
      <c r="AI762" s="14"/>
      <c r="AJ762" s="14"/>
      <c r="AK762" s="14"/>
      <c r="AL762" s="14"/>
      <c r="AM762" s="14"/>
      <c r="AN762" s="14"/>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14"/>
      <c r="AH763" s="14"/>
      <c r="AI763" s="14"/>
      <c r="AJ763" s="14"/>
      <c r="AK763" s="14"/>
      <c r="AL763" s="14"/>
      <c r="AM763" s="14"/>
      <c r="AN763" s="14"/>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14"/>
      <c r="AH764" s="14"/>
      <c r="AI764" s="14"/>
      <c r="AJ764" s="14"/>
      <c r="AK764" s="14"/>
      <c r="AL764" s="14"/>
      <c r="AM764" s="14"/>
      <c r="AN764" s="14"/>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14"/>
      <c r="AH765" s="14"/>
      <c r="AI765" s="14"/>
      <c r="AJ765" s="14"/>
      <c r="AK765" s="14"/>
      <c r="AL765" s="14"/>
      <c r="AM765" s="14"/>
      <c r="AN765" s="14"/>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14"/>
      <c r="AH766" s="14"/>
      <c r="AI766" s="14"/>
      <c r="AJ766" s="14"/>
      <c r="AK766" s="14"/>
      <c r="AL766" s="14"/>
      <c r="AM766" s="14"/>
      <c r="AN766" s="14"/>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14"/>
      <c r="AH767" s="14"/>
      <c r="AI767" s="14"/>
      <c r="AJ767" s="14"/>
      <c r="AK767" s="14"/>
      <c r="AL767" s="14"/>
      <c r="AM767" s="14"/>
      <c r="AN767" s="14"/>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14"/>
      <c r="AH768" s="14"/>
      <c r="AI768" s="14"/>
      <c r="AJ768" s="14"/>
      <c r="AK768" s="14"/>
      <c r="AL768" s="14"/>
      <c r="AM768" s="14"/>
      <c r="AN768" s="14"/>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14"/>
      <c r="AH769" s="14"/>
      <c r="AI769" s="14"/>
      <c r="AJ769" s="14"/>
      <c r="AK769" s="14"/>
      <c r="AL769" s="14"/>
      <c r="AM769" s="14"/>
      <c r="AN769" s="14"/>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14"/>
      <c r="AH770" s="14"/>
      <c r="AI770" s="14"/>
      <c r="AJ770" s="14"/>
      <c r="AK770" s="14"/>
      <c r="AL770" s="14"/>
      <c r="AM770" s="14"/>
      <c r="AN770" s="14"/>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14"/>
      <c r="AH771" s="14"/>
      <c r="AI771" s="14"/>
      <c r="AJ771" s="14"/>
      <c r="AK771" s="14"/>
      <c r="AL771" s="14"/>
      <c r="AM771" s="14"/>
      <c r="AN771" s="14"/>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14"/>
      <c r="AH772" s="14"/>
      <c r="AI772" s="14"/>
      <c r="AJ772" s="14"/>
      <c r="AK772" s="14"/>
      <c r="AL772" s="14"/>
      <c r="AM772" s="14"/>
      <c r="AN772" s="14"/>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14"/>
      <c r="AH773" s="14"/>
      <c r="AI773" s="14"/>
      <c r="AJ773" s="14"/>
      <c r="AK773" s="14"/>
      <c r="AL773" s="14"/>
      <c r="AM773" s="14"/>
      <c r="AN773" s="14"/>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14"/>
      <c r="AH774" s="14"/>
      <c r="AI774" s="14"/>
      <c r="AJ774" s="14"/>
      <c r="AK774" s="14"/>
      <c r="AL774" s="14"/>
      <c r="AM774" s="14"/>
      <c r="AN774" s="14"/>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14"/>
      <c r="AH775" s="14"/>
      <c r="AI775" s="14"/>
      <c r="AJ775" s="14"/>
      <c r="AK775" s="14"/>
      <c r="AL775" s="14"/>
      <c r="AM775" s="14"/>
      <c r="AN775" s="14"/>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14"/>
      <c r="AH776" s="14"/>
      <c r="AI776" s="14"/>
      <c r="AJ776" s="14"/>
      <c r="AK776" s="14"/>
      <c r="AL776" s="14"/>
      <c r="AM776" s="14"/>
      <c r="AN776" s="14"/>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14"/>
      <c r="AH777" s="14"/>
      <c r="AI777" s="14"/>
      <c r="AJ777" s="14"/>
      <c r="AK777" s="14"/>
      <c r="AL777" s="14"/>
      <c r="AM777" s="14"/>
      <c r="AN777" s="14"/>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14"/>
      <c r="AH778" s="14"/>
      <c r="AI778" s="14"/>
      <c r="AJ778" s="14"/>
      <c r="AK778" s="14"/>
      <c r="AL778" s="14"/>
      <c r="AM778" s="14"/>
      <c r="AN778" s="14"/>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14"/>
      <c r="AH779" s="14"/>
      <c r="AI779" s="14"/>
      <c r="AJ779" s="14"/>
      <c r="AK779" s="14"/>
      <c r="AL779" s="14"/>
      <c r="AM779" s="14"/>
      <c r="AN779" s="14"/>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14"/>
      <c r="AH780" s="14"/>
      <c r="AI780" s="14"/>
      <c r="AJ780" s="14"/>
      <c r="AK780" s="14"/>
      <c r="AL780" s="14"/>
      <c r="AM780" s="14"/>
      <c r="AN780" s="14"/>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14"/>
      <c r="AH781" s="14"/>
      <c r="AI781" s="14"/>
      <c r="AJ781" s="14"/>
      <c r="AK781" s="14"/>
      <c r="AL781" s="14"/>
      <c r="AM781" s="14"/>
      <c r="AN781" s="14"/>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14"/>
      <c r="AH782" s="14"/>
      <c r="AI782" s="14"/>
      <c r="AJ782" s="14"/>
      <c r="AK782" s="14"/>
      <c r="AL782" s="14"/>
      <c r="AM782" s="14"/>
      <c r="AN782" s="14"/>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14"/>
      <c r="AH783" s="14"/>
      <c r="AI783" s="14"/>
      <c r="AJ783" s="14"/>
      <c r="AK783" s="14"/>
      <c r="AL783" s="14"/>
      <c r="AM783" s="14"/>
      <c r="AN783" s="14"/>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14"/>
      <c r="AH784" s="14"/>
      <c r="AI784" s="14"/>
      <c r="AJ784" s="14"/>
      <c r="AK784" s="14"/>
      <c r="AL784" s="14"/>
      <c r="AM784" s="14"/>
      <c r="AN784" s="14"/>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14"/>
      <c r="AH785" s="14"/>
      <c r="AI785" s="14"/>
      <c r="AJ785" s="14"/>
      <c r="AK785" s="14"/>
      <c r="AL785" s="14"/>
      <c r="AM785" s="14"/>
      <c r="AN785" s="14"/>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14"/>
      <c r="AH786" s="14"/>
      <c r="AI786" s="14"/>
      <c r="AJ786" s="14"/>
      <c r="AK786" s="14"/>
      <c r="AL786" s="14"/>
      <c r="AM786" s="14"/>
      <c r="AN786" s="14"/>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14"/>
      <c r="AH787" s="14"/>
      <c r="AI787" s="14"/>
      <c r="AJ787" s="14"/>
      <c r="AK787" s="14"/>
      <c r="AL787" s="14"/>
      <c r="AM787" s="14"/>
      <c r="AN787" s="14"/>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14"/>
      <c r="AH788" s="14"/>
      <c r="AI788" s="14"/>
      <c r="AJ788" s="14"/>
      <c r="AK788" s="14"/>
      <c r="AL788" s="14"/>
      <c r="AM788" s="14"/>
      <c r="AN788" s="14"/>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14"/>
      <c r="AH789" s="14"/>
      <c r="AI789" s="14"/>
      <c r="AJ789" s="14"/>
      <c r="AK789" s="14"/>
      <c r="AL789" s="14"/>
      <c r="AM789" s="14"/>
      <c r="AN789" s="14"/>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14"/>
      <c r="AH790" s="14"/>
      <c r="AI790" s="14"/>
      <c r="AJ790" s="14"/>
      <c r="AK790" s="14"/>
      <c r="AL790" s="14"/>
      <c r="AM790" s="14"/>
      <c r="AN790" s="14"/>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14"/>
      <c r="AH791" s="14"/>
      <c r="AI791" s="14"/>
      <c r="AJ791" s="14"/>
      <c r="AK791" s="14"/>
      <c r="AL791" s="14"/>
      <c r="AM791" s="14"/>
      <c r="AN791" s="14"/>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14"/>
      <c r="AH792" s="14"/>
      <c r="AI792" s="14"/>
      <c r="AJ792" s="14"/>
      <c r="AK792" s="14"/>
      <c r="AL792" s="14"/>
      <c r="AM792" s="14"/>
      <c r="AN792" s="14"/>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14"/>
      <c r="AH793" s="14"/>
      <c r="AI793" s="14"/>
      <c r="AJ793" s="14"/>
      <c r="AK793" s="14"/>
      <c r="AL793" s="14"/>
      <c r="AM793" s="14"/>
      <c r="AN793" s="14"/>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14"/>
      <c r="AH794" s="14"/>
      <c r="AI794" s="14"/>
      <c r="AJ794" s="14"/>
      <c r="AK794" s="14"/>
      <c r="AL794" s="14"/>
      <c r="AM794" s="14"/>
      <c r="AN794" s="14"/>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14"/>
      <c r="AH795" s="14"/>
      <c r="AI795" s="14"/>
      <c r="AJ795" s="14"/>
      <c r="AK795" s="14"/>
      <c r="AL795" s="14"/>
      <c r="AM795" s="14"/>
      <c r="AN795" s="14"/>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14"/>
      <c r="AH796" s="14"/>
      <c r="AI796" s="14"/>
      <c r="AJ796" s="14"/>
      <c r="AK796" s="14"/>
      <c r="AL796" s="14"/>
      <c r="AM796" s="14"/>
      <c r="AN796" s="14"/>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14"/>
      <c r="AH797" s="14"/>
      <c r="AI797" s="14"/>
      <c r="AJ797" s="14"/>
      <c r="AK797" s="14"/>
      <c r="AL797" s="14"/>
      <c r="AM797" s="14"/>
      <c r="AN797" s="14"/>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14"/>
      <c r="AH798" s="14"/>
      <c r="AI798" s="14"/>
      <c r="AJ798" s="14"/>
      <c r="AK798" s="14"/>
      <c r="AL798" s="14"/>
      <c r="AM798" s="14"/>
      <c r="AN798" s="14"/>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14"/>
      <c r="AH799" s="14"/>
      <c r="AI799" s="14"/>
      <c r="AJ799" s="14"/>
      <c r="AK799" s="14"/>
      <c r="AL799" s="14"/>
      <c r="AM799" s="14"/>
      <c r="AN799" s="14"/>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14"/>
      <c r="AH800" s="14"/>
      <c r="AI800" s="14"/>
      <c r="AJ800" s="14"/>
      <c r="AK800" s="14"/>
      <c r="AL800" s="14"/>
      <c r="AM800" s="14"/>
      <c r="AN800" s="14"/>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14"/>
      <c r="AH801" s="14"/>
      <c r="AI801" s="14"/>
      <c r="AJ801" s="14"/>
      <c r="AK801" s="14"/>
      <c r="AL801" s="14"/>
      <c r="AM801" s="14"/>
      <c r="AN801" s="14"/>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14"/>
      <c r="AH802" s="14"/>
      <c r="AI802" s="14"/>
      <c r="AJ802" s="14"/>
      <c r="AK802" s="14"/>
      <c r="AL802" s="14"/>
      <c r="AM802" s="14"/>
      <c r="AN802" s="14"/>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14"/>
      <c r="AH803" s="14"/>
      <c r="AI803" s="14"/>
      <c r="AJ803" s="14"/>
      <c r="AK803" s="14"/>
      <c r="AL803" s="14"/>
      <c r="AM803" s="14"/>
      <c r="AN803" s="14"/>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14"/>
      <c r="AH804" s="14"/>
      <c r="AI804" s="14"/>
      <c r="AJ804" s="14"/>
      <c r="AK804" s="14"/>
      <c r="AL804" s="14"/>
      <c r="AM804" s="14"/>
      <c r="AN804" s="14"/>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14"/>
      <c r="AH805" s="14"/>
      <c r="AI805" s="14"/>
      <c r="AJ805" s="14"/>
      <c r="AK805" s="14"/>
      <c r="AL805" s="14"/>
      <c r="AM805" s="14"/>
      <c r="AN805" s="14"/>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14"/>
      <c r="AH806" s="14"/>
      <c r="AI806" s="14"/>
      <c r="AJ806" s="14"/>
      <c r="AK806" s="14"/>
      <c r="AL806" s="14"/>
      <c r="AM806" s="14"/>
      <c r="AN806" s="14"/>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14"/>
      <c r="AH807" s="14"/>
      <c r="AI807" s="14"/>
      <c r="AJ807" s="14"/>
      <c r="AK807" s="14"/>
      <c r="AL807" s="14"/>
      <c r="AM807" s="14"/>
      <c r="AN807" s="14"/>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14"/>
      <c r="AH808" s="14"/>
      <c r="AI808" s="14"/>
      <c r="AJ808" s="14"/>
      <c r="AK808" s="14"/>
      <c r="AL808" s="14"/>
      <c r="AM808" s="14"/>
      <c r="AN808" s="14"/>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14"/>
      <c r="AH809" s="14"/>
      <c r="AI809" s="14"/>
      <c r="AJ809" s="14"/>
      <c r="AK809" s="14"/>
      <c r="AL809" s="14"/>
      <c r="AM809" s="14"/>
      <c r="AN809" s="14"/>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14"/>
      <c r="AH810" s="14"/>
      <c r="AI810" s="14"/>
      <c r="AJ810" s="14"/>
      <c r="AK810" s="14"/>
      <c r="AL810" s="14"/>
      <c r="AM810" s="14"/>
      <c r="AN810" s="14"/>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14"/>
      <c r="AH811" s="14"/>
      <c r="AI811" s="14"/>
      <c r="AJ811" s="14"/>
      <c r="AK811" s="14"/>
      <c r="AL811" s="14"/>
      <c r="AM811" s="14"/>
      <c r="AN811" s="14"/>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14"/>
      <c r="AH812" s="14"/>
      <c r="AI812" s="14"/>
      <c r="AJ812" s="14"/>
      <c r="AK812" s="14"/>
      <c r="AL812" s="14"/>
      <c r="AM812" s="14"/>
      <c r="AN812" s="14"/>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14"/>
      <c r="AH813" s="14"/>
      <c r="AI813" s="14"/>
      <c r="AJ813" s="14"/>
      <c r="AK813" s="14"/>
      <c r="AL813" s="14"/>
      <c r="AM813" s="14"/>
      <c r="AN813" s="14"/>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14"/>
      <c r="AH814" s="14"/>
      <c r="AI814" s="14"/>
      <c r="AJ814" s="14"/>
      <c r="AK814" s="14"/>
      <c r="AL814" s="14"/>
      <c r="AM814" s="14"/>
      <c r="AN814" s="14"/>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14"/>
      <c r="AH815" s="14"/>
      <c r="AI815" s="14"/>
      <c r="AJ815" s="14"/>
      <c r="AK815" s="14"/>
      <c r="AL815" s="14"/>
      <c r="AM815" s="14"/>
      <c r="AN815" s="14"/>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14"/>
      <c r="AH816" s="14"/>
      <c r="AI816" s="14"/>
      <c r="AJ816" s="14"/>
      <c r="AK816" s="14"/>
      <c r="AL816" s="14"/>
      <c r="AM816" s="14"/>
      <c r="AN816" s="14"/>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14"/>
      <c r="AH817" s="14"/>
      <c r="AI817" s="14"/>
      <c r="AJ817" s="14"/>
      <c r="AK817" s="14"/>
      <c r="AL817" s="14"/>
      <c r="AM817" s="14"/>
      <c r="AN817" s="14"/>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14"/>
      <c r="AH818" s="14"/>
      <c r="AI818" s="14"/>
      <c r="AJ818" s="14"/>
      <c r="AK818" s="14"/>
      <c r="AL818" s="14"/>
      <c r="AM818" s="14"/>
      <c r="AN818" s="14"/>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14"/>
      <c r="AH819" s="14"/>
      <c r="AI819" s="14"/>
      <c r="AJ819" s="14"/>
      <c r="AK819" s="14"/>
      <c r="AL819" s="14"/>
      <c r="AM819" s="14"/>
      <c r="AN819" s="14"/>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14"/>
      <c r="AH820" s="14"/>
      <c r="AI820" s="14"/>
      <c r="AJ820" s="14"/>
      <c r="AK820" s="14"/>
      <c r="AL820" s="14"/>
      <c r="AM820" s="14"/>
      <c r="AN820" s="14"/>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14"/>
      <c r="AH821" s="14"/>
      <c r="AI821" s="14"/>
      <c r="AJ821" s="14"/>
      <c r="AK821" s="14"/>
      <c r="AL821" s="14"/>
      <c r="AM821" s="14"/>
      <c r="AN821" s="14"/>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14"/>
      <c r="AH822" s="14"/>
      <c r="AI822" s="14"/>
      <c r="AJ822" s="14"/>
      <c r="AK822" s="14"/>
      <c r="AL822" s="14"/>
      <c r="AM822" s="14"/>
      <c r="AN822" s="14"/>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14"/>
      <c r="AH823" s="14"/>
      <c r="AI823" s="14"/>
      <c r="AJ823" s="14"/>
      <c r="AK823" s="14"/>
      <c r="AL823" s="14"/>
      <c r="AM823" s="14"/>
      <c r="AN823" s="14"/>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14"/>
      <c r="AH824" s="14"/>
      <c r="AI824" s="14"/>
      <c r="AJ824" s="14"/>
      <c r="AK824" s="14"/>
      <c r="AL824" s="14"/>
      <c r="AM824" s="14"/>
      <c r="AN824" s="14"/>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14"/>
      <c r="AH825" s="14"/>
      <c r="AI825" s="14"/>
      <c r="AJ825" s="14"/>
      <c r="AK825" s="14"/>
      <c r="AL825" s="14"/>
      <c r="AM825" s="14"/>
      <c r="AN825" s="14"/>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14"/>
      <c r="AH826" s="14"/>
      <c r="AI826" s="14"/>
      <c r="AJ826" s="14"/>
      <c r="AK826" s="14"/>
      <c r="AL826" s="14"/>
      <c r="AM826" s="14"/>
      <c r="AN826" s="14"/>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14"/>
      <c r="AH827" s="14"/>
      <c r="AI827" s="14"/>
      <c r="AJ827" s="14"/>
      <c r="AK827" s="14"/>
      <c r="AL827" s="14"/>
      <c r="AM827" s="14"/>
      <c r="AN827" s="14"/>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14"/>
      <c r="AH828" s="14"/>
      <c r="AI828" s="14"/>
      <c r="AJ828" s="14"/>
      <c r="AK828" s="14"/>
      <c r="AL828" s="14"/>
      <c r="AM828" s="14"/>
      <c r="AN828" s="14"/>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14"/>
      <c r="AH829" s="14"/>
      <c r="AI829" s="14"/>
      <c r="AJ829" s="14"/>
      <c r="AK829" s="14"/>
      <c r="AL829" s="14"/>
      <c r="AM829" s="14"/>
      <c r="AN829" s="14"/>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14"/>
      <c r="AH830" s="14"/>
      <c r="AI830" s="14"/>
      <c r="AJ830" s="14"/>
      <c r="AK830" s="14"/>
      <c r="AL830" s="14"/>
      <c r="AM830" s="14"/>
      <c r="AN830" s="14"/>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14"/>
      <c r="AH831" s="14"/>
      <c r="AI831" s="14"/>
      <c r="AJ831" s="14"/>
      <c r="AK831" s="14"/>
      <c r="AL831" s="14"/>
      <c r="AM831" s="14"/>
      <c r="AN831" s="14"/>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14"/>
      <c r="AH832" s="14"/>
      <c r="AI832" s="14"/>
      <c r="AJ832" s="14"/>
      <c r="AK832" s="14"/>
      <c r="AL832" s="14"/>
      <c r="AM832" s="14"/>
      <c r="AN832" s="14"/>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14"/>
      <c r="AH833" s="14"/>
      <c r="AI833" s="14"/>
      <c r="AJ833" s="14"/>
      <c r="AK833" s="14"/>
      <c r="AL833" s="14"/>
      <c r="AM833" s="14"/>
      <c r="AN833" s="14"/>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14"/>
      <c r="AH834" s="14"/>
      <c r="AI834" s="14"/>
      <c r="AJ834" s="14"/>
      <c r="AK834" s="14"/>
      <c r="AL834" s="14"/>
      <c r="AM834" s="14"/>
      <c r="AN834" s="14"/>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14"/>
      <c r="AH835" s="14"/>
      <c r="AI835" s="14"/>
      <c r="AJ835" s="14"/>
      <c r="AK835" s="14"/>
      <c r="AL835" s="14"/>
      <c r="AM835" s="14"/>
      <c r="AN835" s="14"/>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14"/>
      <c r="AH836" s="14"/>
      <c r="AI836" s="14"/>
      <c r="AJ836" s="14"/>
      <c r="AK836" s="14"/>
      <c r="AL836" s="14"/>
      <c r="AM836" s="14"/>
      <c r="AN836" s="14"/>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14"/>
      <c r="AH837" s="14"/>
      <c r="AI837" s="14"/>
      <c r="AJ837" s="14"/>
      <c r="AK837" s="14"/>
      <c r="AL837" s="14"/>
      <c r="AM837" s="14"/>
      <c r="AN837" s="14"/>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14"/>
      <c r="AH838" s="14"/>
      <c r="AI838" s="14"/>
      <c r="AJ838" s="14"/>
      <c r="AK838" s="14"/>
      <c r="AL838" s="14"/>
      <c r="AM838" s="14"/>
      <c r="AN838" s="14"/>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14"/>
      <c r="AH839" s="14"/>
      <c r="AI839" s="14"/>
      <c r="AJ839" s="14"/>
      <c r="AK839" s="14"/>
      <c r="AL839" s="14"/>
      <c r="AM839" s="14"/>
      <c r="AN839" s="14"/>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14"/>
      <c r="AH840" s="14"/>
      <c r="AI840" s="14"/>
      <c r="AJ840" s="14"/>
      <c r="AK840" s="14"/>
      <c r="AL840" s="14"/>
      <c r="AM840" s="14"/>
      <c r="AN840" s="14"/>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14"/>
      <c r="AH841" s="14"/>
      <c r="AI841" s="14"/>
      <c r="AJ841" s="14"/>
      <c r="AK841" s="14"/>
      <c r="AL841" s="14"/>
      <c r="AM841" s="14"/>
      <c r="AN841" s="14"/>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14"/>
      <c r="AH842" s="14"/>
      <c r="AI842" s="14"/>
      <c r="AJ842" s="14"/>
      <c r="AK842" s="14"/>
      <c r="AL842" s="14"/>
      <c r="AM842" s="14"/>
      <c r="AN842" s="14"/>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14"/>
      <c r="AH843" s="14"/>
      <c r="AI843" s="14"/>
      <c r="AJ843" s="14"/>
      <c r="AK843" s="14"/>
      <c r="AL843" s="14"/>
      <c r="AM843" s="14"/>
      <c r="AN843" s="14"/>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14"/>
      <c r="AH844" s="14"/>
      <c r="AI844" s="14"/>
      <c r="AJ844" s="14"/>
      <c r="AK844" s="14"/>
      <c r="AL844" s="14"/>
      <c r="AM844" s="14"/>
      <c r="AN844" s="14"/>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14"/>
      <c r="AH845" s="14"/>
      <c r="AI845" s="14"/>
      <c r="AJ845" s="14"/>
      <c r="AK845" s="14"/>
      <c r="AL845" s="14"/>
      <c r="AM845" s="14"/>
      <c r="AN845" s="14"/>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14"/>
      <c r="AH846" s="14"/>
      <c r="AI846" s="14"/>
      <c r="AJ846" s="14"/>
      <c r="AK846" s="14"/>
      <c r="AL846" s="14"/>
      <c r="AM846" s="14"/>
      <c r="AN846" s="14"/>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14"/>
      <c r="AH847" s="14"/>
      <c r="AI847" s="14"/>
      <c r="AJ847" s="14"/>
      <c r="AK847" s="14"/>
      <c r="AL847" s="14"/>
      <c r="AM847" s="14"/>
      <c r="AN847" s="14"/>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14"/>
      <c r="AH848" s="14"/>
      <c r="AI848" s="14"/>
      <c r="AJ848" s="14"/>
      <c r="AK848" s="14"/>
      <c r="AL848" s="14"/>
      <c r="AM848" s="14"/>
      <c r="AN848" s="14"/>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14"/>
      <c r="AH849" s="14"/>
      <c r="AI849" s="14"/>
      <c r="AJ849" s="14"/>
      <c r="AK849" s="14"/>
      <c r="AL849" s="14"/>
      <c r="AM849" s="14"/>
      <c r="AN849" s="14"/>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14"/>
      <c r="AH850" s="14"/>
      <c r="AI850" s="14"/>
      <c r="AJ850" s="14"/>
      <c r="AK850" s="14"/>
      <c r="AL850" s="14"/>
      <c r="AM850" s="14"/>
      <c r="AN850" s="14"/>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14"/>
      <c r="AH851" s="14"/>
      <c r="AI851" s="14"/>
      <c r="AJ851" s="14"/>
      <c r="AK851" s="14"/>
      <c r="AL851" s="14"/>
      <c r="AM851" s="14"/>
      <c r="AN851" s="14"/>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14"/>
      <c r="AH852" s="14"/>
      <c r="AI852" s="14"/>
      <c r="AJ852" s="14"/>
      <c r="AK852" s="14"/>
      <c r="AL852" s="14"/>
      <c r="AM852" s="14"/>
      <c r="AN852" s="14"/>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14"/>
      <c r="AH853" s="14"/>
      <c r="AI853" s="14"/>
      <c r="AJ853" s="14"/>
      <c r="AK853" s="14"/>
      <c r="AL853" s="14"/>
      <c r="AM853" s="14"/>
      <c r="AN853" s="14"/>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14"/>
      <c r="AH854" s="14"/>
      <c r="AI854" s="14"/>
      <c r="AJ854" s="14"/>
      <c r="AK854" s="14"/>
      <c r="AL854" s="14"/>
      <c r="AM854" s="14"/>
      <c r="AN854" s="14"/>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14"/>
      <c r="AH855" s="14"/>
      <c r="AI855" s="14"/>
      <c r="AJ855" s="14"/>
      <c r="AK855" s="14"/>
      <c r="AL855" s="14"/>
      <c r="AM855" s="14"/>
      <c r="AN855" s="14"/>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14"/>
      <c r="AH856" s="14"/>
      <c r="AI856" s="14"/>
      <c r="AJ856" s="14"/>
      <c r="AK856" s="14"/>
      <c r="AL856" s="14"/>
      <c r="AM856" s="14"/>
      <c r="AN856" s="14"/>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14"/>
      <c r="AH857" s="14"/>
      <c r="AI857" s="14"/>
      <c r="AJ857" s="14"/>
      <c r="AK857" s="14"/>
      <c r="AL857" s="14"/>
      <c r="AM857" s="14"/>
      <c r="AN857" s="14"/>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14"/>
      <c r="AH858" s="14"/>
      <c r="AI858" s="14"/>
      <c r="AJ858" s="14"/>
      <c r="AK858" s="14"/>
      <c r="AL858" s="14"/>
      <c r="AM858" s="14"/>
      <c r="AN858" s="14"/>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14"/>
      <c r="AH859" s="14"/>
      <c r="AI859" s="14"/>
      <c r="AJ859" s="14"/>
      <c r="AK859" s="14"/>
      <c r="AL859" s="14"/>
      <c r="AM859" s="14"/>
      <c r="AN859" s="14"/>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14"/>
      <c r="AH860" s="14"/>
      <c r="AI860" s="14"/>
      <c r="AJ860" s="14"/>
      <c r="AK860" s="14"/>
      <c r="AL860" s="14"/>
      <c r="AM860" s="14"/>
      <c r="AN860" s="14"/>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14"/>
      <c r="AH861" s="14"/>
      <c r="AI861" s="14"/>
      <c r="AJ861" s="14"/>
      <c r="AK861" s="14"/>
      <c r="AL861" s="14"/>
      <c r="AM861" s="14"/>
      <c r="AN861" s="14"/>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14"/>
      <c r="AH862" s="14"/>
      <c r="AI862" s="14"/>
      <c r="AJ862" s="14"/>
      <c r="AK862" s="14"/>
      <c r="AL862" s="14"/>
      <c r="AM862" s="14"/>
      <c r="AN862" s="14"/>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14"/>
      <c r="AH863" s="14"/>
      <c r="AI863" s="14"/>
      <c r="AJ863" s="14"/>
      <c r="AK863" s="14"/>
      <c r="AL863" s="14"/>
      <c r="AM863" s="14"/>
      <c r="AN863" s="14"/>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14"/>
      <c r="AH864" s="14"/>
      <c r="AI864" s="14"/>
      <c r="AJ864" s="14"/>
      <c r="AK864" s="14"/>
      <c r="AL864" s="14"/>
      <c r="AM864" s="14"/>
      <c r="AN864" s="14"/>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14"/>
      <c r="AH865" s="14"/>
      <c r="AI865" s="14"/>
      <c r="AJ865" s="14"/>
      <c r="AK865" s="14"/>
      <c r="AL865" s="14"/>
      <c r="AM865" s="14"/>
      <c r="AN865" s="14"/>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14"/>
      <c r="AH866" s="14"/>
      <c r="AI866" s="14"/>
      <c r="AJ866" s="14"/>
      <c r="AK866" s="14"/>
      <c r="AL866" s="14"/>
      <c r="AM866" s="14"/>
      <c r="AN866" s="14"/>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14"/>
      <c r="AH867" s="14"/>
      <c r="AI867" s="14"/>
      <c r="AJ867" s="14"/>
      <c r="AK867" s="14"/>
      <c r="AL867" s="14"/>
      <c r="AM867" s="14"/>
      <c r="AN867" s="14"/>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14"/>
      <c r="AH868" s="14"/>
      <c r="AI868" s="14"/>
      <c r="AJ868" s="14"/>
      <c r="AK868" s="14"/>
      <c r="AL868" s="14"/>
      <c r="AM868" s="14"/>
      <c r="AN868" s="14"/>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14"/>
      <c r="AH869" s="14"/>
      <c r="AI869" s="14"/>
      <c r="AJ869" s="14"/>
      <c r="AK869" s="14"/>
      <c r="AL869" s="14"/>
      <c r="AM869" s="14"/>
      <c r="AN869" s="14"/>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14"/>
      <c r="AH870" s="14"/>
      <c r="AI870" s="14"/>
      <c r="AJ870" s="14"/>
      <c r="AK870" s="14"/>
      <c r="AL870" s="14"/>
      <c r="AM870" s="14"/>
      <c r="AN870" s="14"/>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14"/>
      <c r="AH871" s="14"/>
      <c r="AI871" s="14"/>
      <c r="AJ871" s="14"/>
      <c r="AK871" s="14"/>
      <c r="AL871" s="14"/>
      <c r="AM871" s="14"/>
      <c r="AN871" s="14"/>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14"/>
      <c r="AH872" s="14"/>
      <c r="AI872" s="14"/>
      <c r="AJ872" s="14"/>
      <c r="AK872" s="14"/>
      <c r="AL872" s="14"/>
      <c r="AM872" s="14"/>
      <c r="AN872" s="14"/>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14"/>
      <c r="AH873" s="14"/>
      <c r="AI873" s="14"/>
      <c r="AJ873" s="14"/>
      <c r="AK873" s="14"/>
      <c r="AL873" s="14"/>
      <c r="AM873" s="14"/>
      <c r="AN873" s="14"/>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14"/>
      <c r="AH874" s="14"/>
      <c r="AI874" s="14"/>
      <c r="AJ874" s="14"/>
      <c r="AK874" s="14"/>
      <c r="AL874" s="14"/>
      <c r="AM874" s="14"/>
      <c r="AN874" s="14"/>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14"/>
      <c r="AH875" s="14"/>
      <c r="AI875" s="14"/>
      <c r="AJ875" s="14"/>
      <c r="AK875" s="14"/>
      <c r="AL875" s="14"/>
      <c r="AM875" s="14"/>
      <c r="AN875" s="14"/>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14"/>
      <c r="AH876" s="14"/>
      <c r="AI876" s="14"/>
      <c r="AJ876" s="14"/>
      <c r="AK876" s="14"/>
      <c r="AL876" s="14"/>
      <c r="AM876" s="14"/>
      <c r="AN876" s="14"/>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14"/>
      <c r="AH877" s="14"/>
      <c r="AI877" s="14"/>
      <c r="AJ877" s="14"/>
      <c r="AK877" s="14"/>
      <c r="AL877" s="14"/>
      <c r="AM877" s="14"/>
      <c r="AN877" s="14"/>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14"/>
      <c r="AH878" s="14"/>
      <c r="AI878" s="14"/>
      <c r="AJ878" s="14"/>
      <c r="AK878" s="14"/>
      <c r="AL878" s="14"/>
      <c r="AM878" s="14"/>
      <c r="AN878" s="14"/>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14"/>
      <c r="AH879" s="14"/>
      <c r="AI879" s="14"/>
      <c r="AJ879" s="14"/>
      <c r="AK879" s="14"/>
      <c r="AL879" s="14"/>
      <c r="AM879" s="14"/>
      <c r="AN879" s="14"/>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14"/>
      <c r="AH880" s="14"/>
      <c r="AI880" s="14"/>
      <c r="AJ880" s="14"/>
      <c r="AK880" s="14"/>
      <c r="AL880" s="14"/>
      <c r="AM880" s="14"/>
      <c r="AN880" s="14"/>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14"/>
      <c r="AH881" s="14"/>
      <c r="AI881" s="14"/>
      <c r="AJ881" s="14"/>
      <c r="AK881" s="14"/>
      <c r="AL881" s="14"/>
      <c r="AM881" s="14"/>
      <c r="AN881" s="14"/>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14"/>
      <c r="AH882" s="14"/>
      <c r="AI882" s="14"/>
      <c r="AJ882" s="14"/>
      <c r="AK882" s="14"/>
      <c r="AL882" s="14"/>
      <c r="AM882" s="14"/>
      <c r="AN882" s="14"/>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14"/>
      <c r="AH883" s="14"/>
      <c r="AI883" s="14"/>
      <c r="AJ883" s="14"/>
      <c r="AK883" s="14"/>
      <c r="AL883" s="14"/>
      <c r="AM883" s="14"/>
      <c r="AN883" s="14"/>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14"/>
      <c r="AH884" s="14"/>
      <c r="AI884" s="14"/>
      <c r="AJ884" s="14"/>
      <c r="AK884" s="14"/>
      <c r="AL884" s="14"/>
      <c r="AM884" s="14"/>
      <c r="AN884" s="14"/>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14"/>
      <c r="AH885" s="14"/>
      <c r="AI885" s="14"/>
      <c r="AJ885" s="14"/>
      <c r="AK885" s="14"/>
      <c r="AL885" s="14"/>
      <c r="AM885" s="14"/>
      <c r="AN885" s="14"/>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14"/>
      <c r="AH886" s="14"/>
      <c r="AI886" s="14"/>
      <c r="AJ886" s="14"/>
      <c r="AK886" s="14"/>
      <c r="AL886" s="14"/>
      <c r="AM886" s="14"/>
      <c r="AN886" s="14"/>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14"/>
      <c r="AH887" s="14"/>
      <c r="AI887" s="14"/>
      <c r="AJ887" s="14"/>
      <c r="AK887" s="14"/>
      <c r="AL887" s="14"/>
      <c r="AM887" s="14"/>
      <c r="AN887" s="14"/>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14"/>
      <c r="AH888" s="14"/>
      <c r="AI888" s="14"/>
      <c r="AJ888" s="14"/>
      <c r="AK888" s="14"/>
      <c r="AL888" s="14"/>
      <c r="AM888" s="14"/>
      <c r="AN888" s="14"/>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14"/>
      <c r="AH889" s="14"/>
      <c r="AI889" s="14"/>
      <c r="AJ889" s="14"/>
      <c r="AK889" s="14"/>
      <c r="AL889" s="14"/>
      <c r="AM889" s="14"/>
      <c r="AN889" s="14"/>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14"/>
      <c r="AH890" s="14"/>
      <c r="AI890" s="14"/>
      <c r="AJ890" s="14"/>
      <c r="AK890" s="14"/>
      <c r="AL890" s="14"/>
      <c r="AM890" s="14"/>
      <c r="AN890" s="14"/>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14"/>
      <c r="AH891" s="14"/>
      <c r="AI891" s="14"/>
      <c r="AJ891" s="14"/>
      <c r="AK891" s="14"/>
      <c r="AL891" s="14"/>
      <c r="AM891" s="14"/>
      <c r="AN891" s="14"/>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14"/>
      <c r="AH892" s="14"/>
      <c r="AI892" s="14"/>
      <c r="AJ892" s="14"/>
      <c r="AK892" s="14"/>
      <c r="AL892" s="14"/>
      <c r="AM892" s="14"/>
      <c r="AN892" s="14"/>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14"/>
      <c r="AH893" s="14"/>
      <c r="AI893" s="14"/>
      <c r="AJ893" s="14"/>
      <c r="AK893" s="14"/>
      <c r="AL893" s="14"/>
      <c r="AM893" s="14"/>
      <c r="AN893" s="14"/>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14"/>
      <c r="AH894" s="14"/>
      <c r="AI894" s="14"/>
      <c r="AJ894" s="14"/>
      <c r="AK894" s="14"/>
      <c r="AL894" s="14"/>
      <c r="AM894" s="14"/>
      <c r="AN894" s="14"/>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14"/>
      <c r="AH895" s="14"/>
      <c r="AI895" s="14"/>
      <c r="AJ895" s="14"/>
      <c r="AK895" s="14"/>
      <c r="AL895" s="14"/>
      <c r="AM895" s="14"/>
      <c r="AN895" s="14"/>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14"/>
      <c r="AH896" s="14"/>
      <c r="AI896" s="14"/>
      <c r="AJ896" s="14"/>
      <c r="AK896" s="14"/>
      <c r="AL896" s="14"/>
      <c r="AM896" s="14"/>
      <c r="AN896" s="14"/>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14"/>
      <c r="AH897" s="14"/>
      <c r="AI897" s="14"/>
      <c r="AJ897" s="14"/>
      <c r="AK897" s="14"/>
      <c r="AL897" s="14"/>
      <c r="AM897" s="14"/>
      <c r="AN897" s="14"/>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14"/>
      <c r="AH898" s="14"/>
      <c r="AI898" s="14"/>
      <c r="AJ898" s="14"/>
      <c r="AK898" s="14"/>
      <c r="AL898" s="14"/>
      <c r="AM898" s="14"/>
      <c r="AN898" s="14"/>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14"/>
      <c r="AH899" s="14"/>
      <c r="AI899" s="14"/>
      <c r="AJ899" s="14"/>
      <c r="AK899" s="14"/>
      <c r="AL899" s="14"/>
      <c r="AM899" s="14"/>
      <c r="AN899" s="14"/>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14"/>
      <c r="AH900" s="14"/>
      <c r="AI900" s="14"/>
      <c r="AJ900" s="14"/>
      <c r="AK900" s="14"/>
      <c r="AL900" s="14"/>
      <c r="AM900" s="14"/>
      <c r="AN900" s="14"/>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14"/>
      <c r="AH901" s="14"/>
      <c r="AI901" s="14"/>
      <c r="AJ901" s="14"/>
      <c r="AK901" s="14"/>
      <c r="AL901" s="14"/>
      <c r="AM901" s="14"/>
      <c r="AN901" s="14"/>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14"/>
      <c r="AH902" s="14"/>
      <c r="AI902" s="14"/>
      <c r="AJ902" s="14"/>
      <c r="AK902" s="14"/>
      <c r="AL902" s="14"/>
      <c r="AM902" s="14"/>
      <c r="AN902" s="14"/>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14"/>
      <c r="AH903" s="14"/>
      <c r="AI903" s="14"/>
      <c r="AJ903" s="14"/>
      <c r="AK903" s="14"/>
      <c r="AL903" s="14"/>
      <c r="AM903" s="14"/>
      <c r="AN903" s="14"/>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14"/>
      <c r="AH904" s="14"/>
      <c r="AI904" s="14"/>
      <c r="AJ904" s="14"/>
      <c r="AK904" s="14"/>
      <c r="AL904" s="14"/>
      <c r="AM904" s="14"/>
      <c r="AN904" s="14"/>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14"/>
      <c r="AH905" s="14"/>
      <c r="AI905" s="14"/>
      <c r="AJ905" s="14"/>
      <c r="AK905" s="14"/>
      <c r="AL905" s="14"/>
      <c r="AM905" s="14"/>
      <c r="AN905" s="14"/>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14"/>
      <c r="AH906" s="14"/>
      <c r="AI906" s="14"/>
      <c r="AJ906" s="14"/>
      <c r="AK906" s="14"/>
      <c r="AL906" s="14"/>
      <c r="AM906" s="14"/>
      <c r="AN906" s="14"/>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14"/>
      <c r="AH907" s="14"/>
      <c r="AI907" s="14"/>
      <c r="AJ907" s="14"/>
      <c r="AK907" s="14"/>
      <c r="AL907" s="14"/>
      <c r="AM907" s="14"/>
      <c r="AN907" s="14"/>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14"/>
      <c r="AH908" s="14"/>
      <c r="AI908" s="14"/>
      <c r="AJ908" s="14"/>
      <c r="AK908" s="14"/>
      <c r="AL908" s="14"/>
      <c r="AM908" s="14"/>
      <c r="AN908" s="14"/>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14"/>
      <c r="AH909" s="14"/>
      <c r="AI909" s="14"/>
      <c r="AJ909" s="14"/>
      <c r="AK909" s="14"/>
      <c r="AL909" s="14"/>
      <c r="AM909" s="14"/>
      <c r="AN909" s="14"/>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14"/>
      <c r="AH910" s="14"/>
      <c r="AI910" s="14"/>
      <c r="AJ910" s="14"/>
      <c r="AK910" s="14"/>
      <c r="AL910" s="14"/>
      <c r="AM910" s="14"/>
      <c r="AN910" s="14"/>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14"/>
      <c r="AH911" s="14"/>
      <c r="AI911" s="14"/>
      <c r="AJ911" s="14"/>
      <c r="AK911" s="14"/>
      <c r="AL911" s="14"/>
      <c r="AM911" s="14"/>
      <c r="AN911" s="14"/>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14"/>
      <c r="AH912" s="14"/>
      <c r="AI912" s="14"/>
      <c r="AJ912" s="14"/>
      <c r="AK912" s="14"/>
      <c r="AL912" s="14"/>
      <c r="AM912" s="14"/>
      <c r="AN912" s="14"/>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14"/>
      <c r="AH913" s="14"/>
      <c r="AI913" s="14"/>
      <c r="AJ913" s="14"/>
      <c r="AK913" s="14"/>
      <c r="AL913" s="14"/>
      <c r="AM913" s="14"/>
      <c r="AN913" s="14"/>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14"/>
      <c r="AH914" s="14"/>
      <c r="AI914" s="14"/>
      <c r="AJ914" s="14"/>
      <c r="AK914" s="14"/>
      <c r="AL914" s="14"/>
      <c r="AM914" s="14"/>
      <c r="AN914" s="14"/>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14"/>
      <c r="AH915" s="14"/>
      <c r="AI915" s="14"/>
      <c r="AJ915" s="14"/>
      <c r="AK915" s="14"/>
      <c r="AL915" s="14"/>
      <c r="AM915" s="14"/>
      <c r="AN915" s="14"/>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14"/>
      <c r="AH916" s="14"/>
      <c r="AI916" s="14"/>
      <c r="AJ916" s="14"/>
      <c r="AK916" s="14"/>
      <c r="AL916" s="14"/>
      <c r="AM916" s="14"/>
      <c r="AN916" s="14"/>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14"/>
      <c r="AH917" s="14"/>
      <c r="AI917" s="14"/>
      <c r="AJ917" s="14"/>
      <c r="AK917" s="14"/>
      <c r="AL917" s="14"/>
      <c r="AM917" s="14"/>
      <c r="AN917" s="14"/>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14"/>
      <c r="AH918" s="14"/>
      <c r="AI918" s="14"/>
      <c r="AJ918" s="14"/>
      <c r="AK918" s="14"/>
      <c r="AL918" s="14"/>
      <c r="AM918" s="14"/>
      <c r="AN918" s="14"/>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14"/>
      <c r="AH919" s="14"/>
      <c r="AI919" s="14"/>
      <c r="AJ919" s="14"/>
      <c r="AK919" s="14"/>
      <c r="AL919" s="14"/>
      <c r="AM919" s="14"/>
      <c r="AN919" s="14"/>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14"/>
      <c r="AH920" s="14"/>
      <c r="AI920" s="14"/>
      <c r="AJ920" s="14"/>
      <c r="AK920" s="14"/>
      <c r="AL920" s="14"/>
      <c r="AM920" s="14"/>
      <c r="AN920" s="14"/>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14"/>
      <c r="AH921" s="14"/>
      <c r="AI921" s="14"/>
      <c r="AJ921" s="14"/>
      <c r="AK921" s="14"/>
      <c r="AL921" s="14"/>
      <c r="AM921" s="14"/>
      <c r="AN921" s="14"/>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14"/>
      <c r="AH922" s="14"/>
      <c r="AI922" s="14"/>
      <c r="AJ922" s="14"/>
      <c r="AK922" s="14"/>
      <c r="AL922" s="14"/>
      <c r="AM922" s="14"/>
      <c r="AN922" s="14"/>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14"/>
      <c r="AH923" s="14"/>
      <c r="AI923" s="14"/>
      <c r="AJ923" s="14"/>
      <c r="AK923" s="14"/>
      <c r="AL923" s="14"/>
      <c r="AM923" s="14"/>
      <c r="AN923" s="14"/>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14"/>
      <c r="AH924" s="14"/>
      <c r="AI924" s="14"/>
      <c r="AJ924" s="14"/>
      <c r="AK924" s="14"/>
      <c r="AL924" s="14"/>
      <c r="AM924" s="14"/>
      <c r="AN924" s="14"/>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14"/>
      <c r="AH925" s="14"/>
      <c r="AI925" s="14"/>
      <c r="AJ925" s="14"/>
      <c r="AK925" s="14"/>
      <c r="AL925" s="14"/>
      <c r="AM925" s="14"/>
      <c r="AN925" s="14"/>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14"/>
      <c r="AH926" s="14"/>
      <c r="AI926" s="14"/>
      <c r="AJ926" s="14"/>
      <c r="AK926" s="14"/>
      <c r="AL926" s="14"/>
      <c r="AM926" s="14"/>
      <c r="AN926" s="14"/>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14"/>
      <c r="AH927" s="14"/>
      <c r="AI927" s="14"/>
      <c r="AJ927" s="14"/>
      <c r="AK927" s="14"/>
      <c r="AL927" s="14"/>
      <c r="AM927" s="14"/>
      <c r="AN927" s="14"/>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14"/>
      <c r="AH928" s="14"/>
      <c r="AI928" s="14"/>
      <c r="AJ928" s="14"/>
      <c r="AK928" s="14"/>
      <c r="AL928" s="14"/>
      <c r="AM928" s="14"/>
      <c r="AN928" s="14"/>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14"/>
      <c r="AH929" s="14"/>
      <c r="AI929" s="14"/>
      <c r="AJ929" s="14"/>
      <c r="AK929" s="14"/>
      <c r="AL929" s="14"/>
      <c r="AM929" s="14"/>
      <c r="AN929" s="14"/>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14"/>
      <c r="AH930" s="14"/>
      <c r="AI930" s="14"/>
      <c r="AJ930" s="14"/>
      <c r="AK930" s="14"/>
      <c r="AL930" s="14"/>
      <c r="AM930" s="14"/>
      <c r="AN930" s="14"/>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14"/>
      <c r="AH931" s="14"/>
      <c r="AI931" s="14"/>
      <c r="AJ931" s="14"/>
      <c r="AK931" s="14"/>
      <c r="AL931" s="14"/>
      <c r="AM931" s="14"/>
      <c r="AN931" s="14"/>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14"/>
      <c r="AH932" s="14"/>
      <c r="AI932" s="14"/>
      <c r="AJ932" s="14"/>
      <c r="AK932" s="14"/>
      <c r="AL932" s="14"/>
      <c r="AM932" s="14"/>
      <c r="AN932" s="14"/>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14"/>
      <c r="AH933" s="14"/>
      <c r="AI933" s="14"/>
      <c r="AJ933" s="14"/>
      <c r="AK933" s="14"/>
      <c r="AL933" s="14"/>
      <c r="AM933" s="14"/>
      <c r="AN933" s="14"/>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14"/>
      <c r="AH934" s="14"/>
      <c r="AI934" s="14"/>
      <c r="AJ934" s="14"/>
      <c r="AK934" s="14"/>
      <c r="AL934" s="14"/>
      <c r="AM934" s="14"/>
      <c r="AN934" s="14"/>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14"/>
      <c r="AH935" s="14"/>
      <c r="AI935" s="14"/>
      <c r="AJ935" s="14"/>
      <c r="AK935" s="14"/>
      <c r="AL935" s="14"/>
      <c r="AM935" s="14"/>
      <c r="AN935" s="14"/>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14"/>
      <c r="AH936" s="14"/>
      <c r="AI936" s="14"/>
      <c r="AJ936" s="14"/>
      <c r="AK936" s="14"/>
      <c r="AL936" s="14"/>
      <c r="AM936" s="14"/>
      <c r="AN936" s="14"/>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14"/>
      <c r="AH937" s="14"/>
      <c r="AI937" s="14"/>
      <c r="AJ937" s="14"/>
      <c r="AK937" s="14"/>
      <c r="AL937" s="14"/>
      <c r="AM937" s="14"/>
      <c r="AN937" s="14"/>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14"/>
      <c r="AH938" s="14"/>
      <c r="AI938" s="14"/>
      <c r="AJ938" s="14"/>
      <c r="AK938" s="14"/>
      <c r="AL938" s="14"/>
      <c r="AM938" s="14"/>
      <c r="AN938" s="14"/>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14"/>
      <c r="AH939" s="14"/>
      <c r="AI939" s="14"/>
      <c r="AJ939" s="14"/>
      <c r="AK939" s="14"/>
      <c r="AL939" s="14"/>
      <c r="AM939" s="14"/>
      <c r="AN939" s="14"/>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14"/>
      <c r="AH940" s="14"/>
      <c r="AI940" s="14"/>
      <c r="AJ940" s="14"/>
      <c r="AK940" s="14"/>
      <c r="AL940" s="14"/>
      <c r="AM940" s="14"/>
      <c r="AN940" s="14"/>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14"/>
      <c r="AH941" s="14"/>
      <c r="AI941" s="14"/>
      <c r="AJ941" s="14"/>
      <c r="AK941" s="14"/>
      <c r="AL941" s="14"/>
      <c r="AM941" s="14"/>
      <c r="AN941" s="14"/>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14"/>
      <c r="AH942" s="14"/>
      <c r="AI942" s="14"/>
      <c r="AJ942" s="14"/>
      <c r="AK942" s="14"/>
      <c r="AL942" s="14"/>
      <c r="AM942" s="14"/>
      <c r="AN942" s="14"/>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14"/>
      <c r="AH943" s="14"/>
      <c r="AI943" s="14"/>
      <c r="AJ943" s="14"/>
      <c r="AK943" s="14"/>
      <c r="AL943" s="14"/>
      <c r="AM943" s="14"/>
      <c r="AN943" s="14"/>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14"/>
      <c r="AH944" s="14"/>
      <c r="AI944" s="14"/>
      <c r="AJ944" s="14"/>
      <c r="AK944" s="14"/>
      <c r="AL944" s="14"/>
      <c r="AM944" s="14"/>
      <c r="AN944" s="14"/>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14"/>
      <c r="AH945" s="14"/>
      <c r="AI945" s="14"/>
      <c r="AJ945" s="14"/>
      <c r="AK945" s="14"/>
      <c r="AL945" s="14"/>
      <c r="AM945" s="14"/>
      <c r="AN945" s="14"/>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14"/>
      <c r="AH946" s="14"/>
      <c r="AI946" s="14"/>
      <c r="AJ946" s="14"/>
      <c r="AK946" s="14"/>
      <c r="AL946" s="14"/>
      <c r="AM946" s="14"/>
      <c r="AN946" s="14"/>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14"/>
      <c r="AH947" s="14"/>
      <c r="AI947" s="14"/>
      <c r="AJ947" s="14"/>
      <c r="AK947" s="14"/>
      <c r="AL947" s="14"/>
      <c r="AM947" s="14"/>
      <c r="AN947" s="14"/>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14"/>
      <c r="AH948" s="14"/>
      <c r="AI948" s="14"/>
      <c r="AJ948" s="14"/>
      <c r="AK948" s="14"/>
      <c r="AL948" s="14"/>
      <c r="AM948" s="14"/>
      <c r="AN948" s="14"/>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14"/>
      <c r="AH949" s="14"/>
      <c r="AI949" s="14"/>
      <c r="AJ949" s="14"/>
      <c r="AK949" s="14"/>
      <c r="AL949" s="14"/>
      <c r="AM949" s="14"/>
      <c r="AN949" s="14"/>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14"/>
      <c r="AH950" s="14"/>
      <c r="AI950" s="14"/>
      <c r="AJ950" s="14"/>
      <c r="AK950" s="14"/>
      <c r="AL950" s="14"/>
      <c r="AM950" s="14"/>
      <c r="AN950" s="14"/>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14"/>
      <c r="AH951" s="14"/>
      <c r="AI951" s="14"/>
      <c r="AJ951" s="14"/>
      <c r="AK951" s="14"/>
      <c r="AL951" s="14"/>
      <c r="AM951" s="14"/>
      <c r="AN951" s="14"/>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14"/>
      <c r="AH952" s="14"/>
      <c r="AI952" s="14"/>
      <c r="AJ952" s="14"/>
      <c r="AK952" s="14"/>
      <c r="AL952" s="14"/>
      <c r="AM952" s="14"/>
      <c r="AN952" s="14"/>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14"/>
      <c r="AH953" s="14"/>
      <c r="AI953" s="14"/>
      <c r="AJ953" s="14"/>
      <c r="AK953" s="14"/>
      <c r="AL953" s="14"/>
      <c r="AM953" s="14"/>
      <c r="AN953" s="14"/>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14"/>
      <c r="AH954" s="14"/>
      <c r="AI954" s="14"/>
      <c r="AJ954" s="14"/>
      <c r="AK954" s="14"/>
      <c r="AL954" s="14"/>
      <c r="AM954" s="14"/>
      <c r="AN954" s="14"/>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14"/>
      <c r="AH955" s="14"/>
      <c r="AI955" s="14"/>
      <c r="AJ955" s="14"/>
      <c r="AK955" s="14"/>
      <c r="AL955" s="14"/>
      <c r="AM955" s="14"/>
      <c r="AN955" s="14"/>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14"/>
      <c r="AH956" s="14"/>
      <c r="AI956" s="14"/>
      <c r="AJ956" s="14"/>
      <c r="AK956" s="14"/>
      <c r="AL956" s="14"/>
      <c r="AM956" s="14"/>
      <c r="AN956" s="14"/>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14"/>
      <c r="AH957" s="14"/>
      <c r="AI957" s="14"/>
      <c r="AJ957" s="14"/>
      <c r="AK957" s="14"/>
      <c r="AL957" s="14"/>
      <c r="AM957" s="14"/>
      <c r="AN957" s="14"/>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14"/>
      <c r="AH958" s="14"/>
      <c r="AI958" s="14"/>
      <c r="AJ958" s="14"/>
      <c r="AK958" s="14"/>
      <c r="AL958" s="14"/>
      <c r="AM958" s="14"/>
      <c r="AN958" s="14"/>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14"/>
      <c r="AH959" s="14"/>
      <c r="AI959" s="14"/>
      <c r="AJ959" s="14"/>
      <c r="AK959" s="14"/>
      <c r="AL959" s="14"/>
      <c r="AM959" s="14"/>
      <c r="AN959" s="14"/>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14"/>
      <c r="AH960" s="14"/>
      <c r="AI960" s="14"/>
      <c r="AJ960" s="14"/>
      <c r="AK960" s="14"/>
      <c r="AL960" s="14"/>
      <c r="AM960" s="14"/>
      <c r="AN960" s="14"/>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14"/>
      <c r="AH961" s="14"/>
      <c r="AI961" s="14"/>
      <c r="AJ961" s="14"/>
      <c r="AK961" s="14"/>
      <c r="AL961" s="14"/>
      <c r="AM961" s="14"/>
      <c r="AN961" s="14"/>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14"/>
      <c r="AH962" s="14"/>
      <c r="AI962" s="14"/>
      <c r="AJ962" s="14"/>
      <c r="AK962" s="14"/>
      <c r="AL962" s="14"/>
      <c r="AM962" s="14"/>
      <c r="AN962" s="14"/>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14"/>
      <c r="AH963" s="14"/>
      <c r="AI963" s="14"/>
      <c r="AJ963" s="14"/>
      <c r="AK963" s="14"/>
      <c r="AL963" s="14"/>
      <c r="AM963" s="14"/>
      <c r="AN963" s="14"/>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14"/>
      <c r="AH964" s="14"/>
      <c r="AI964" s="14"/>
      <c r="AJ964" s="14"/>
      <c r="AK964" s="14"/>
      <c r="AL964" s="14"/>
      <c r="AM964" s="14"/>
      <c r="AN964" s="14"/>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14"/>
      <c r="AH965" s="14"/>
      <c r="AI965" s="14"/>
      <c r="AJ965" s="14"/>
      <c r="AK965" s="14"/>
      <c r="AL965" s="14"/>
      <c r="AM965" s="14"/>
      <c r="AN965" s="14"/>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14"/>
      <c r="AH966" s="14"/>
      <c r="AI966" s="14"/>
      <c r="AJ966" s="14"/>
      <c r="AK966" s="14"/>
      <c r="AL966" s="14"/>
      <c r="AM966" s="14"/>
      <c r="AN966" s="14"/>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14"/>
      <c r="AH967" s="14"/>
      <c r="AI967" s="14"/>
      <c r="AJ967" s="14"/>
      <c r="AK967" s="14"/>
      <c r="AL967" s="14"/>
      <c r="AM967" s="14"/>
      <c r="AN967" s="14"/>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14"/>
      <c r="AH968" s="14"/>
      <c r="AI968" s="14"/>
      <c r="AJ968" s="14"/>
      <c r="AK968" s="14"/>
      <c r="AL968" s="14"/>
      <c r="AM968" s="14"/>
      <c r="AN968" s="14"/>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14"/>
      <c r="AH969" s="14"/>
      <c r="AI969" s="14"/>
      <c r="AJ969" s="14"/>
      <c r="AK969" s="14"/>
      <c r="AL969" s="14"/>
      <c r="AM969" s="14"/>
      <c r="AN969" s="14"/>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14"/>
      <c r="AH970" s="14"/>
      <c r="AI970" s="14"/>
      <c r="AJ970" s="14"/>
      <c r="AK970" s="14"/>
      <c r="AL970" s="14"/>
      <c r="AM970" s="14"/>
      <c r="AN970" s="14"/>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14"/>
      <c r="AH971" s="14"/>
      <c r="AI971" s="14"/>
      <c r="AJ971" s="14"/>
      <c r="AK971" s="14"/>
      <c r="AL971" s="14"/>
      <c r="AM971" s="14"/>
      <c r="AN971" s="14"/>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14"/>
      <c r="AH972" s="14"/>
      <c r="AI972" s="14"/>
      <c r="AJ972" s="14"/>
      <c r="AK972" s="14"/>
      <c r="AL972" s="14"/>
      <c r="AM972" s="14"/>
      <c r="AN972" s="14"/>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14"/>
      <c r="AH973" s="14"/>
      <c r="AI973" s="14"/>
      <c r="AJ973" s="14"/>
      <c r="AK973" s="14"/>
      <c r="AL973" s="14"/>
      <c r="AM973" s="14"/>
      <c r="AN973" s="14"/>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14"/>
      <c r="AH974" s="14"/>
      <c r="AI974" s="14"/>
      <c r="AJ974" s="14"/>
      <c r="AK974" s="14"/>
      <c r="AL974" s="14"/>
      <c r="AM974" s="14"/>
      <c r="AN974" s="14"/>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14"/>
      <c r="AH975" s="14"/>
      <c r="AI975" s="14"/>
      <c r="AJ975" s="14"/>
      <c r="AK975" s="14"/>
      <c r="AL975" s="14"/>
      <c r="AM975" s="14"/>
      <c r="AN975" s="14"/>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14"/>
      <c r="AH976" s="14"/>
      <c r="AI976" s="14"/>
      <c r="AJ976" s="14"/>
      <c r="AK976" s="14"/>
      <c r="AL976" s="14"/>
      <c r="AM976" s="14"/>
      <c r="AN976" s="14"/>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14"/>
      <c r="AH977" s="14"/>
      <c r="AI977" s="14"/>
      <c r="AJ977" s="14"/>
      <c r="AK977" s="14"/>
      <c r="AL977" s="14"/>
      <c r="AM977" s="14"/>
      <c r="AN977" s="14"/>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14"/>
      <c r="AH978" s="14"/>
      <c r="AI978" s="14"/>
      <c r="AJ978" s="14"/>
      <c r="AK978" s="14"/>
      <c r="AL978" s="14"/>
      <c r="AM978" s="14"/>
      <c r="AN978" s="14"/>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14"/>
      <c r="AH979" s="14"/>
      <c r="AI979" s="14"/>
      <c r="AJ979" s="14"/>
      <c r="AK979" s="14"/>
      <c r="AL979" s="14"/>
      <c r="AM979" s="14"/>
      <c r="AN979" s="14"/>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14"/>
      <c r="AH980" s="14"/>
      <c r="AI980" s="14"/>
      <c r="AJ980" s="14"/>
      <c r="AK980" s="14"/>
      <c r="AL980" s="14"/>
      <c r="AM980" s="14"/>
      <c r="AN980" s="14"/>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14"/>
      <c r="AH981" s="14"/>
      <c r="AI981" s="14"/>
      <c r="AJ981" s="14"/>
      <c r="AK981" s="14"/>
      <c r="AL981" s="14"/>
      <c r="AM981" s="14"/>
      <c r="AN981" s="14"/>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14"/>
      <c r="AH982" s="14"/>
      <c r="AI982" s="14"/>
      <c r="AJ982" s="14"/>
      <c r="AK982" s="14"/>
      <c r="AL982" s="14"/>
      <c r="AM982" s="14"/>
      <c r="AN982" s="14"/>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14"/>
      <c r="AH983" s="14"/>
      <c r="AI983" s="14"/>
      <c r="AJ983" s="14"/>
      <c r="AK983" s="14"/>
      <c r="AL983" s="14"/>
      <c r="AM983" s="14"/>
      <c r="AN983" s="14"/>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14"/>
      <c r="AH984" s="14"/>
      <c r="AI984" s="14"/>
      <c r="AJ984" s="14"/>
      <c r="AK984" s="14"/>
      <c r="AL984" s="14"/>
      <c r="AM984" s="14"/>
      <c r="AN984" s="14"/>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14"/>
      <c r="AH985" s="14"/>
      <c r="AI985" s="14"/>
      <c r="AJ985" s="14"/>
      <c r="AK985" s="14"/>
      <c r="AL985" s="14"/>
      <c r="AM985" s="14"/>
      <c r="AN985" s="14"/>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14"/>
      <c r="AH986" s="14"/>
      <c r="AI986" s="14"/>
      <c r="AJ986" s="14"/>
      <c r="AK986" s="14"/>
      <c r="AL986" s="14"/>
      <c r="AM986" s="14"/>
      <c r="AN986" s="14"/>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14"/>
      <c r="AH987" s="14"/>
      <c r="AI987" s="14"/>
      <c r="AJ987" s="14"/>
      <c r="AK987" s="14"/>
      <c r="AL987" s="14"/>
      <c r="AM987" s="14"/>
      <c r="AN987" s="14"/>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14"/>
      <c r="AH988" s="14"/>
      <c r="AI988" s="14"/>
      <c r="AJ988" s="14"/>
      <c r="AK988" s="14"/>
      <c r="AL988" s="14"/>
      <c r="AM988" s="14"/>
      <c r="AN988" s="14"/>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14"/>
      <c r="AH989" s="14"/>
      <c r="AI989" s="14"/>
      <c r="AJ989" s="14"/>
      <c r="AK989" s="14"/>
      <c r="AL989" s="14"/>
      <c r="AM989" s="14"/>
      <c r="AN989" s="14"/>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14"/>
      <c r="AH990" s="14"/>
      <c r="AI990" s="14"/>
      <c r="AJ990" s="14"/>
      <c r="AK990" s="14"/>
      <c r="AL990" s="14"/>
      <c r="AM990" s="14"/>
      <c r="AN990" s="14"/>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14"/>
      <c r="AH991" s="14"/>
      <c r="AI991" s="14"/>
      <c r="AJ991" s="14"/>
      <c r="AK991" s="14"/>
      <c r="AL991" s="14"/>
      <c r="AM991" s="14"/>
      <c r="AN991" s="14"/>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14"/>
      <c r="AH992" s="14"/>
      <c r="AI992" s="14"/>
      <c r="AJ992" s="14"/>
      <c r="AK992" s="14"/>
      <c r="AL992" s="14"/>
      <c r="AM992" s="14"/>
      <c r="AN992" s="14"/>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14"/>
      <c r="AH993" s="14"/>
      <c r="AI993" s="14"/>
      <c r="AJ993" s="14"/>
      <c r="AK993" s="14"/>
      <c r="AL993" s="14"/>
      <c r="AM993" s="14"/>
      <c r="AN993" s="14"/>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14"/>
      <c r="AH994" s="14"/>
      <c r="AI994" s="14"/>
      <c r="AJ994" s="14"/>
      <c r="AK994" s="14"/>
      <c r="AL994" s="14"/>
      <c r="AM994" s="14"/>
      <c r="AN994" s="14"/>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14"/>
      <c r="AH995" s="14"/>
      <c r="AI995" s="14"/>
      <c r="AJ995" s="14"/>
      <c r="AK995" s="14"/>
      <c r="AL995" s="14"/>
      <c r="AM995" s="14"/>
      <c r="AN995" s="14"/>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14"/>
      <c r="AH996" s="14"/>
      <c r="AI996" s="14"/>
      <c r="AJ996" s="14"/>
      <c r="AK996" s="14"/>
      <c r="AL996" s="14"/>
      <c r="AM996" s="14"/>
      <c r="AN996" s="14"/>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14"/>
      <c r="AH997" s="14"/>
      <c r="AI997" s="14"/>
      <c r="AJ997" s="14"/>
      <c r="AK997" s="14"/>
      <c r="AL997" s="14"/>
      <c r="AM997" s="14"/>
      <c r="AN997" s="14"/>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14"/>
      <c r="AH998" s="14"/>
      <c r="AI998" s="14"/>
      <c r="AJ998" s="14"/>
      <c r="AK998" s="14"/>
      <c r="AL998" s="14"/>
      <c r="AM998" s="14"/>
      <c r="AN998" s="14"/>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14"/>
      <c r="AH999" s="14"/>
      <c r="AI999" s="14"/>
      <c r="AJ999" s="14"/>
      <c r="AK999" s="14"/>
      <c r="AL999" s="14"/>
      <c r="AM999" s="14"/>
      <c r="AN999" s="14"/>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14"/>
      <c r="AH1000" s="14"/>
      <c r="AI1000" s="14"/>
      <c r="AJ1000" s="14"/>
      <c r="AK1000" s="14"/>
      <c r="AL1000" s="14"/>
      <c r="AM1000" s="14"/>
      <c r="AN1000" s="14"/>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14"/>
      <c r="AH1001" s="14"/>
      <c r="AI1001" s="14"/>
      <c r="AJ1001" s="14"/>
      <c r="AK1001" s="14"/>
      <c r="AL1001" s="14"/>
      <c r="AM1001" s="14"/>
      <c r="AN1001" s="14"/>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14"/>
      <c r="AH1002" s="14"/>
      <c r="AI1002" s="14"/>
      <c r="AJ1002" s="14"/>
      <c r="AK1002" s="14"/>
      <c r="AL1002" s="14"/>
      <c r="AM1002" s="14"/>
      <c r="AN1002" s="14"/>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14"/>
      <c r="AH1003" s="14"/>
      <c r="AI1003" s="14"/>
      <c r="AJ1003" s="14"/>
      <c r="AK1003" s="14"/>
      <c r="AL1003" s="14"/>
      <c r="AM1003" s="14"/>
      <c r="AN1003" s="14"/>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14"/>
      <c r="AH1004" s="14"/>
      <c r="AI1004" s="14"/>
      <c r="AJ1004" s="14"/>
      <c r="AK1004" s="14"/>
      <c r="AL1004" s="14"/>
      <c r="AM1004" s="14"/>
      <c r="AN1004" s="14"/>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14"/>
      <c r="AH1005" s="14"/>
      <c r="AI1005" s="14"/>
      <c r="AJ1005" s="14"/>
      <c r="AK1005" s="14"/>
      <c r="AL1005" s="14"/>
      <c r="AM1005" s="14"/>
      <c r="AN1005" s="14"/>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14"/>
      <c r="AH1006" s="14"/>
      <c r="AI1006" s="14"/>
      <c r="AJ1006" s="14"/>
      <c r="AK1006" s="14"/>
      <c r="AL1006" s="14"/>
      <c r="AM1006" s="14"/>
      <c r="AN1006" s="14"/>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14"/>
      <c r="AH1007" s="14"/>
      <c r="AI1007" s="14"/>
      <c r="AJ1007" s="14"/>
      <c r="AK1007" s="14"/>
      <c r="AL1007" s="14"/>
      <c r="AM1007" s="14"/>
      <c r="AN1007" s="14"/>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14"/>
      <c r="AH1008" s="14"/>
      <c r="AI1008" s="14"/>
      <c r="AJ1008" s="14"/>
      <c r="AK1008" s="14"/>
      <c r="AL1008" s="14"/>
      <c r="AM1008" s="14"/>
      <c r="AN1008" s="14"/>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14"/>
      <c r="AH1009" s="14"/>
      <c r="AI1009" s="14"/>
      <c r="AJ1009" s="14"/>
      <c r="AK1009" s="14"/>
      <c r="AL1009" s="14"/>
      <c r="AM1009" s="14"/>
      <c r="AN1009" s="14"/>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14"/>
      <c r="AH1010" s="14"/>
      <c r="AI1010" s="14"/>
      <c r="AJ1010" s="14"/>
      <c r="AK1010" s="14"/>
      <c r="AL1010" s="14"/>
      <c r="AM1010" s="14"/>
      <c r="AN1010" s="14"/>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row>
  </sheetData>
  <mergeCells count="95">
    <mergeCell ref="I70:P70"/>
    <mergeCell ref="A74:H74"/>
    <mergeCell ref="Y78:AF78"/>
    <mergeCell ref="Q79:X79"/>
    <mergeCell ref="Q80:X80"/>
    <mergeCell ref="Y83:AF83"/>
    <mergeCell ref="I89:P89"/>
    <mergeCell ref="I90:P90"/>
    <mergeCell ref="Q90:X90"/>
    <mergeCell ref="Q91:X91"/>
    <mergeCell ref="A97:H97"/>
    <mergeCell ref="Q97:X97"/>
    <mergeCell ref="I102:P102"/>
    <mergeCell ref="A103:H103"/>
    <mergeCell ref="Q103:X103"/>
    <mergeCell ref="Y103:AF103"/>
    <mergeCell ref="Y113:AF113"/>
    <mergeCell ref="Q115:X115"/>
    <mergeCell ref="I118:P118"/>
    <mergeCell ref="A122:H122"/>
    <mergeCell ref="Q122:X122"/>
    <mergeCell ref="A128:H128"/>
    <mergeCell ref="Q128:X128"/>
    <mergeCell ref="I130:P130"/>
    <mergeCell ref="A134:H134"/>
    <mergeCell ref="I138:P138"/>
    <mergeCell ref="Q139:X139"/>
    <mergeCell ref="I144:P144"/>
    <mergeCell ref="A144:H144"/>
    <mergeCell ref="A145:H145"/>
    <mergeCell ref="I151:P151"/>
    <mergeCell ref="I158:P158"/>
    <mergeCell ref="I169:P169"/>
    <mergeCell ref="I170:P170"/>
    <mergeCell ref="A171:H171"/>
    <mergeCell ref="I223:P223"/>
    <mergeCell ref="I228:P228"/>
    <mergeCell ref="I235:P235"/>
    <mergeCell ref="A181:H181"/>
    <mergeCell ref="I183:P183"/>
    <mergeCell ref="A195:H195"/>
    <mergeCell ref="I195:P195"/>
    <mergeCell ref="I201:P201"/>
    <mergeCell ref="I207:P207"/>
    <mergeCell ref="I216:P216"/>
    <mergeCell ref="A1:H1"/>
    <mergeCell ref="I1:P1"/>
    <mergeCell ref="Q1:X1"/>
    <mergeCell ref="Y1:AF1"/>
    <mergeCell ref="AG1:AN1"/>
    <mergeCell ref="AO1:AV1"/>
    <mergeCell ref="AW1:BD1"/>
    <mergeCell ref="A2:H2"/>
    <mergeCell ref="I2:P2"/>
    <mergeCell ref="Q2:X2"/>
    <mergeCell ref="Y2:AF2"/>
    <mergeCell ref="AG2:AN2"/>
    <mergeCell ref="AO2:AV2"/>
    <mergeCell ref="AW2:BD2"/>
    <mergeCell ref="AG11:AN11"/>
    <mergeCell ref="AO11:AV11"/>
    <mergeCell ref="AW11:BD11"/>
    <mergeCell ref="Q16:X16"/>
    <mergeCell ref="AG17:AN17"/>
    <mergeCell ref="AO17:AV17"/>
    <mergeCell ref="AW17:BD17"/>
    <mergeCell ref="Y22:AF22"/>
    <mergeCell ref="AG24:AN24"/>
    <mergeCell ref="AO24:AV24"/>
    <mergeCell ref="AW24:BD24"/>
    <mergeCell ref="Q29:X29"/>
    <mergeCell ref="AO32:AV32"/>
    <mergeCell ref="AW32:BD32"/>
    <mergeCell ref="AG32:AN32"/>
    <mergeCell ref="Y33:AF33"/>
    <mergeCell ref="I34:P34"/>
    <mergeCell ref="A42:H42"/>
    <mergeCell ref="I43:P43"/>
    <mergeCell ref="Q44:X44"/>
    <mergeCell ref="AG44:AN44"/>
    <mergeCell ref="AO44:AV44"/>
    <mergeCell ref="AW44:BD44"/>
    <mergeCell ref="AG52:AN52"/>
    <mergeCell ref="Q54:X54"/>
    <mergeCell ref="Y54:AF54"/>
    <mergeCell ref="AW54:BD54"/>
    <mergeCell ref="I57:P57"/>
    <mergeCell ref="A61:H61"/>
    <mergeCell ref="Y61:AF61"/>
    <mergeCell ref="Q62:X62"/>
    <mergeCell ref="AW65:BD65"/>
    <mergeCell ref="Y70:AF70"/>
    <mergeCell ref="AW70:BD70"/>
    <mergeCell ref="Q71:X71"/>
    <mergeCell ref="AW74:BD74"/>
  </mergeCells>
  <conditionalFormatting sqref="A1:P125 Q1:X145 Y1:AF129 AG1:BO125">
    <cfRule type="containsText" dxfId="2" priority="1" operator="containsText" text="Sacc">
      <formula>NOT(ISERROR(SEARCH(("Sacc"),(A1))))</formula>
    </cfRule>
  </conditionalFormatting>
  <conditionalFormatting sqref="A1:P125 Q1:X145 Y1:AF129 AG1:BO125">
    <cfRule type="containsText" dxfId="3" priority="2" operator="containsText" text="CVS">
      <formula>NOT(ISERROR(SEARCH(("CVS"),(A1))))</formula>
    </cfRule>
  </conditionalFormatting>
  <conditionalFormatting sqref="A1:BO1010">
    <cfRule type="containsText" dxfId="4" priority="3" operator="containsText" text="Test Driver">
      <formula>NOT(ISERROR(SEARCH(("Test Driver"),(A1))))</formula>
    </cfRule>
  </conditionalFormatting>
  <dataValidations>
    <dataValidation type="list" allowBlank="1" showErrorMessage="1" sqref="I170">
      <formula1>'歷史紀錄'!$G$2:$G1010</formula1>
    </dataValidation>
    <dataValidation type="list" allowBlank="1" showErrorMessage="1" sqref="Q80">
      <formula1>'歷史紀錄'!$G$2:$G1010</formula1>
    </dataValidation>
    <dataValidation type="list" allowBlank="1" showErrorMessage="1" sqref="A2 I2 Q2 Y2 AG2 AO2 AW2 BE2:BO2 AG11 AO11 AW11 BE11:BO11 Q16 AG17 AO17 AW17 BE17:BO17 Y22 AG24 AO24 AW24 BE24:BO24 Q29 AG32 AO32 AW32 BE32:BO32 Y33 I34 A42 I43 Q44 AG44 AO44 AW44 BE44:BO44 AG52 Q54 Y54 AW54 BE54:BO54 I57 A61 Y61 Q62 AW65 BE65:BO65 I70 Y70 AW70 BE70:BO70 Q71 A74 AW74 BE74:BO74 Y78 Y83 I90 Q91 A97 Q97 I102 A103 Q103 Y103 Y113 Q115 I118 A122 Q122 A128 Q128 I130 A134 I138 Q139 I144 A145 I151 I158 A171 A181 I183 A195 I195 I201 I207 I216 I223 I228 I235">
      <formula1>'歷史紀錄'!$G$2:$G1010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4.38"/>
    <col customWidth="1" min="3" max="3" width="6.13"/>
    <col customWidth="1" min="4" max="4" width="9.38"/>
    <col customWidth="1" min="5" max="5" width="7.88"/>
    <col customWidth="1" min="6" max="6" width="13.63"/>
    <col customWidth="1" min="7" max="7" width="4.38"/>
    <col customWidth="1" min="8" max="8" width="4.75"/>
    <col customWidth="1" min="9" max="9" width="16.25"/>
    <col customWidth="1" min="10" max="10" width="5.63"/>
    <col customWidth="1" min="11" max="11" width="11.38"/>
    <col customWidth="1" min="13" max="13" width="7.88"/>
    <col customWidth="1" min="14" max="14" width="19.13"/>
    <col customWidth="1" min="15" max="15" width="4.38"/>
    <col customWidth="1" min="16" max="16" width="4.75"/>
    <col customWidth="1" min="17" max="17" width="10.75"/>
    <col customWidth="1" min="18" max="18" width="4.38"/>
    <col customWidth="1" min="19" max="19" width="11.38"/>
    <col customWidth="1" min="20" max="20" width="5.88"/>
    <col customWidth="1" min="21" max="21" width="7.88"/>
    <col customWidth="1" min="22" max="22" width="16.5"/>
    <col customWidth="1" min="23" max="23" width="5.63"/>
    <col customWidth="1" min="24" max="24" width="4.75"/>
    <col customWidth="1" min="25" max="25" width="10.75"/>
    <col customWidth="1" min="26" max="26" width="4.38"/>
    <col customWidth="1" min="27" max="27" width="11.38"/>
    <col customWidth="1" min="28" max="28" width="5.88"/>
    <col customWidth="1" min="29" max="29" width="7.88"/>
    <col customWidth="1" min="30" max="30" width="16.5"/>
    <col customWidth="1" min="31" max="31" width="5.63"/>
    <col customWidth="1" min="32" max="32" width="4.75"/>
    <col customWidth="1" min="33" max="33" width="10.75"/>
    <col customWidth="1" min="34" max="34" width="4.38"/>
    <col customWidth="1" min="35" max="35" width="11.38"/>
    <col customWidth="1" min="36" max="36" width="5.88"/>
    <col customWidth="1" min="37" max="37" width="7.88"/>
    <col customWidth="1" min="38" max="38" width="16.5"/>
    <col customWidth="1" min="39" max="39" width="5.63"/>
    <col customWidth="1" min="40" max="51" width="4.75"/>
  </cols>
  <sheetData>
    <row r="1">
      <c r="A1" s="67" t="s">
        <v>205</v>
      </c>
      <c r="I1" s="67" t="s">
        <v>206</v>
      </c>
      <c r="Q1" s="67" t="s">
        <v>207</v>
      </c>
      <c r="Y1" s="67" t="s">
        <v>208</v>
      </c>
      <c r="AG1" s="67" t="s">
        <v>209</v>
      </c>
      <c r="AO1" s="67"/>
      <c r="AP1" s="67"/>
      <c r="AQ1" s="67"/>
      <c r="AR1" s="67"/>
      <c r="AS1" s="67"/>
      <c r="AT1" s="67"/>
      <c r="AU1" s="67"/>
      <c r="AV1" s="67"/>
      <c r="AW1" s="67"/>
      <c r="AX1" s="67"/>
      <c r="AY1" s="67"/>
    </row>
    <row r="2">
      <c r="A2" s="5" t="str">
        <f>IFERROR(__xludf.DUMMYFUNCTION("LET(
  玩家, A1,
  原始, FILTER('歷史紀錄'!$B$2:$I1000, '歷史紀錄'!$E$2:$E1000 = 玩家),
  鍵, MAP(INDEX(原始,,1), INDEX(原始,,2), LAMBDA(賽道, 路線, 賽道&amp;""|""&amp;路線)),
  唯一鍵, UNIQUE(鍵),
  結果, MAP(唯一鍵, LAMBDA(k,
    LET(
      篩選, FILTER(原始, MAP(INDEX(原始,,1), INDEX(原始,,2), LAMBDA(賽道"&amp;", 路線, 賽道&amp;""|""&amp;路線)) = k),
      最小時間, MIN(INDEX(篩選,,5)),
      INDEX(篩選, MATCH(最小時間, INDEX(篩選,,5), 0), )
    )
  )),
  表頭, {""賽道名稱"",""路線"",""作者"",""玩家"",""時間"",""車輛"",""平台"",""系統""},
  VSTACK(表頭, 結果)
)
"),"賽道名稱")</f>
        <v>賽道名稱</v>
      </c>
      <c r="B2" s="5" t="str">
        <f>IFERROR(__xludf.DUMMYFUNCTION("""COMPUTED_VALUE"""),"路線")</f>
        <v>路線</v>
      </c>
      <c r="C2" s="5" t="str">
        <f>IFERROR(__xludf.DUMMYFUNCTION("""COMPUTED_VALUE"""),"作者")</f>
        <v>作者</v>
      </c>
      <c r="D2" s="5" t="str">
        <f>IFERROR(__xludf.DUMMYFUNCTION("""COMPUTED_VALUE"""),"玩家")</f>
        <v>玩家</v>
      </c>
      <c r="E2" s="5" t="str">
        <f>IFERROR(__xludf.DUMMYFUNCTION("""COMPUTED_VALUE"""),"時間")</f>
        <v>時間</v>
      </c>
      <c r="F2" s="5" t="str">
        <f>IFERROR(__xludf.DUMMYFUNCTION("""COMPUTED_VALUE"""),"車輛")</f>
        <v>車輛</v>
      </c>
      <c r="G2" s="5" t="str">
        <f>IFERROR(__xludf.DUMMYFUNCTION("""COMPUTED_VALUE"""),"平台")</f>
        <v>平台</v>
      </c>
      <c r="H2" s="5" t="str">
        <f>IFERROR(__xludf.DUMMYFUNCTION("""COMPUTED_VALUE"""),"系統")</f>
        <v>系統</v>
      </c>
      <c r="I2" s="5" t="str">
        <f>IFERROR(__xludf.DUMMYFUNCTION("LET(
  玩家, I1,
  原始, FILTER('歷史紀錄'!$B$2:$I1000, '歷史紀錄'!$E$2:$E1000 = 玩家),
  鍵, MAP(INDEX(原始,,1), INDEX(原始,,2), LAMBDA(賽道, 路線, 賽道&amp;""|""&amp;路線)),
  唯一鍵, UNIQUE(鍵),
  結果, MAP(唯一鍵, LAMBDA(k,
    LET(
      篩選, FILTER(原始, MAP(INDEX(原始,,1), INDEX(原始,,2), LAMBDA(賽道"&amp;", 路線, 賽道&amp;""|""&amp;路線)) = k),
      最小時間, MIN(INDEX(篩選,,5)),
      INDEX(篩選, MATCH(最小時間, INDEX(篩選,,5), 0), )
    )
  )),
  表頭, {""賽道名稱"",""路線"",""作者"",""玩家"",""時間"",""車輛"",""平台"",""系統""},
  VSTACK(表頭, 結果)
)
"),"賽道名稱")</f>
        <v>賽道名稱</v>
      </c>
      <c r="J2" s="5" t="str">
        <f>IFERROR(__xludf.DUMMYFUNCTION("""COMPUTED_VALUE"""),"路線")</f>
        <v>路線</v>
      </c>
      <c r="K2" s="5" t="str">
        <f>IFERROR(__xludf.DUMMYFUNCTION("""COMPUTED_VALUE"""),"作者")</f>
        <v>作者</v>
      </c>
      <c r="L2" s="5" t="str">
        <f>IFERROR(__xludf.DUMMYFUNCTION("""COMPUTED_VALUE"""),"玩家")</f>
        <v>玩家</v>
      </c>
      <c r="M2" s="5" t="str">
        <f>IFERROR(__xludf.DUMMYFUNCTION("""COMPUTED_VALUE"""),"時間")</f>
        <v>時間</v>
      </c>
      <c r="N2" s="5" t="str">
        <f>IFERROR(__xludf.DUMMYFUNCTION("""COMPUTED_VALUE"""),"車輛")</f>
        <v>車輛</v>
      </c>
      <c r="O2" s="5" t="str">
        <f>IFERROR(__xludf.DUMMYFUNCTION("""COMPUTED_VALUE"""),"平台")</f>
        <v>平台</v>
      </c>
      <c r="P2" s="5" t="str">
        <f>IFERROR(__xludf.DUMMYFUNCTION("""COMPUTED_VALUE"""),"系統")</f>
        <v>系統</v>
      </c>
      <c r="Q2" s="5" t="str">
        <f>IFERROR(__xludf.DUMMYFUNCTION("LET(
  玩家, Q1,
  原始, FILTER('歷史紀錄'!$B$2:$I1000, '歷史紀錄'!$E$2:$E1000 = 玩家),
  鍵, MAP(INDEX(原始,,1), INDEX(原始,,2), LAMBDA(賽道, 路線, 賽道&amp;""|""&amp;路線)),
  唯一鍵, UNIQUE(鍵),
  結果, MAP(唯一鍵, LAMBDA(k,
    LET(
      篩選, FILTER(原始, MAP(INDEX(原始,,1), INDEX(原始,,2), LAMBDA(賽道"&amp;", 路線, 賽道&amp;""|""&amp;路線)) = k),
      最小時間, MIN(INDEX(篩選,,5)),
      INDEX(篩選, MATCH(最小時間, INDEX(篩選,,5), 0), )
    )
  )),
  表頭, {""賽道名稱"",""路線"",""作者"",""玩家"",""時間"",""車輛"",""平台"",""系統""},
  VSTACK(表頭, 結果)
)
"),"賽道名稱")</f>
        <v>賽道名稱</v>
      </c>
      <c r="R2" s="5" t="str">
        <f>IFERROR(__xludf.DUMMYFUNCTION("""COMPUTED_VALUE"""),"路線")</f>
        <v>路線</v>
      </c>
      <c r="S2" s="5" t="str">
        <f>IFERROR(__xludf.DUMMYFUNCTION("""COMPUTED_VALUE"""),"作者")</f>
        <v>作者</v>
      </c>
      <c r="T2" s="5" t="str">
        <f>IFERROR(__xludf.DUMMYFUNCTION("""COMPUTED_VALUE"""),"玩家")</f>
        <v>玩家</v>
      </c>
      <c r="U2" s="5" t="str">
        <f>IFERROR(__xludf.DUMMYFUNCTION("""COMPUTED_VALUE"""),"時間")</f>
        <v>時間</v>
      </c>
      <c r="V2" s="5" t="str">
        <f>IFERROR(__xludf.DUMMYFUNCTION("""COMPUTED_VALUE"""),"車輛")</f>
        <v>車輛</v>
      </c>
      <c r="W2" s="5" t="str">
        <f>IFERROR(__xludf.DUMMYFUNCTION("""COMPUTED_VALUE"""),"平台")</f>
        <v>平台</v>
      </c>
      <c r="X2" s="5" t="str">
        <f>IFERROR(__xludf.DUMMYFUNCTION("""COMPUTED_VALUE"""),"系統")</f>
        <v>系統</v>
      </c>
      <c r="Y2" s="5" t="str">
        <f>IFERROR(__xludf.DUMMYFUNCTION("LET(
  玩家, Y1,
  原始, FILTER('歷史紀錄'!$B$2:$I1000, '歷史紀錄'!$E$2:$E1000 = 玩家),
  鍵, MAP(INDEX(原始,,1), INDEX(原始,,2), LAMBDA(賽道, 路線, 賽道&amp;""|""&amp;路線)),
  唯一鍵, UNIQUE(鍵),
  結果, MAP(唯一鍵, LAMBDA(k,
    LET(
      篩選, FILTER(原始, MAP(INDEX(原始,,1), INDEX(原始,,2), LAMBDA(賽道"&amp;", 路線, 賽道&amp;""|""&amp;路線)) = k),
      最小時間, MIN(INDEX(篩選,,5)),
      INDEX(篩選, MATCH(最小時間, INDEX(篩選,,5), 0), )
    )
  )),
  表頭, {""賽道名稱"",""路線"",""作者"",""玩家"",""時間"",""車輛"",""平台"",""系統""},
  VSTACK(表頭, 結果)
)
"),"賽道名稱")</f>
        <v>賽道名稱</v>
      </c>
      <c r="Z2" s="5" t="str">
        <f>IFERROR(__xludf.DUMMYFUNCTION("""COMPUTED_VALUE"""),"路線")</f>
        <v>路線</v>
      </c>
      <c r="AA2" s="5" t="str">
        <f>IFERROR(__xludf.DUMMYFUNCTION("""COMPUTED_VALUE"""),"作者")</f>
        <v>作者</v>
      </c>
      <c r="AB2" s="5" t="str">
        <f>IFERROR(__xludf.DUMMYFUNCTION("""COMPUTED_VALUE"""),"玩家")</f>
        <v>玩家</v>
      </c>
      <c r="AC2" s="5" t="str">
        <f>IFERROR(__xludf.DUMMYFUNCTION("""COMPUTED_VALUE"""),"時間")</f>
        <v>時間</v>
      </c>
      <c r="AD2" s="5" t="str">
        <f>IFERROR(__xludf.DUMMYFUNCTION("""COMPUTED_VALUE"""),"車輛")</f>
        <v>車輛</v>
      </c>
      <c r="AE2" s="5" t="str">
        <f>IFERROR(__xludf.DUMMYFUNCTION("""COMPUTED_VALUE"""),"平台")</f>
        <v>平台</v>
      </c>
      <c r="AF2" s="5" t="str">
        <f>IFERROR(__xludf.DUMMYFUNCTION("""COMPUTED_VALUE"""),"系統")</f>
        <v>系統</v>
      </c>
      <c r="AG2" s="5" t="str">
        <f>IFERROR(__xludf.DUMMYFUNCTION("LET(
  玩家, AG1,
  原始, FILTER('歷史紀錄'!$B$2:$I1000, '歷史紀錄'!$E$2:$E1000 = 玩家),
  鍵, MAP(INDEX(原始,,1), INDEX(原始,,2), LAMBDA(賽道, 路線, 賽道&amp;""|""&amp;路線)),
  唯一鍵, UNIQUE(鍵),
  結果, MAP(唯一鍵, LAMBDA(k,
    LET(
      篩選, FILTER(原始, MAP(INDEX(原始,,1), INDEX(原始,,2), LAMBDA(賽"&amp;"道, 路線, 賽道&amp;""|""&amp;路線)) = k),
      最小時間, MIN(INDEX(篩選,,5)),
      INDEX(篩選, MATCH(最小時間, INDEX(篩選,,5), 0), )
    )
  )),
  表頭, {""賽道名稱"",""路線"",""作者"",""玩家"",""時間"",""車輛"",""平台"",""系統""},
  VSTACK(表頭, 結果)
)
"),"賽道名稱")</f>
        <v>賽道名稱</v>
      </c>
      <c r="AH2" s="5" t="str">
        <f>IFERROR(__xludf.DUMMYFUNCTION("""COMPUTED_VALUE"""),"路線")</f>
        <v>路線</v>
      </c>
      <c r="AI2" s="5" t="str">
        <f>IFERROR(__xludf.DUMMYFUNCTION("""COMPUTED_VALUE"""),"作者")</f>
        <v>作者</v>
      </c>
      <c r="AJ2" s="5" t="str">
        <f>IFERROR(__xludf.DUMMYFUNCTION("""COMPUTED_VALUE"""),"玩家")</f>
        <v>玩家</v>
      </c>
      <c r="AK2" s="5" t="str">
        <f>IFERROR(__xludf.DUMMYFUNCTION("""COMPUTED_VALUE"""),"時間")</f>
        <v>時間</v>
      </c>
      <c r="AL2" s="5" t="str">
        <f>IFERROR(__xludf.DUMMYFUNCTION("""COMPUTED_VALUE"""),"車輛")</f>
        <v>車輛</v>
      </c>
      <c r="AM2" s="5" t="str">
        <f>IFERROR(__xludf.DUMMYFUNCTION("""COMPUTED_VALUE"""),"平台")</f>
        <v>平台</v>
      </c>
      <c r="AN2" s="5" t="str">
        <f>IFERROR(__xludf.DUMMYFUNCTION("""COMPUTED_VALUE"""),"系統")</f>
        <v>系統</v>
      </c>
      <c r="AO2" s="5"/>
      <c r="AP2" s="5"/>
      <c r="AQ2" s="5"/>
      <c r="AR2" s="5"/>
      <c r="AS2" s="5"/>
      <c r="AT2" s="5"/>
      <c r="AU2" s="5"/>
      <c r="AV2" s="5"/>
      <c r="AW2" s="5"/>
      <c r="AX2" s="5"/>
      <c r="AY2" s="5"/>
    </row>
    <row r="3">
      <c r="A3" s="5" t="str">
        <f>IFERROR(__xludf.DUMMYFUNCTION("""COMPUTED_VALUE"""),"Akagi")</f>
        <v>Akagi</v>
      </c>
      <c r="B3" s="5" t="str">
        <f>IFERROR(__xludf.DUMMYFUNCTION("""COMPUTED_VALUE"""),"DH")</f>
        <v>DH</v>
      </c>
      <c r="C3" s="5" t="str">
        <f>IFERROR(__xludf.DUMMYFUNCTION("""COMPUTED_VALUE"""),"Jintei")</f>
        <v>Jintei</v>
      </c>
      <c r="D3" s="5" t="str">
        <f>IFERROR(__xludf.DUMMYFUNCTION("""COMPUTED_VALUE"""),"StarRiver Arts")</f>
        <v>StarRiver Arts</v>
      </c>
      <c r="E3" s="5">
        <f>IFERROR(__xludf.DUMMYFUNCTION("""COMPUTED_VALUE"""),0.0023354513888888886)</f>
        <v>0.002335451389</v>
      </c>
      <c r="F3" s="5" t="str">
        <f>IFERROR(__xludf.DUMMYFUNCTION("""COMPUTED_VALUE"""),"AE86T-V2")</f>
        <v>AE86T-V2</v>
      </c>
      <c r="G3" s="5" t="str">
        <f>IFERROR(__xludf.DUMMYFUNCTION("""COMPUTED_VALUE"""),"PC")</f>
        <v>PC</v>
      </c>
      <c r="H3" s="5" t="str">
        <f>IFERROR(__xludf.DUMMYFUNCTION("""COMPUTED_VALUE"""),"Sacc")</f>
        <v>Sacc</v>
      </c>
      <c r="I3" s="5" t="str">
        <f>IFERROR(__xludf.DUMMYFUNCTION("""COMPUTED_VALUE"""),"Akina")</f>
        <v>Akina</v>
      </c>
      <c r="J3" s="5" t="str">
        <f>IFERROR(__xludf.DUMMYFUNCTION("""COMPUTED_VALUE"""),"DH")</f>
        <v>DH</v>
      </c>
      <c r="K3" s="5" t="str">
        <f>IFERROR(__xludf.DUMMYFUNCTION("""COMPUTED_VALUE"""),"Jintei ")</f>
        <v>Jintei </v>
      </c>
      <c r="L3" s="5" t="str">
        <f>IFERROR(__xludf.DUMMYFUNCTION("""COMPUTED_VALUE"""),"LinWu_05")</f>
        <v>LinWu_05</v>
      </c>
      <c r="M3" s="5">
        <f>IFERROR(__xludf.DUMMYFUNCTION("""COMPUTED_VALUE"""),0.0027110300925925926)</f>
        <v>0.002711030093</v>
      </c>
      <c r="N3" s="5" t="str">
        <f>IFERROR(__xludf.DUMMYFUNCTION("""COMPUTED_VALUE"""),"GC8-F (Impreza)")</f>
        <v>GC8-F (Impreza)</v>
      </c>
      <c r="O3" s="5" t="str">
        <f>IFERROR(__xludf.DUMMYFUNCTION("""COMPUTED_VALUE"""),"PC")</f>
        <v>PC</v>
      </c>
      <c r="P3" s="5" t="str">
        <f>IFERROR(__xludf.DUMMYFUNCTION("""COMPUTED_VALUE"""),"Sacc")</f>
        <v>Sacc</v>
      </c>
      <c r="Q3" s="5" t="str">
        <f>IFERROR(__xludf.DUMMYFUNCTION("""COMPUTED_VALUE"""),"Akagi")</f>
        <v>Akagi</v>
      </c>
      <c r="R3" s="5" t="str">
        <f>IFERROR(__xludf.DUMMYFUNCTION("""COMPUTED_VALUE"""),"DH")</f>
        <v>DH</v>
      </c>
      <c r="S3" s="5" t="str">
        <f>IFERROR(__xludf.DUMMYFUNCTION("""COMPUTED_VALUE"""),"Jintei")</f>
        <v>Jintei</v>
      </c>
      <c r="T3" s="5" t="str">
        <f>IFERROR(__xludf.DUMMYFUNCTION("""COMPUTED_VALUE"""),"ikuhopen")</f>
        <v>ikuhopen</v>
      </c>
      <c r="U3" s="5">
        <f>IFERROR(__xludf.DUMMYFUNCTION("""COMPUTED_VALUE"""),0.002258483796296296)</f>
        <v>0.002258483796</v>
      </c>
      <c r="V3" s="5" t="str">
        <f>IFERROR(__xludf.DUMMYFUNCTION("""COMPUTED_VALUE"""),"FD3S (RX7) V2")</f>
        <v>FD3S (RX7) V2</v>
      </c>
      <c r="W3" s="5" t="str">
        <f>IFERROR(__xludf.DUMMYFUNCTION("""COMPUTED_VALUE"""),"PCVR")</f>
        <v>PCVR</v>
      </c>
      <c r="X3" s="5" t="str">
        <f>IFERROR(__xludf.DUMMYFUNCTION("""COMPUTED_VALUE"""),"Sacc")</f>
        <v>Sacc</v>
      </c>
      <c r="Y3" s="5" t="str">
        <f>IFERROR(__xludf.DUMMYFUNCTION("""COMPUTED_VALUE"""),"Akina")</f>
        <v>Akina</v>
      </c>
      <c r="Z3" s="5" t="str">
        <f>IFERROR(__xludf.DUMMYFUNCTION("""COMPUTED_VALUE"""),"DH")</f>
        <v>DH</v>
      </c>
      <c r="AA3" s="5" t="str">
        <f>IFERROR(__xludf.DUMMYFUNCTION("""COMPUTED_VALUE"""),"Jintei")</f>
        <v>Jintei</v>
      </c>
      <c r="AB3" s="5" t="str">
        <f>IFERROR(__xludf.DUMMYFUNCTION("""COMPUTED_VALUE"""),"Kinokono_Tenka")</f>
        <v>Kinokono_Tenka</v>
      </c>
      <c r="AC3" s="5">
        <f>IFERROR(__xludf.DUMMYFUNCTION("""COMPUTED_VALUE"""),0.002562048611111111)</f>
        <v>0.002562048611</v>
      </c>
      <c r="AD3" s="5" t="str">
        <f>IFERROR(__xludf.DUMMYFUNCTION("""COMPUTED_VALUE"""),"EG6 (civic)")</f>
        <v>EG6 (civic)</v>
      </c>
      <c r="AE3" s="5" t="str">
        <f>IFERROR(__xludf.DUMMYFUNCTION("""COMPUTED_VALUE"""),"PCVR")</f>
        <v>PCVR</v>
      </c>
      <c r="AF3" s="5" t="str">
        <f>IFERROR(__xludf.DUMMYFUNCTION("""COMPUTED_VALUE"""),"Sacc")</f>
        <v>Sacc</v>
      </c>
      <c r="AG3" s="5" t="str">
        <f>IFERROR(__xludf.DUMMYFUNCTION("""COMPUTED_VALUE"""),"Akagi")</f>
        <v>Akagi</v>
      </c>
      <c r="AH3" s="5" t="str">
        <f>IFERROR(__xludf.DUMMYFUNCTION("""COMPUTED_VALUE"""),"DH")</f>
        <v>DH</v>
      </c>
      <c r="AI3" s="5" t="str">
        <f>IFERROR(__xludf.DUMMYFUNCTION("""COMPUTED_VALUE"""),"Jintei")</f>
        <v>Jintei</v>
      </c>
      <c r="AJ3" s="5" t="str">
        <f>IFERROR(__xludf.DUMMYFUNCTION("""COMPUTED_VALUE"""),"Lolidia")</f>
        <v>Lolidia</v>
      </c>
      <c r="AK3" s="5">
        <f>IFERROR(__xludf.DUMMYFUNCTION("""COMPUTED_VALUE"""),0.002051909722222222)</f>
        <v>0.002051909722</v>
      </c>
      <c r="AL3" s="5" t="str">
        <f>IFERROR(__xludf.DUMMYFUNCTION("""COMPUTED_VALUE"""),"FD3S (RX7) V2")</f>
        <v>FD3S (RX7) V2</v>
      </c>
      <c r="AM3" s="5" t="str">
        <f>IFERROR(__xludf.DUMMYFUNCTION("""COMPUTED_VALUE"""),"PCVR")</f>
        <v>PCVR</v>
      </c>
      <c r="AN3" s="5" t="str">
        <f>IFERROR(__xludf.DUMMYFUNCTION("""COMPUTED_VALUE"""),"Sacc")</f>
        <v>Sacc</v>
      </c>
      <c r="AO3" s="5"/>
      <c r="AP3" s="5"/>
      <c r="AQ3" s="5"/>
      <c r="AR3" s="5"/>
      <c r="AS3" s="5"/>
      <c r="AT3" s="5"/>
      <c r="AU3" s="5"/>
      <c r="AV3" s="5"/>
      <c r="AW3" s="5"/>
      <c r="AX3" s="5"/>
      <c r="AY3" s="5"/>
    </row>
    <row r="4">
      <c r="A4" s="5" t="str">
        <f>IFERROR(__xludf.DUMMYFUNCTION("""COMPUTED_VALUE"""),"Akina")</f>
        <v>Akina</v>
      </c>
      <c r="B4" s="5" t="str">
        <f>IFERROR(__xludf.DUMMYFUNCTION("""COMPUTED_VALUE"""),"DH")</f>
        <v>DH</v>
      </c>
      <c r="C4" s="5" t="str">
        <f>IFERROR(__xludf.DUMMYFUNCTION("""COMPUTED_VALUE"""),"Jintei")</f>
        <v>Jintei</v>
      </c>
      <c r="D4" s="5" t="str">
        <f>IFERROR(__xludf.DUMMYFUNCTION("""COMPUTED_VALUE"""),"StarRiver Arts")</f>
        <v>StarRiver Arts</v>
      </c>
      <c r="E4" s="5">
        <f>IFERROR(__xludf.DUMMYFUNCTION("""COMPUTED_VALUE"""),0.0025968402777777778)</f>
        <v>0.002596840278</v>
      </c>
      <c r="F4" s="5" t="str">
        <f>IFERROR(__xludf.DUMMYFUNCTION("""COMPUTED_VALUE"""),"EVOIV/CN9A")</f>
        <v>EVOIV/CN9A</v>
      </c>
      <c r="G4" s="5" t="str">
        <f>IFERROR(__xludf.DUMMYFUNCTION("""COMPUTED_VALUE"""),"PC")</f>
        <v>PC</v>
      </c>
      <c r="H4" s="5" t="str">
        <f>IFERROR(__xludf.DUMMYFUNCTION("""COMPUTED_VALUE"""),"Sacc")</f>
        <v>Sacc</v>
      </c>
      <c r="I4" s="5" t="str">
        <f>IFERROR(__xludf.DUMMYFUNCTION("""COMPUTED_VALUE"""),"Fukuoka")</f>
        <v>Fukuoka</v>
      </c>
      <c r="J4" s="5"/>
      <c r="K4" s="5" t="str">
        <f>IFERROR(__xludf.DUMMYFUNCTION("""COMPUTED_VALUE"""),"Jintei")</f>
        <v>Jintei</v>
      </c>
      <c r="L4" s="5" t="str">
        <f>IFERROR(__xludf.DUMMYFUNCTION("""COMPUTED_VALUE"""),"LinWu_05")</f>
        <v>LinWu_05</v>
      </c>
      <c r="M4" s="5">
        <f>IFERROR(__xludf.DUMMYFUNCTION("""COMPUTED_VALUE"""),0.0027285879629629626)</f>
        <v>0.002728587963</v>
      </c>
      <c r="N4" s="5" t="str">
        <f>IFERROR(__xludf.DUMMYFUNCTION("""COMPUTED_VALUE"""),"R35")</f>
        <v>R35</v>
      </c>
      <c r="O4" s="5" t="str">
        <f>IFERROR(__xludf.DUMMYFUNCTION("""COMPUTED_VALUE"""),"PC")</f>
        <v>PC</v>
      </c>
      <c r="P4" s="5" t="str">
        <f>IFERROR(__xludf.DUMMYFUNCTION("""COMPUTED_VALUE"""),"Sacc")</f>
        <v>Sacc</v>
      </c>
      <c r="Q4" s="5" t="str">
        <f>IFERROR(__xludf.DUMMYFUNCTION("""COMPUTED_VALUE"""),"Akina")</f>
        <v>Akina</v>
      </c>
      <c r="R4" s="5" t="str">
        <f>IFERROR(__xludf.DUMMYFUNCTION("""COMPUTED_VALUE"""),"DH")</f>
        <v>DH</v>
      </c>
      <c r="S4" s="5" t="str">
        <f>IFERROR(__xludf.DUMMYFUNCTION("""COMPUTED_VALUE"""),"Jintei")</f>
        <v>Jintei</v>
      </c>
      <c r="T4" s="5" t="str">
        <f>IFERROR(__xludf.DUMMYFUNCTION("""COMPUTED_VALUE"""),"ikuhopen")</f>
        <v>ikuhopen</v>
      </c>
      <c r="U4" s="5">
        <f>IFERROR(__xludf.DUMMYFUNCTION("""COMPUTED_VALUE"""),0.002443599537037037)</f>
        <v>0.002443599537</v>
      </c>
      <c r="V4" s="5" t="str">
        <f>IFERROR(__xludf.DUMMYFUNCTION("""COMPUTED_VALUE"""),"GR86/ZN8")</f>
        <v>GR86/ZN8</v>
      </c>
      <c r="W4" s="5" t="str">
        <f>IFERROR(__xludf.DUMMYFUNCTION("""COMPUTED_VALUE"""),"PCVR")</f>
        <v>PCVR</v>
      </c>
      <c r="X4" s="5" t="str">
        <f>IFERROR(__xludf.DUMMYFUNCTION("""COMPUTED_VALUE"""),"Sacc")</f>
        <v>Sacc</v>
      </c>
      <c r="Y4" s="5" t="str">
        <f>IFERROR(__xludf.DUMMYFUNCTION("""COMPUTED_VALUE"""),"Irohazaka")</f>
        <v>Irohazaka</v>
      </c>
      <c r="Z4" s="5" t="str">
        <f>IFERROR(__xludf.DUMMYFUNCTION("""COMPUTED_VALUE"""),"DH")</f>
        <v>DH</v>
      </c>
      <c r="AA4" s="5" t="str">
        <f>IFERROR(__xludf.DUMMYFUNCTION("""COMPUTED_VALUE"""),"Jintei")</f>
        <v>Jintei</v>
      </c>
      <c r="AB4" s="5" t="str">
        <f>IFERROR(__xludf.DUMMYFUNCTION("""COMPUTED_VALUE"""),"Kinokono_Tenka")</f>
        <v>Kinokono_Tenka</v>
      </c>
      <c r="AC4" s="5">
        <f>IFERROR(__xludf.DUMMYFUNCTION("""COMPUTED_VALUE"""),0.0027162037037037037)</f>
        <v>0.002716203704</v>
      </c>
      <c r="AD4" s="5" t="str">
        <f>IFERROR(__xludf.DUMMYFUNCTION("""COMPUTED_VALUE"""),"GC8-F (Impreza)")</f>
        <v>GC8-F (Impreza)</v>
      </c>
      <c r="AE4" s="5" t="str">
        <f>IFERROR(__xludf.DUMMYFUNCTION("""COMPUTED_VALUE"""),"PCVR")</f>
        <v>PCVR</v>
      </c>
      <c r="AF4" s="5" t="str">
        <f>IFERROR(__xludf.DUMMYFUNCTION("""COMPUTED_VALUE"""),"Sacc")</f>
        <v>Sacc</v>
      </c>
      <c r="AG4" s="5" t="str">
        <f>IFERROR(__xludf.DUMMYFUNCTION("""COMPUTED_VALUE"""),"Akina")</f>
        <v>Akina</v>
      </c>
      <c r="AH4" s="5" t="str">
        <f>IFERROR(__xludf.DUMMYFUNCTION("""COMPUTED_VALUE"""),"DH")</f>
        <v>DH</v>
      </c>
      <c r="AI4" s="5" t="str">
        <f>IFERROR(__xludf.DUMMYFUNCTION("""COMPUTED_VALUE"""),"Jintei ")</f>
        <v>Jintei </v>
      </c>
      <c r="AJ4" s="5" t="str">
        <f>IFERROR(__xludf.DUMMYFUNCTION("""COMPUTED_VALUE"""),"Lolidia")</f>
        <v>Lolidia</v>
      </c>
      <c r="AK4" s="5">
        <f>IFERROR(__xludf.DUMMYFUNCTION("""COMPUTED_VALUE"""),0.0023936574074074073)</f>
        <v>0.002393657407</v>
      </c>
      <c r="AL4" s="5" t="str">
        <f>IFERROR(__xludf.DUMMYFUNCTION("""COMPUTED_VALUE"""),"AE86T-V2")</f>
        <v>AE86T-V2</v>
      </c>
      <c r="AM4" s="5" t="str">
        <f>IFERROR(__xludf.DUMMYFUNCTION("""COMPUTED_VALUE"""),"PCVR")</f>
        <v>PCVR</v>
      </c>
      <c r="AN4" s="5" t="str">
        <f>IFERROR(__xludf.DUMMYFUNCTION("""COMPUTED_VALUE"""),"Sacc")</f>
        <v>Sacc</v>
      </c>
      <c r="AO4" s="5"/>
      <c r="AP4" s="5"/>
      <c r="AQ4" s="5"/>
      <c r="AR4" s="5"/>
      <c r="AS4" s="5"/>
      <c r="AT4" s="5"/>
      <c r="AU4" s="5"/>
      <c r="AV4" s="5"/>
      <c r="AW4" s="5"/>
      <c r="AX4" s="5"/>
      <c r="AY4" s="5"/>
    </row>
    <row r="5">
      <c r="A5" s="5" t="str">
        <f>IFERROR(__xludf.DUMMYFUNCTION("""COMPUTED_VALUE"""),"Akina")</f>
        <v>Akina</v>
      </c>
      <c r="B5" s="5" t="str">
        <f>IFERROR(__xludf.DUMMYFUNCTION("""COMPUTED_VALUE"""),"UH")</f>
        <v>UH</v>
      </c>
      <c r="C5" s="5" t="str">
        <f>IFERROR(__xludf.DUMMYFUNCTION("""COMPUTED_VALUE"""),"Jintei")</f>
        <v>Jintei</v>
      </c>
      <c r="D5" s="5" t="str">
        <f>IFERROR(__xludf.DUMMYFUNCTION("""COMPUTED_VALUE"""),"StarRiver Arts")</f>
        <v>StarRiver Arts</v>
      </c>
      <c r="E5" s="5">
        <f>IFERROR(__xludf.DUMMYFUNCTION("""COMPUTED_VALUE"""),0.0029733796296296296)</f>
        <v>0.00297337963</v>
      </c>
      <c r="F5" s="5" t="str">
        <f>IFERROR(__xludf.DUMMYFUNCTION("""COMPUTED_VALUE"""),"EVOIV/CN9A")</f>
        <v>EVOIV/CN9A</v>
      </c>
      <c r="G5" s="5" t="str">
        <f>IFERROR(__xludf.DUMMYFUNCTION("""COMPUTED_VALUE"""),"PC")</f>
        <v>PC</v>
      </c>
      <c r="H5" s="5" t="str">
        <f>IFERROR(__xludf.DUMMYFUNCTION("""COMPUTED_VALUE"""),"Sacc")</f>
        <v>Sacc</v>
      </c>
      <c r="I5" s="5" t="str">
        <f>IFERROR(__xludf.DUMMYFUNCTION("""COMPUTED_VALUE"""),"Gunsai")</f>
        <v>Gunsai</v>
      </c>
      <c r="J5" s="5" t="str">
        <f>IFERROR(__xludf.DUMMYFUNCTION("""COMPUTED_VALUE"""),"C-A")</f>
        <v>C-A</v>
      </c>
      <c r="K5" s="5" t="str">
        <f>IFERROR(__xludf.DUMMYFUNCTION("""COMPUTED_VALUE"""),"Jintei")</f>
        <v>Jintei</v>
      </c>
      <c r="L5" s="5" t="str">
        <f>IFERROR(__xludf.DUMMYFUNCTION("""COMPUTED_VALUE"""),"LinWu_05")</f>
        <v>LinWu_05</v>
      </c>
      <c r="M5" s="5">
        <f>IFERROR(__xludf.DUMMYFUNCTION("""COMPUTED_VALUE"""),0.0013942708333333333)</f>
        <v>0.001394270833</v>
      </c>
      <c r="N5" s="5" t="str">
        <f>IFERROR(__xludf.DUMMYFUNCTION("""COMPUTED_VALUE"""),"MCR R34")</f>
        <v>MCR R34</v>
      </c>
      <c r="O5" s="5" t="str">
        <f>IFERROR(__xludf.DUMMYFUNCTION("""COMPUTED_VALUE"""),"PC")</f>
        <v>PC</v>
      </c>
      <c r="P5" s="5" t="str">
        <f>IFERROR(__xludf.DUMMYFUNCTION("""COMPUTED_VALUE"""),"Sacc")</f>
        <v>Sacc</v>
      </c>
      <c r="Q5" s="5" t="str">
        <f>IFERROR(__xludf.DUMMYFUNCTION("""COMPUTED_VALUE"""),"Akina Snow")</f>
        <v>Akina Snow</v>
      </c>
      <c r="R5" s="5" t="str">
        <f>IFERROR(__xludf.DUMMYFUNCTION("""COMPUTED_VALUE"""),"DH")</f>
        <v>DH</v>
      </c>
      <c r="S5" s="5" t="str">
        <f>IFERROR(__xludf.DUMMYFUNCTION("""COMPUTED_VALUE"""),"Jintei")</f>
        <v>Jintei</v>
      </c>
      <c r="T5" s="5" t="str">
        <f>IFERROR(__xludf.DUMMYFUNCTION("""COMPUTED_VALUE"""),"ikuhopen")</f>
        <v>ikuhopen</v>
      </c>
      <c r="U5" s="5">
        <f>IFERROR(__xludf.DUMMYFUNCTION("""COMPUTED_VALUE"""),0.0028941319444444444)</f>
        <v>0.002894131944</v>
      </c>
      <c r="V5" s="5" t="str">
        <f>IFERROR(__xludf.DUMMYFUNCTION("""COMPUTED_VALUE"""),"ST205 (Celica)")</f>
        <v>ST205 (Celica)</v>
      </c>
      <c r="W5" s="5" t="str">
        <f>IFERROR(__xludf.DUMMYFUNCTION("""COMPUTED_VALUE"""),"PCVR")</f>
        <v>PCVR</v>
      </c>
      <c r="X5" s="5" t="str">
        <f>IFERROR(__xludf.DUMMYFUNCTION("""COMPUTED_VALUE"""),"Sacc")</f>
        <v>Sacc</v>
      </c>
      <c r="Y5" s="5" t="str">
        <f>IFERROR(__xludf.DUMMYFUNCTION("""COMPUTED_VALUE"""),"Myogi (ASV)")</f>
        <v>Myogi (ASV)</v>
      </c>
      <c r="Z5" s="5" t="str">
        <f>IFERROR(__xludf.DUMMYFUNCTION("""COMPUTED_VALUE"""),"DH")</f>
        <v>DH</v>
      </c>
      <c r="AA5" s="5" t="str">
        <f>IFERROR(__xludf.DUMMYFUNCTION("""COMPUTED_VALUE"""),"Jintei")</f>
        <v>Jintei</v>
      </c>
      <c r="AB5" s="5" t="str">
        <f>IFERROR(__xludf.DUMMYFUNCTION("""COMPUTED_VALUE"""),"Kinokono_Tenka")</f>
        <v>Kinokono_Tenka</v>
      </c>
      <c r="AC5" s="5">
        <f>IFERROR(__xludf.DUMMYFUNCTION("""COMPUTED_VALUE"""),0.0022519675925925923)</f>
        <v>0.002251967593</v>
      </c>
      <c r="AD5" s="5" t="str">
        <f>IFERROR(__xludf.DUMMYFUNCTION("""COMPUTED_VALUE"""),"EG6 (civic)")</f>
        <v>EG6 (civic)</v>
      </c>
      <c r="AE5" s="5" t="str">
        <f>IFERROR(__xludf.DUMMYFUNCTION("""COMPUTED_VALUE"""),"PCVR")</f>
        <v>PCVR</v>
      </c>
      <c r="AF5" s="5" t="str">
        <f>IFERROR(__xludf.DUMMYFUNCTION("""COMPUTED_VALUE"""),"Sacc")</f>
        <v>Sacc</v>
      </c>
      <c r="AG5" s="5" t="str">
        <f>IFERROR(__xludf.DUMMYFUNCTION("""COMPUTED_VALUE"""),"Akina Snow")</f>
        <v>Akina Snow</v>
      </c>
      <c r="AH5" s="5" t="str">
        <f>IFERROR(__xludf.DUMMYFUNCTION("""COMPUTED_VALUE"""),"DH")</f>
        <v>DH</v>
      </c>
      <c r="AI5" s="5" t="str">
        <f>IFERROR(__xludf.DUMMYFUNCTION("""COMPUTED_VALUE"""),"Jintei")</f>
        <v>Jintei</v>
      </c>
      <c r="AJ5" s="5" t="str">
        <f>IFERROR(__xludf.DUMMYFUNCTION("""COMPUTED_VALUE"""),"Lolidia")</f>
        <v>Lolidia</v>
      </c>
      <c r="AK5" s="5">
        <f>IFERROR(__xludf.DUMMYFUNCTION("""COMPUTED_VALUE"""),0.0026738657407407405)</f>
        <v>0.002673865741</v>
      </c>
      <c r="AL5" s="5" t="str">
        <f>IFERROR(__xludf.DUMMYFUNCTION("""COMPUTED_VALUE"""),"AE86T")</f>
        <v>AE86T</v>
      </c>
      <c r="AM5" s="5" t="str">
        <f>IFERROR(__xludf.DUMMYFUNCTION("""COMPUTED_VALUE"""),"PCVR")</f>
        <v>PCVR</v>
      </c>
      <c r="AN5" s="5" t="str">
        <f>IFERROR(__xludf.DUMMYFUNCTION("""COMPUTED_VALUE"""),"Sacc")</f>
        <v>Sacc</v>
      </c>
      <c r="AO5" s="5"/>
      <c r="AP5" s="5"/>
      <c r="AQ5" s="5"/>
      <c r="AR5" s="5"/>
      <c r="AS5" s="5"/>
      <c r="AT5" s="5"/>
      <c r="AU5" s="5"/>
      <c r="AV5" s="5"/>
      <c r="AW5" s="5"/>
      <c r="AX5" s="5"/>
      <c r="AY5" s="5"/>
    </row>
    <row r="6">
      <c r="A6" s="5" t="str">
        <f>IFERROR(__xludf.DUMMYFUNCTION("""COMPUTED_VALUE"""),"Akina Snow")</f>
        <v>Akina Snow</v>
      </c>
      <c r="B6" s="5" t="str">
        <f>IFERROR(__xludf.DUMMYFUNCTION("""COMPUTED_VALUE"""),"DH")</f>
        <v>DH</v>
      </c>
      <c r="C6" s="5" t="str">
        <f>IFERROR(__xludf.DUMMYFUNCTION("""COMPUTED_VALUE"""),"Jintei")</f>
        <v>Jintei</v>
      </c>
      <c r="D6" s="5" t="str">
        <f>IFERROR(__xludf.DUMMYFUNCTION("""COMPUTED_VALUE"""),"StarRiver Arts")</f>
        <v>StarRiver Arts</v>
      </c>
      <c r="E6" s="5">
        <f>IFERROR(__xludf.DUMMYFUNCTION("""COMPUTED_VALUE"""),0.0028599537037037035)</f>
        <v>0.002859953704</v>
      </c>
      <c r="F6" s="5" t="str">
        <f>IFERROR(__xludf.DUMMYFUNCTION("""COMPUTED_VALUE"""),"GC8-F (Impreza)")</f>
        <v>GC8-F (Impreza)</v>
      </c>
      <c r="G6" s="5" t="str">
        <f>IFERROR(__xludf.DUMMYFUNCTION("""COMPUTED_VALUE"""),"PC")</f>
        <v>PC</v>
      </c>
      <c r="H6" s="5" t="str">
        <f>IFERROR(__xludf.DUMMYFUNCTION("""COMPUTED_VALUE"""),"Sacc")</f>
        <v>Sacc</v>
      </c>
      <c r="I6" s="5" t="str">
        <f>IFERROR(__xludf.DUMMYFUNCTION("""COMPUTED_VALUE"""),"Gunsai")</f>
        <v>Gunsai</v>
      </c>
      <c r="J6" s="5" t="str">
        <f>IFERROR(__xludf.DUMMYFUNCTION("""COMPUTED_VALUE"""),"FC")</f>
        <v>FC</v>
      </c>
      <c r="K6" s="5" t="str">
        <f>IFERROR(__xludf.DUMMYFUNCTION("""COMPUTED_VALUE"""),"Jintei")</f>
        <v>Jintei</v>
      </c>
      <c r="L6" s="5" t="str">
        <f>IFERROR(__xludf.DUMMYFUNCTION("""COMPUTED_VALUE"""),"LinWu_05")</f>
        <v>LinWu_05</v>
      </c>
      <c r="M6" s="5">
        <f>IFERROR(__xludf.DUMMYFUNCTION("""COMPUTED_VALUE"""),0.002279583333333333)</f>
        <v>0.002279583333</v>
      </c>
      <c r="N6" s="5" t="str">
        <f>IFERROR(__xludf.DUMMYFUNCTION("""COMPUTED_VALUE"""),"MCR R34")</f>
        <v>MCR R34</v>
      </c>
      <c r="O6" s="5" t="str">
        <f>IFERROR(__xludf.DUMMYFUNCTION("""COMPUTED_VALUE"""),"PC")</f>
        <v>PC</v>
      </c>
      <c r="P6" s="5" t="str">
        <f>IFERROR(__xludf.DUMMYFUNCTION("""COMPUTED_VALUE"""),"Sacc")</f>
        <v>Sacc</v>
      </c>
      <c r="Q6" s="5" t="str">
        <f>IFERROR(__xludf.DUMMYFUNCTION("""COMPUTED_VALUE"""),"AkinaUN")</f>
        <v>AkinaUN</v>
      </c>
      <c r="R6" s="5" t="str">
        <f>IFERROR(__xludf.DUMMYFUNCTION("""COMPUTED_VALUE"""),"DH")</f>
        <v>DH</v>
      </c>
      <c r="S6" s="5" t="str">
        <f>IFERROR(__xludf.DUMMYFUNCTION("""COMPUTED_VALUE"""),"Jintei")</f>
        <v>Jintei</v>
      </c>
      <c r="T6" s="5" t="str">
        <f>IFERROR(__xludf.DUMMYFUNCTION("""COMPUTED_VALUE"""),"ikuhopen")</f>
        <v>ikuhopen</v>
      </c>
      <c r="U6" s="5">
        <f>IFERROR(__xludf.DUMMYFUNCTION("""COMPUTED_VALUE"""),0.0025631944444444448)</f>
        <v>0.002563194444</v>
      </c>
      <c r="V6" s="5" t="str">
        <f>IFERROR(__xludf.DUMMYFUNCTION("""COMPUTED_VALUE"""),"GT86/ZN6")</f>
        <v>GT86/ZN6</v>
      </c>
      <c r="W6" s="5" t="str">
        <f>IFERROR(__xludf.DUMMYFUNCTION("""COMPUTED_VALUE"""),"PCVR")</f>
        <v>PCVR</v>
      </c>
      <c r="X6" s="5" t="str">
        <f>IFERROR(__xludf.DUMMYFUNCTION("""COMPUTED_VALUE"""),"Sacc")</f>
        <v>Sacc</v>
      </c>
      <c r="Y6" s="5" t="str">
        <f>IFERROR(__xludf.DUMMYFUNCTION("""COMPUTED_VALUE"""),"Tsukuba")</f>
        <v>Tsukuba</v>
      </c>
      <c r="Z6" s="5" t="str">
        <f>IFERROR(__xludf.DUMMYFUNCTION("""COMPUTED_VALUE"""),"Double")</f>
        <v>Double</v>
      </c>
      <c r="AA6" s="5" t="str">
        <f>IFERROR(__xludf.DUMMYFUNCTION("""COMPUTED_VALUE"""),"Jintei")</f>
        <v>Jintei</v>
      </c>
      <c r="AB6" s="5" t="str">
        <f>IFERROR(__xludf.DUMMYFUNCTION("""COMPUTED_VALUE"""),"Kinokono_Tenka")</f>
        <v>Kinokono_Tenka</v>
      </c>
      <c r="AC6" s="5">
        <f>IFERROR(__xludf.DUMMYFUNCTION("""COMPUTED_VALUE"""),0.002527164351851852)</f>
        <v>0.002527164352</v>
      </c>
      <c r="AD6" s="5" t="str">
        <f>IFERROR(__xludf.DUMMYFUNCTION("""COMPUTED_VALUE"""),"EK9 (Civic Type-R)")</f>
        <v>EK9 (Civic Type-R)</v>
      </c>
      <c r="AE6" s="5" t="str">
        <f>IFERROR(__xludf.DUMMYFUNCTION("""COMPUTED_VALUE"""),"PCVR")</f>
        <v>PCVR</v>
      </c>
      <c r="AF6" s="5" t="str">
        <f>IFERROR(__xludf.DUMMYFUNCTION("""COMPUTED_VALUE"""),"Sacc")</f>
        <v>Sacc</v>
      </c>
      <c r="AG6" s="5" t="str">
        <f>IFERROR(__xludf.DUMMYFUNCTION("""COMPUTED_VALUE"""),"AkinaUN")</f>
        <v>AkinaUN</v>
      </c>
      <c r="AH6" s="5" t="str">
        <f>IFERROR(__xludf.DUMMYFUNCTION("""COMPUTED_VALUE"""),"DH")</f>
        <v>DH</v>
      </c>
      <c r="AI6" s="5" t="str">
        <f>IFERROR(__xludf.DUMMYFUNCTION("""COMPUTED_VALUE"""),"Jintei")</f>
        <v>Jintei</v>
      </c>
      <c r="AJ6" s="5" t="str">
        <f>IFERROR(__xludf.DUMMYFUNCTION("""COMPUTED_VALUE"""),"Lolidia")</f>
        <v>Lolidia</v>
      </c>
      <c r="AK6" s="5">
        <f>IFERROR(__xludf.DUMMYFUNCTION("""COMPUTED_VALUE"""),0.0025432175925925926)</f>
        <v>0.002543217593</v>
      </c>
      <c r="AL6" s="5" t="str">
        <f>IFERROR(__xludf.DUMMYFUNCTION("""COMPUTED_VALUE"""),"AE86T")</f>
        <v>AE86T</v>
      </c>
      <c r="AM6" s="5" t="str">
        <f>IFERROR(__xludf.DUMMYFUNCTION("""COMPUTED_VALUE"""),"PCVR")</f>
        <v>PCVR</v>
      </c>
      <c r="AN6" s="5" t="str">
        <f>IFERROR(__xludf.DUMMYFUNCTION("""COMPUTED_VALUE"""),"Sacc")</f>
        <v>Sacc</v>
      </c>
      <c r="AO6" s="5"/>
      <c r="AP6" s="5"/>
      <c r="AQ6" s="5"/>
      <c r="AR6" s="5"/>
      <c r="AS6" s="5"/>
      <c r="AT6" s="5"/>
      <c r="AU6" s="5"/>
      <c r="AV6" s="5"/>
      <c r="AW6" s="5"/>
      <c r="AX6" s="5"/>
      <c r="AY6" s="5"/>
    </row>
    <row r="7">
      <c r="A7" s="5" t="str">
        <f>IFERROR(__xludf.DUMMYFUNCTION("""COMPUTED_VALUE"""),"AkinaUN")</f>
        <v>AkinaUN</v>
      </c>
      <c r="B7" s="5" t="str">
        <f>IFERROR(__xludf.DUMMYFUNCTION("""COMPUTED_VALUE"""),"DH")</f>
        <v>DH</v>
      </c>
      <c r="C7" s="5" t="str">
        <f>IFERROR(__xludf.DUMMYFUNCTION("""COMPUTED_VALUE"""),"Jintei")</f>
        <v>Jintei</v>
      </c>
      <c r="D7" s="5" t="str">
        <f>IFERROR(__xludf.DUMMYFUNCTION("""COMPUTED_VALUE"""),"StarRiver Arts")</f>
        <v>StarRiver Arts</v>
      </c>
      <c r="E7" s="5">
        <f>IFERROR(__xludf.DUMMYFUNCTION("""COMPUTED_VALUE"""),0.0029052893518518516)</f>
        <v>0.002905289352</v>
      </c>
      <c r="F7" s="5" t="str">
        <f>IFERROR(__xludf.DUMMYFUNCTION("""COMPUTED_VALUE"""),"Comfort")</f>
        <v>Comfort</v>
      </c>
      <c r="G7" s="5" t="str">
        <f>IFERROR(__xludf.DUMMYFUNCTION("""COMPUTED_VALUE"""),"PC")</f>
        <v>PC</v>
      </c>
      <c r="H7" s="5" t="str">
        <f>IFERROR(__xludf.DUMMYFUNCTION("""COMPUTED_VALUE"""),"Sacc")</f>
        <v>Sacc</v>
      </c>
      <c r="I7" s="5" t="str">
        <f>IFERROR(__xludf.DUMMYFUNCTION("""COMPUTED_VALUE"""),"GunsaiCP")</f>
        <v>GunsaiCP</v>
      </c>
      <c r="J7" s="5" t="str">
        <f>IFERROR(__xludf.DUMMYFUNCTION("""COMPUTED_VALUE"""),"C-A")</f>
        <v>C-A</v>
      </c>
      <c r="K7" s="5" t="str">
        <f>IFERROR(__xludf.DUMMYFUNCTION("""COMPUTED_VALUE"""),"Jintei")</f>
        <v>Jintei</v>
      </c>
      <c r="L7" s="5" t="str">
        <f>IFERROR(__xludf.DUMMYFUNCTION("""COMPUTED_VALUE"""),"LinWu_05")</f>
        <v>LinWu_05</v>
      </c>
      <c r="M7" s="5">
        <f>IFERROR(__xludf.DUMMYFUNCTION("""COMPUTED_VALUE"""),5.876851851851852E-4)</f>
        <v>0.0005876851852</v>
      </c>
      <c r="N7" s="5" t="str">
        <f>IFERROR(__xludf.DUMMYFUNCTION("""COMPUTED_VALUE"""),"MCR R34")</f>
        <v>MCR R34</v>
      </c>
      <c r="O7" s="5" t="str">
        <f>IFERROR(__xludf.DUMMYFUNCTION("""COMPUTED_VALUE"""),"PC")</f>
        <v>PC</v>
      </c>
      <c r="P7" s="5" t="str">
        <f>IFERROR(__xludf.DUMMYFUNCTION("""COMPUTED_VALUE"""),"Sacc")</f>
        <v>Sacc</v>
      </c>
      <c r="Q7" s="5" t="str">
        <f>IFERROR(__xludf.DUMMYFUNCTION("""COMPUTED_VALUE"""),"Myogi (ASV)")</f>
        <v>Myogi (ASV)</v>
      </c>
      <c r="R7" s="5" t="str">
        <f>IFERROR(__xludf.DUMMYFUNCTION("""COMPUTED_VALUE"""),"DH")</f>
        <v>DH</v>
      </c>
      <c r="S7" s="5" t="str">
        <f>IFERROR(__xludf.DUMMYFUNCTION("""COMPUTED_VALUE"""),"Jintei")</f>
        <v>Jintei</v>
      </c>
      <c r="T7" s="5" t="str">
        <f>IFERROR(__xludf.DUMMYFUNCTION("""COMPUTED_VALUE"""),"ikuhopen")</f>
        <v>ikuhopen</v>
      </c>
      <c r="U7" s="5">
        <f>IFERROR(__xludf.DUMMYFUNCTION("""COMPUTED_VALUE"""),0.0022929050925925925)</f>
        <v>0.002292905093</v>
      </c>
      <c r="V7" s="5" t="str">
        <f>IFERROR(__xludf.DUMMYFUNCTION("""COMPUTED_VALUE"""),"S14Q")</f>
        <v>S14Q</v>
      </c>
      <c r="W7" s="5" t="str">
        <f>IFERROR(__xludf.DUMMYFUNCTION("""COMPUTED_VALUE"""),"PC")</f>
        <v>PC</v>
      </c>
      <c r="X7" s="5" t="str">
        <f>IFERROR(__xludf.DUMMYFUNCTION("""COMPUTED_VALUE"""),"Sacc")</f>
        <v>Sacc</v>
      </c>
      <c r="Y7" s="5" t="str">
        <f>IFERROR(__xludf.DUMMYFUNCTION("""COMPUTED_VALUE"""),"Odawara")</f>
        <v>Odawara</v>
      </c>
      <c r="Z7" s="5" t="str">
        <f>IFERROR(__xludf.DUMMYFUNCTION("""COMPUTED_VALUE"""),"CW")</f>
        <v>CW</v>
      </c>
      <c r="AA7" s="5" t="str">
        <f>IFERROR(__xludf.DUMMYFUNCTION("""COMPUTED_VALUE"""),"Jintei")</f>
        <v>Jintei</v>
      </c>
      <c r="AB7" s="5" t="str">
        <f>IFERROR(__xludf.DUMMYFUNCTION("""COMPUTED_VALUE"""),"Kinokono_Tenka")</f>
        <v>Kinokono_Tenka</v>
      </c>
      <c r="AC7" s="5">
        <f>IFERROR(__xludf.DUMMYFUNCTION("""COMPUTED_VALUE"""),0.0029235763888888888)</f>
        <v>0.002923576389</v>
      </c>
      <c r="AD7" s="5" t="str">
        <f>IFERROR(__xludf.DUMMYFUNCTION("""COMPUTED_VALUE"""),"R35N3")</f>
        <v>R35N3</v>
      </c>
      <c r="AE7" s="5" t="str">
        <f>IFERROR(__xludf.DUMMYFUNCTION("""COMPUTED_VALUE"""),"PCVR")</f>
        <v>PCVR</v>
      </c>
      <c r="AF7" s="5" t="str">
        <f>IFERROR(__xludf.DUMMYFUNCTION("""COMPUTED_VALUE"""),"Sacc")</f>
        <v>Sacc</v>
      </c>
      <c r="AG7" s="5" t="str">
        <f>IFERROR(__xludf.DUMMYFUNCTION("""COMPUTED_VALUE"""),"Momiji")</f>
        <v>Momiji</v>
      </c>
      <c r="AH7" s="5" t="str">
        <f>IFERROR(__xludf.DUMMYFUNCTION("""COMPUTED_VALUE"""),"DH")</f>
        <v>DH</v>
      </c>
      <c r="AI7" s="5" t="str">
        <f>IFERROR(__xludf.DUMMYFUNCTION("""COMPUTED_VALUE"""),"FoxBG")</f>
        <v>FoxBG</v>
      </c>
      <c r="AJ7" s="5" t="str">
        <f>IFERROR(__xludf.DUMMYFUNCTION("""COMPUTED_VALUE"""),"Lolidia")</f>
        <v>Lolidia</v>
      </c>
      <c r="AK7" s="5">
        <f>IFERROR(__xludf.DUMMYFUNCTION("""COMPUTED_VALUE"""),0.0022057291666666666)</f>
        <v>0.002205729167</v>
      </c>
      <c r="AL7" s="5" t="str">
        <f>IFERROR(__xludf.DUMMYFUNCTION("""COMPUTED_VALUE"""),"Karin 96")</f>
        <v>Karin 96</v>
      </c>
      <c r="AM7" s="5" t="str">
        <f>IFERROR(__xludf.DUMMYFUNCTION("""COMPUTED_VALUE"""),"PCVR")</f>
        <v>PCVR</v>
      </c>
      <c r="AN7" s="5" t="str">
        <f>IFERROR(__xludf.DUMMYFUNCTION("""COMPUTED_VALUE"""),"CVS")</f>
        <v>CVS</v>
      </c>
      <c r="AO7" s="5"/>
      <c r="AP7" s="5"/>
      <c r="AQ7" s="5"/>
      <c r="AR7" s="5"/>
      <c r="AS7" s="5"/>
      <c r="AT7" s="5"/>
      <c r="AU7" s="5"/>
      <c r="AV7" s="5"/>
      <c r="AW7" s="5"/>
      <c r="AX7" s="5"/>
      <c r="AY7" s="5"/>
    </row>
    <row r="8">
      <c r="A8" s="5" t="str">
        <f>IFERROR(__xludf.DUMMYFUNCTION("""COMPUTED_VALUE"""),"H-Nanamagari")</f>
        <v>H-Nanamagari</v>
      </c>
      <c r="B8" s="5" t="str">
        <f>IFERROR(__xludf.DUMMYFUNCTION("""COMPUTED_VALUE"""),"DH")</f>
        <v>DH</v>
      </c>
      <c r="C8" s="5" t="str">
        <f>IFERROR(__xludf.DUMMYFUNCTION("""COMPUTED_VALUE"""),"Jintei")</f>
        <v>Jintei</v>
      </c>
      <c r="D8" s="5" t="str">
        <f>IFERROR(__xludf.DUMMYFUNCTION("""COMPUTED_VALUE"""),"StarRiver Arts")</f>
        <v>StarRiver Arts</v>
      </c>
      <c r="E8" s="5">
        <f>IFERROR(__xludf.DUMMYFUNCTION("""COMPUTED_VALUE"""),8.250578703703704E-4)</f>
        <v>0.0008250578704</v>
      </c>
      <c r="F8" s="5" t="str">
        <f>IFERROR(__xludf.DUMMYFUNCTION("""COMPUTED_VALUE"""),"EK9 (Civic Type-R)")</f>
        <v>EK9 (Civic Type-R)</v>
      </c>
      <c r="G8" s="5" t="str">
        <f>IFERROR(__xludf.DUMMYFUNCTION("""COMPUTED_VALUE"""),"PC")</f>
        <v>PC</v>
      </c>
      <c r="H8" s="5" t="str">
        <f>IFERROR(__xludf.DUMMYFUNCTION("""COMPUTED_VALUE"""),"Sacc")</f>
        <v>Sacc</v>
      </c>
      <c r="I8" s="5" t="str">
        <f>IFERROR(__xludf.DUMMYFUNCTION("""COMPUTED_VALUE"""),"GunsaiCP")</f>
        <v>GunsaiCP</v>
      </c>
      <c r="J8" s="5" t="str">
        <f>IFERROR(__xludf.DUMMYFUNCTION("""COMPUTED_VALUE"""),"FC")</f>
        <v>FC</v>
      </c>
      <c r="K8" s="5" t="str">
        <f>IFERROR(__xludf.DUMMYFUNCTION("""COMPUTED_VALUE"""),"Jintei")</f>
        <v>Jintei</v>
      </c>
      <c r="L8" s="5" t="str">
        <f>IFERROR(__xludf.DUMMYFUNCTION("""COMPUTED_VALUE"""),"LinWu_05")</f>
        <v>LinWu_05</v>
      </c>
      <c r="M8" s="5">
        <f>IFERROR(__xludf.DUMMYFUNCTION("""COMPUTED_VALUE"""),0.0019977430555555556)</f>
        <v>0.001997743056</v>
      </c>
      <c r="N8" s="5" t="str">
        <f>IFERROR(__xludf.DUMMYFUNCTION("""COMPUTED_VALUE"""),"MCR R34")</f>
        <v>MCR R34</v>
      </c>
      <c r="O8" s="5" t="str">
        <f>IFERROR(__xludf.DUMMYFUNCTION("""COMPUTED_VALUE"""),"PC")</f>
        <v>PC</v>
      </c>
      <c r="P8" s="5" t="str">
        <f>IFERROR(__xludf.DUMMYFUNCTION("""COMPUTED_VALUE"""),"Sacc")</f>
        <v>Sacc</v>
      </c>
      <c r="Q8" s="5" t="str">
        <f>IFERROR(__xludf.DUMMYFUNCTION("""COMPUTED_VALUE"""),"Tsukuba")</f>
        <v>Tsukuba</v>
      </c>
      <c r="R8" s="5" t="str">
        <f>IFERROR(__xludf.DUMMYFUNCTION("""COMPUTED_VALUE"""),"Double")</f>
        <v>Double</v>
      </c>
      <c r="S8" s="5" t="str">
        <f>IFERROR(__xludf.DUMMYFUNCTION("""COMPUTED_VALUE"""),"Jintei")</f>
        <v>Jintei</v>
      </c>
      <c r="T8" s="5" t="str">
        <f>IFERROR(__xludf.DUMMYFUNCTION("""COMPUTED_VALUE"""),"ikuhopen")</f>
        <v>ikuhopen</v>
      </c>
      <c r="U8" s="5">
        <f>IFERROR(__xludf.DUMMYFUNCTION("""COMPUTED_VALUE"""),0.0026044791666666664)</f>
        <v>0.002604479167</v>
      </c>
      <c r="V8" s="5" t="str">
        <f>IFERROR(__xludf.DUMMYFUNCTION("""COMPUTED_VALUE"""),"BNR32 Gr.A")</f>
        <v>BNR32 Gr.A</v>
      </c>
      <c r="W8" s="5" t="str">
        <f>IFERROR(__xludf.DUMMYFUNCTION("""COMPUTED_VALUE"""),"PCVR")</f>
        <v>PCVR</v>
      </c>
      <c r="X8" s="5" t="str">
        <f>IFERROR(__xludf.DUMMYFUNCTION("""COMPUTED_VALUE"""),"Sacc")</f>
        <v>Sacc</v>
      </c>
      <c r="Y8" s="5" t="str">
        <f>IFERROR(__xludf.DUMMYFUNCTION("""COMPUTED_VALUE"""),"Odawara")</f>
        <v>Odawara</v>
      </c>
      <c r="Z8" s="5" t="str">
        <f>IFERROR(__xludf.DUMMYFUNCTION("""COMPUTED_VALUE"""),"CC")</f>
        <v>CC</v>
      </c>
      <c r="AA8" s="5" t="str">
        <f>IFERROR(__xludf.DUMMYFUNCTION("""COMPUTED_VALUE"""),"Jintei")</f>
        <v>Jintei</v>
      </c>
      <c r="AB8" s="5" t="str">
        <f>IFERROR(__xludf.DUMMYFUNCTION("""COMPUTED_VALUE"""),"Kinokono_Tenka")</f>
        <v>Kinokono_Tenka</v>
      </c>
      <c r="AC8" s="5">
        <f>IFERROR(__xludf.DUMMYFUNCTION("""COMPUTED_VALUE"""),0.0032278819444444447)</f>
        <v>0.003227881944</v>
      </c>
      <c r="AD8" s="5" t="str">
        <f>IFERROR(__xludf.DUMMYFUNCTION("""COMPUTED_VALUE"""),"GT86/ZN6 ")</f>
        <v>GT86/ZN6 </v>
      </c>
      <c r="AE8" s="5" t="str">
        <f>IFERROR(__xludf.DUMMYFUNCTION("""COMPUTED_VALUE"""),"PCVR")</f>
        <v>PCVR</v>
      </c>
      <c r="AF8" s="5" t="str">
        <f>IFERROR(__xludf.DUMMYFUNCTION("""COMPUTED_VALUE"""),"Sacc")</f>
        <v>Sacc</v>
      </c>
      <c r="AG8" s="5" t="str">
        <f>IFERROR(__xludf.DUMMYFUNCTION("""COMPUTED_VALUE"""),"Myogi (ASV)")</f>
        <v>Myogi (ASV)</v>
      </c>
      <c r="AH8" s="5" t="str">
        <f>IFERROR(__xludf.DUMMYFUNCTION("""COMPUTED_VALUE"""),"DH")</f>
        <v>DH</v>
      </c>
      <c r="AI8" s="5" t="str">
        <f>IFERROR(__xludf.DUMMYFUNCTION("""COMPUTED_VALUE"""),"Jintei")</f>
        <v>Jintei</v>
      </c>
      <c r="AJ8" s="5" t="str">
        <f>IFERROR(__xludf.DUMMYFUNCTION("""COMPUTED_VALUE"""),"Lolidia")</f>
        <v>Lolidia</v>
      </c>
      <c r="AK8" s="5">
        <f>IFERROR(__xludf.DUMMYFUNCTION("""COMPUTED_VALUE"""),0.002172326388888889)</f>
        <v>0.002172326389</v>
      </c>
      <c r="AL8" s="5" t="str">
        <f>IFERROR(__xludf.DUMMYFUNCTION("""COMPUTED_VALUE"""),"BNR32")</f>
        <v>BNR32</v>
      </c>
      <c r="AM8" s="5" t="str">
        <f>IFERROR(__xludf.DUMMYFUNCTION("""COMPUTED_VALUE"""),"PCVR")</f>
        <v>PCVR</v>
      </c>
      <c r="AN8" s="5" t="str">
        <f>IFERROR(__xludf.DUMMYFUNCTION("""COMPUTED_VALUE"""),"Sacc")</f>
        <v>Sacc</v>
      </c>
      <c r="AO8" s="5"/>
      <c r="AP8" s="5"/>
      <c r="AQ8" s="5"/>
      <c r="AR8" s="5"/>
      <c r="AS8" s="5"/>
      <c r="AT8" s="5"/>
      <c r="AU8" s="5"/>
      <c r="AV8" s="5"/>
      <c r="AW8" s="5"/>
      <c r="AX8" s="5"/>
      <c r="AY8" s="5"/>
    </row>
    <row r="9">
      <c r="A9" s="5" t="str">
        <f>IFERROR(__xludf.DUMMYFUNCTION("""COMPUTED_VALUE"""),"H-Nanamagari")</f>
        <v>H-Nanamagari</v>
      </c>
      <c r="B9" s="5" t="str">
        <f>IFERROR(__xludf.DUMMYFUNCTION("""COMPUTED_VALUE"""),"UH")</f>
        <v>UH</v>
      </c>
      <c r="C9" s="5" t="str">
        <f>IFERROR(__xludf.DUMMYFUNCTION("""COMPUTED_VALUE"""),"Jintei")</f>
        <v>Jintei</v>
      </c>
      <c r="D9" s="5" t="str">
        <f>IFERROR(__xludf.DUMMYFUNCTION("""COMPUTED_VALUE"""),"StarRiver Arts")</f>
        <v>StarRiver Arts</v>
      </c>
      <c r="E9" s="5">
        <f>IFERROR(__xludf.DUMMYFUNCTION("""COMPUTED_VALUE"""),9.381828703703704E-4)</f>
        <v>0.0009381828704</v>
      </c>
      <c r="F9" s="5" t="str">
        <f>IFERROR(__xludf.DUMMYFUNCTION("""COMPUTED_VALUE"""),"EK9 (Civic Type-R)")</f>
        <v>EK9 (Civic Type-R)</v>
      </c>
      <c r="G9" s="5" t="str">
        <f>IFERROR(__xludf.DUMMYFUNCTION("""COMPUTED_VALUE"""),"PC")</f>
        <v>PC</v>
      </c>
      <c r="H9" s="5" t="str">
        <f>IFERROR(__xludf.DUMMYFUNCTION("""COMPUTED_VALUE"""),"Sacc")</f>
        <v>Sacc</v>
      </c>
      <c r="I9" s="5" t="str">
        <f>IFERROR(__xludf.DUMMYFUNCTION("""COMPUTED_VALUE"""),"H-Nanamagari")</f>
        <v>H-Nanamagari</v>
      </c>
      <c r="J9" s="5" t="str">
        <f>IFERROR(__xludf.DUMMYFUNCTION("""COMPUTED_VALUE"""),"DH")</f>
        <v>DH</v>
      </c>
      <c r="K9" s="5" t="str">
        <f>IFERROR(__xludf.DUMMYFUNCTION("""COMPUTED_VALUE"""),"Jintei")</f>
        <v>Jintei</v>
      </c>
      <c r="L9" s="5" t="str">
        <f>IFERROR(__xludf.DUMMYFUNCTION("""COMPUTED_VALUE"""),"LinWu_05")</f>
        <v>LinWu_05</v>
      </c>
      <c r="M9" s="5">
        <f>IFERROR(__xludf.DUMMYFUNCTION("""COMPUTED_VALUE"""),8.511342592592593E-4)</f>
        <v>0.0008511342593</v>
      </c>
      <c r="N9" s="5" t="str">
        <f>IFERROR(__xludf.DUMMYFUNCTION("""COMPUTED_VALUE"""),"BNR32")</f>
        <v>BNR32</v>
      </c>
      <c r="O9" s="5" t="str">
        <f>IFERROR(__xludf.DUMMYFUNCTION("""COMPUTED_VALUE"""),"PC")</f>
        <v>PC</v>
      </c>
      <c r="P9" s="5" t="str">
        <f>IFERROR(__xludf.DUMMYFUNCTION("""COMPUTED_VALUE"""),"Sacc")</f>
        <v>Sacc</v>
      </c>
      <c r="Q9" s="5" t="str">
        <f>IFERROR(__xludf.DUMMYFUNCTION("""COMPUTED_VALUE"""),"Usui V1")</f>
        <v>Usui V1</v>
      </c>
      <c r="R9" s="5" t="str">
        <f>IFERROR(__xludf.DUMMYFUNCTION("""COMPUTED_VALUE"""),"CW")</f>
        <v>CW</v>
      </c>
      <c r="S9" s="5" t="str">
        <f>IFERROR(__xludf.DUMMYFUNCTION("""COMPUTED_VALUE"""),"Jintei")</f>
        <v>Jintei</v>
      </c>
      <c r="T9" s="5" t="str">
        <f>IFERROR(__xludf.DUMMYFUNCTION("""COMPUTED_VALUE"""),"ikuhopen")</f>
        <v>ikuhopen</v>
      </c>
      <c r="U9" s="5">
        <f>IFERROR(__xludf.DUMMYFUNCTION("""COMPUTED_VALUE"""),0.0024279282407407405)</f>
        <v>0.002427928241</v>
      </c>
      <c r="V9" s="5" t="str">
        <f>IFERROR(__xludf.DUMMYFUNCTION("""COMPUTED_VALUE"""),"SilEighty")</f>
        <v>SilEighty</v>
      </c>
      <c r="W9" s="5" t="str">
        <f>IFERROR(__xludf.DUMMYFUNCTION("""COMPUTED_VALUE"""),"PCVR")</f>
        <v>PCVR</v>
      </c>
      <c r="X9" s="5" t="str">
        <f>IFERROR(__xludf.DUMMYFUNCTION("""COMPUTED_VALUE"""),"Sacc")</f>
        <v>Sacc</v>
      </c>
      <c r="Y9" s="5" t="str">
        <f>IFERROR(__xludf.DUMMYFUNCTION("""COMPUTED_VALUE"""),"Lake Akina")</f>
        <v>Lake Akina</v>
      </c>
      <c r="Z9" s="5" t="str">
        <f>IFERROR(__xludf.DUMMYFUNCTION("""COMPUTED_VALUE"""),"CW")</f>
        <v>CW</v>
      </c>
      <c r="AA9" s="5" t="str">
        <f>IFERROR(__xludf.DUMMYFUNCTION("""COMPUTED_VALUE"""),"Jintei")</f>
        <v>Jintei</v>
      </c>
      <c r="AB9" s="5" t="str">
        <f>IFERROR(__xludf.DUMMYFUNCTION("""COMPUTED_VALUE"""),"Kinokono_Tenka")</f>
        <v>Kinokono_Tenka</v>
      </c>
      <c r="AC9" s="5">
        <f>IFERROR(__xludf.DUMMYFUNCTION("""COMPUTED_VALUE"""),0.0023247800925925923)</f>
        <v>0.002324780093</v>
      </c>
      <c r="AD9" s="5" t="str">
        <f>IFERROR(__xludf.DUMMYFUNCTION("""COMPUTED_VALUE"""),"GC8-F (Impreza)")</f>
        <v>GC8-F (Impreza)</v>
      </c>
      <c r="AE9" s="5" t="str">
        <f>IFERROR(__xludf.DUMMYFUNCTION("""COMPUTED_VALUE"""),"PCVR")</f>
        <v>PCVR</v>
      </c>
      <c r="AF9" s="5" t="str">
        <f>IFERROR(__xludf.DUMMYFUNCTION("""COMPUTED_VALUE"""),"Sacc")</f>
        <v>Sacc</v>
      </c>
      <c r="AG9" s="5" t="str">
        <f>IFERROR(__xludf.DUMMYFUNCTION("""COMPUTED_VALUE"""),"PT:9T")</f>
        <v>PT:9T</v>
      </c>
      <c r="AH9" s="5" t="str">
        <f>IFERROR(__xludf.DUMMYFUNCTION("""COMPUTED_VALUE"""),"DH")</f>
        <v>DH</v>
      </c>
      <c r="AI9" s="5" t="str">
        <f>IFERROR(__xludf.DUMMYFUNCTION("""COMPUTED_VALUE"""),"StarRiver Arts")</f>
        <v>StarRiver Arts</v>
      </c>
      <c r="AJ9" s="5" t="str">
        <f>IFERROR(__xludf.DUMMYFUNCTION("""COMPUTED_VALUE"""),"Lolidia")</f>
        <v>Lolidia</v>
      </c>
      <c r="AK9" s="5">
        <f>IFERROR(__xludf.DUMMYFUNCTION("""COMPUTED_VALUE"""),0.004538715277777778)</f>
        <v>0.004538715278</v>
      </c>
      <c r="AL9" s="5" t="str">
        <f>IFERROR(__xludf.DUMMYFUNCTION("""COMPUTED_VALUE"""),"SampleCar")</f>
        <v>SampleCar</v>
      </c>
      <c r="AM9" s="5" t="str">
        <f>IFERROR(__xludf.DUMMYFUNCTION("""COMPUTED_VALUE"""),"PCVR")</f>
        <v>PCVR</v>
      </c>
      <c r="AN9" s="5" t="str">
        <f>IFERROR(__xludf.DUMMYFUNCTION("""COMPUTED_VALUE"""),"CVS")</f>
        <v>CVS</v>
      </c>
      <c r="AO9" s="5"/>
      <c r="AP9" s="5"/>
      <c r="AQ9" s="5"/>
      <c r="AR9" s="5"/>
      <c r="AS9" s="5"/>
      <c r="AT9" s="5"/>
      <c r="AU9" s="5"/>
      <c r="AV9" s="5"/>
      <c r="AW9" s="5"/>
      <c r="AX9" s="5"/>
      <c r="AY9" s="5"/>
    </row>
    <row r="10">
      <c r="A10" s="5" t="str">
        <f>IFERROR(__xludf.DUMMYFUNCTION("""COMPUTED_VALUE"""),"Irohazaka")</f>
        <v>Irohazaka</v>
      </c>
      <c r="B10" s="5" t="str">
        <f>IFERROR(__xludf.DUMMYFUNCTION("""COMPUTED_VALUE"""),"DH")</f>
        <v>DH</v>
      </c>
      <c r="C10" s="5" t="str">
        <f>IFERROR(__xludf.DUMMYFUNCTION("""COMPUTED_VALUE"""),"Jintei ")</f>
        <v>Jintei </v>
      </c>
      <c r="D10" s="5" t="str">
        <f>IFERROR(__xludf.DUMMYFUNCTION("""COMPUTED_VALUE"""),"StarRiver Arts")</f>
        <v>StarRiver Arts</v>
      </c>
      <c r="E10" s="5">
        <f>IFERROR(__xludf.DUMMYFUNCTION("""COMPUTED_VALUE"""),0.0025451273148148147)</f>
        <v>0.002545127315</v>
      </c>
      <c r="F10" s="5" t="str">
        <f>IFERROR(__xludf.DUMMYFUNCTION("""COMPUTED_VALUE"""),"GC8-F (Impreza)")</f>
        <v>GC8-F (Impreza)</v>
      </c>
      <c r="G10" s="5" t="str">
        <f>IFERROR(__xludf.DUMMYFUNCTION("""COMPUTED_VALUE"""),"PC")</f>
        <v>PC</v>
      </c>
      <c r="H10" s="5" t="str">
        <f>IFERROR(__xludf.DUMMYFUNCTION("""COMPUTED_VALUE"""),"Sacc")</f>
        <v>Sacc</v>
      </c>
      <c r="I10" s="5" t="str">
        <f>IFERROR(__xludf.DUMMYFUNCTION("""COMPUTED_VALUE"""),"H-Nanamagari")</f>
        <v>H-Nanamagari</v>
      </c>
      <c r="J10" s="5" t="str">
        <f>IFERROR(__xludf.DUMMYFUNCTION("""COMPUTED_VALUE"""),"UH")</f>
        <v>UH</v>
      </c>
      <c r="K10" s="5" t="str">
        <f>IFERROR(__xludf.DUMMYFUNCTION("""COMPUTED_VALUE"""),"Jintei")</f>
        <v>Jintei</v>
      </c>
      <c r="L10" s="5" t="str">
        <f>IFERROR(__xludf.DUMMYFUNCTION("""COMPUTED_VALUE"""),"LinWu_05")</f>
        <v>LinWu_05</v>
      </c>
      <c r="M10" s="5">
        <f>IFERROR(__xludf.DUMMYFUNCTION("""COMPUTED_VALUE"""),8.899305555555556E-4)</f>
        <v>0.0008899305556</v>
      </c>
      <c r="N10" s="5" t="str">
        <f>IFERROR(__xludf.DUMMYFUNCTION("""COMPUTED_VALUE"""),"BNR32")</f>
        <v>BNR32</v>
      </c>
      <c r="O10" s="5" t="str">
        <f>IFERROR(__xludf.DUMMYFUNCTION("""COMPUTED_VALUE"""),"PC")</f>
        <v>PC</v>
      </c>
      <c r="P10" s="5" t="str">
        <f>IFERROR(__xludf.DUMMYFUNCTION("""COMPUTED_VALUE"""),"Sacc")</f>
        <v>Sacc</v>
      </c>
      <c r="Q10" s="5" t="str">
        <f>IFERROR(__xludf.DUMMYFUNCTION("""COMPUTED_VALUE"""),"Tsukuba")</f>
        <v>Tsukuba</v>
      </c>
      <c r="R10" s="5" t="str">
        <f>IFERROR(__xludf.DUMMYFUNCTION("""COMPUTED_VALUE"""),"UH")</f>
        <v>UH</v>
      </c>
      <c r="S10" s="5" t="str">
        <f>IFERROR(__xludf.DUMMYFUNCTION("""COMPUTED_VALUE"""),"Jintei")</f>
        <v>Jintei</v>
      </c>
      <c r="T10" s="5" t="str">
        <f>IFERROR(__xludf.DUMMYFUNCTION("""COMPUTED_VALUE"""),"ikuhopen")</f>
        <v>ikuhopen</v>
      </c>
      <c r="U10" s="5">
        <f>IFERROR(__xludf.DUMMYFUNCTION("""COMPUTED_VALUE"""),0.0012411574074074074)</f>
        <v>0.001241157407</v>
      </c>
      <c r="V10" s="5" t="str">
        <f>IFERROR(__xludf.DUMMYFUNCTION("""COMPUTED_VALUE"""),"EK9 (Civic Type-R)")</f>
        <v>EK9 (Civic Type-R)</v>
      </c>
      <c r="W10" s="5" t="str">
        <f>IFERROR(__xludf.DUMMYFUNCTION("""COMPUTED_VALUE"""),"PCVR")</f>
        <v>PCVR</v>
      </c>
      <c r="X10" s="5" t="str">
        <f>IFERROR(__xludf.DUMMYFUNCTION("""COMPUTED_VALUE"""),"Sacc")</f>
        <v>Sacc</v>
      </c>
      <c r="Y10" s="5" t="str">
        <f>IFERROR(__xludf.DUMMYFUNCTION("""COMPUTED_VALUE"""),"Lake Akina")</f>
        <v>Lake Akina</v>
      </c>
      <c r="Z10" s="5" t="str">
        <f>IFERROR(__xludf.DUMMYFUNCTION("""COMPUTED_VALUE"""),"CC")</f>
        <v>CC</v>
      </c>
      <c r="AA10" s="5" t="str">
        <f>IFERROR(__xludf.DUMMYFUNCTION("""COMPUTED_VALUE"""),"Jintei")</f>
        <v>Jintei</v>
      </c>
      <c r="AB10" s="5" t="str">
        <f>IFERROR(__xludf.DUMMYFUNCTION("""COMPUTED_VALUE"""),"Kinokono_Tenka")</f>
        <v>Kinokono_Tenka</v>
      </c>
      <c r="AC10" s="5">
        <f>IFERROR(__xludf.DUMMYFUNCTION("""COMPUTED_VALUE"""),0.0023247800925925923)</f>
        <v>0.002324780093</v>
      </c>
      <c r="AD10" s="5" t="str">
        <f>IFERROR(__xludf.DUMMYFUNCTION("""COMPUTED_VALUE"""),"GC8-F (Impreza)")</f>
        <v>GC8-F (Impreza)</v>
      </c>
      <c r="AE10" s="5" t="str">
        <f>IFERROR(__xludf.DUMMYFUNCTION("""COMPUTED_VALUE"""),"PCVR")</f>
        <v>PCVR</v>
      </c>
      <c r="AF10" s="5" t="str">
        <f>IFERROR(__xludf.DUMMYFUNCTION("""COMPUTED_VALUE"""),"Sacc")</f>
        <v>Sacc</v>
      </c>
      <c r="AG10" s="5" t="str">
        <f>IFERROR(__xludf.DUMMYFUNCTION("""COMPUTED_VALUE"""),"Sadamine")</f>
        <v>Sadamine</v>
      </c>
      <c r="AH10" s="5" t="str">
        <f>IFERROR(__xludf.DUMMYFUNCTION("""COMPUTED_VALUE"""),"FCDH")</f>
        <v>FCDH</v>
      </c>
      <c r="AI10" s="5" t="str">
        <f>IFERROR(__xludf.DUMMYFUNCTION("""COMPUTED_VALUE"""),"Jintei")</f>
        <v>Jintei</v>
      </c>
      <c r="AJ10" s="5" t="str">
        <f>IFERROR(__xludf.DUMMYFUNCTION("""COMPUTED_VALUE"""),"Lolidia")</f>
        <v>Lolidia</v>
      </c>
      <c r="AK10" s="5">
        <f>IFERROR(__xludf.DUMMYFUNCTION("""COMPUTED_VALUE"""),0.002249224537037037)</f>
        <v>0.002249224537</v>
      </c>
      <c r="AL10" s="5" t="str">
        <f>IFERROR(__xludf.DUMMYFUNCTION("""COMPUTED_VALUE"""),"FD3S (RX7)(ST)")</f>
        <v>FD3S (RX7)(ST)</v>
      </c>
      <c r="AM10" s="5" t="str">
        <f>IFERROR(__xludf.DUMMYFUNCTION("""COMPUTED_VALUE"""),"PCVR")</f>
        <v>PCVR</v>
      </c>
      <c r="AN10" s="5" t="str">
        <f>IFERROR(__xludf.DUMMYFUNCTION("""COMPUTED_VALUE"""),"Sacc")</f>
        <v>Sacc</v>
      </c>
      <c r="AO10" s="5"/>
      <c r="AP10" s="5"/>
      <c r="AQ10" s="5"/>
      <c r="AR10" s="5"/>
      <c r="AS10" s="5"/>
      <c r="AT10" s="5"/>
      <c r="AU10" s="5"/>
      <c r="AV10" s="5"/>
      <c r="AW10" s="5"/>
      <c r="AX10" s="5"/>
      <c r="AY10" s="5"/>
    </row>
    <row r="11">
      <c r="A11" s="5" t="str">
        <f>IFERROR(__xludf.DUMMYFUNCTION("""COMPUTED_VALUE"""),"Momiji")</f>
        <v>Momiji</v>
      </c>
      <c r="B11" s="5" t="str">
        <f>IFERROR(__xludf.DUMMYFUNCTION("""COMPUTED_VALUE"""),"DH")</f>
        <v>DH</v>
      </c>
      <c r="C11" s="5" t="str">
        <f>IFERROR(__xludf.DUMMYFUNCTION("""COMPUTED_VALUE"""),"FoxBG")</f>
        <v>FoxBG</v>
      </c>
      <c r="D11" s="5" t="str">
        <f>IFERROR(__xludf.DUMMYFUNCTION("""COMPUTED_VALUE"""),"StarRiver Arts")</f>
        <v>StarRiver Arts</v>
      </c>
      <c r="E11" s="5">
        <f>IFERROR(__xludf.DUMMYFUNCTION("""COMPUTED_VALUE"""),0.0031942476851851854)</f>
        <v>0.003194247685</v>
      </c>
      <c r="F11" s="5" t="str">
        <f>IFERROR(__xludf.DUMMYFUNCTION("""COMPUTED_VALUE"""),"Highline TT")</f>
        <v>Highline TT</v>
      </c>
      <c r="G11" s="5" t="str">
        <f>IFERROR(__xludf.DUMMYFUNCTION("""COMPUTED_VALUE"""),"PC")</f>
        <v>PC</v>
      </c>
      <c r="H11" s="5" t="str">
        <f>IFERROR(__xludf.DUMMYFUNCTION("""COMPUTED_VALUE"""),"CVS")</f>
        <v>CVS</v>
      </c>
      <c r="I11" s="5" t="str">
        <f>IFERROR(__xludf.DUMMYFUNCTION("""COMPUTED_VALUE"""),"Irohazaka")</f>
        <v>Irohazaka</v>
      </c>
      <c r="J11" s="5" t="str">
        <f>IFERROR(__xludf.DUMMYFUNCTION("""COMPUTED_VALUE"""),"DH")</f>
        <v>DH</v>
      </c>
      <c r="K11" s="5" t="str">
        <f>IFERROR(__xludf.DUMMYFUNCTION("""COMPUTED_VALUE"""),"Jintei ")</f>
        <v>Jintei </v>
      </c>
      <c r="L11" s="5" t="str">
        <f>IFERROR(__xludf.DUMMYFUNCTION("""COMPUTED_VALUE"""),"LinWu_05")</f>
        <v>LinWu_05</v>
      </c>
      <c r="M11" s="5">
        <f>IFERROR(__xludf.DUMMYFUNCTION("""COMPUTED_VALUE"""),0.0027619907407407406)</f>
        <v>0.002761990741</v>
      </c>
      <c r="N11" s="5" t="str">
        <f>IFERROR(__xludf.DUMMYFUNCTION("""COMPUTED_VALUE"""),"SW20 (MR2)")</f>
        <v>SW20 (MR2)</v>
      </c>
      <c r="O11" s="5" t="str">
        <f>IFERROR(__xludf.DUMMYFUNCTION("""COMPUTED_VALUE"""),"PC")</f>
        <v>PC</v>
      </c>
      <c r="P11" s="5" t="str">
        <f>IFERROR(__xludf.DUMMYFUNCTION("""COMPUTED_VALUE"""),"Sacc")</f>
        <v>Sacc</v>
      </c>
      <c r="Q11" s="5" t="str">
        <f>IFERROR(__xludf.DUMMYFUNCTION("""COMPUTED_VALUE"""),"Odawara")</f>
        <v>Odawara</v>
      </c>
      <c r="R11" s="5" t="str">
        <f>IFERROR(__xludf.DUMMYFUNCTION("""COMPUTED_VALUE"""),"CW")</f>
        <v>CW</v>
      </c>
      <c r="S11" s="5" t="str">
        <f>IFERROR(__xludf.DUMMYFUNCTION("""COMPUTED_VALUE"""),"Jintei")</f>
        <v>Jintei</v>
      </c>
      <c r="T11" s="5" t="str">
        <f>IFERROR(__xludf.DUMMYFUNCTION("""COMPUTED_VALUE"""),"ikuhopen")</f>
        <v>ikuhopen</v>
      </c>
      <c r="U11" s="5">
        <f>IFERROR(__xludf.DUMMYFUNCTION("""COMPUTED_VALUE"""),0.0026873032407407405)</f>
        <v>0.002687303241</v>
      </c>
      <c r="V11" s="5" t="str">
        <f>IFERROR(__xludf.DUMMYFUNCTION("""COMPUTED_VALUE"""),"991(911 GT3)")</f>
        <v>991(911 GT3)</v>
      </c>
      <c r="W11" s="5" t="str">
        <f>IFERROR(__xludf.DUMMYFUNCTION("""COMPUTED_VALUE"""),"PCVR")</f>
        <v>PCVR</v>
      </c>
      <c r="X11" s="5" t="str">
        <f>IFERROR(__xludf.DUMMYFUNCTION("""COMPUTED_VALUE"""),"Sacc")</f>
        <v>Sacc</v>
      </c>
      <c r="Y11" s="5" t="str">
        <f>IFERROR(__xludf.DUMMYFUNCTION("""COMPUTED_VALUE"""),"Myogi(CC)")</f>
        <v>Myogi(CC)</v>
      </c>
      <c r="Z11" s="5" t="str">
        <f>IFERROR(__xludf.DUMMYFUNCTION("""COMPUTED_VALUE"""),"CW")</f>
        <v>CW</v>
      </c>
      <c r="AA11" s="5" t="str">
        <f>IFERROR(__xludf.DUMMYFUNCTION("""COMPUTED_VALUE"""),"Jintei")</f>
        <v>Jintei</v>
      </c>
      <c r="AB11" s="5" t="str">
        <f>IFERROR(__xludf.DUMMYFUNCTION("""COMPUTED_VALUE"""),"Kinokono_Tenka")</f>
        <v>Kinokono_Tenka</v>
      </c>
      <c r="AC11" s="5">
        <f>IFERROR(__xludf.DUMMYFUNCTION("""COMPUTED_VALUE"""),0.002265289351851852)</f>
        <v>0.002265289352</v>
      </c>
      <c r="AD11" s="5" t="str">
        <f>IFERROR(__xludf.DUMMYFUNCTION("""COMPUTED_VALUE"""),"EG6 (civic)")</f>
        <v>EG6 (civic)</v>
      </c>
      <c r="AE11" s="5" t="str">
        <f>IFERROR(__xludf.DUMMYFUNCTION("""COMPUTED_VALUE"""),"PCVR")</f>
        <v>PCVR</v>
      </c>
      <c r="AF11" s="5" t="str">
        <f>IFERROR(__xludf.DUMMYFUNCTION("""COMPUTED_VALUE"""),"Sacc")</f>
        <v>Sacc</v>
      </c>
      <c r="AG11" s="5" t="str">
        <f>IFERROR(__xludf.DUMMYFUNCTION("""COMPUTED_VALUE"""),"Tsukuba")</f>
        <v>Tsukuba</v>
      </c>
      <c r="AH11" s="5" t="str">
        <f>IFERROR(__xludf.DUMMYFUNCTION("""COMPUTED_VALUE"""),"Double")</f>
        <v>Double</v>
      </c>
      <c r="AI11" s="5" t="str">
        <f>IFERROR(__xludf.DUMMYFUNCTION("""COMPUTED_VALUE"""),"Jintei")</f>
        <v>Jintei</v>
      </c>
      <c r="AJ11" s="5" t="str">
        <f>IFERROR(__xludf.DUMMYFUNCTION("""COMPUTED_VALUE"""),"Lolidia")</f>
        <v>Lolidia</v>
      </c>
      <c r="AK11" s="5">
        <f>IFERROR(__xludf.DUMMYFUNCTION("""COMPUTED_VALUE"""),0.0023803935185185182)</f>
        <v>0.002380393519</v>
      </c>
      <c r="AL11" s="5" t="str">
        <f>IFERROR(__xludf.DUMMYFUNCTION("""COMPUTED_VALUE"""),"AE86T")</f>
        <v>AE86T</v>
      </c>
      <c r="AM11" s="5" t="str">
        <f>IFERROR(__xludf.DUMMYFUNCTION("""COMPUTED_VALUE"""),"PCVR")</f>
        <v>PCVR</v>
      </c>
      <c r="AN11" s="5" t="str">
        <f>IFERROR(__xludf.DUMMYFUNCTION("""COMPUTED_VALUE"""),"Sacc")</f>
        <v>Sacc</v>
      </c>
      <c r="AO11" s="5"/>
      <c r="AP11" s="5"/>
      <c r="AQ11" s="5"/>
      <c r="AR11" s="5"/>
      <c r="AS11" s="5"/>
      <c r="AT11" s="5"/>
      <c r="AU11" s="5"/>
      <c r="AV11" s="5"/>
      <c r="AW11" s="5"/>
      <c r="AX11" s="5"/>
      <c r="AY11" s="5"/>
    </row>
    <row r="12">
      <c r="A12" s="5" t="str">
        <f>IFERROR(__xludf.DUMMYFUNCTION("""COMPUTED_VALUE"""),"Myogi (ASV)")</f>
        <v>Myogi (ASV)</v>
      </c>
      <c r="B12" s="5" t="str">
        <f>IFERROR(__xludf.DUMMYFUNCTION("""COMPUTED_VALUE"""),"DH")</f>
        <v>DH</v>
      </c>
      <c r="C12" s="5" t="str">
        <f>IFERROR(__xludf.DUMMYFUNCTION("""COMPUTED_VALUE"""),"Jintei")</f>
        <v>Jintei</v>
      </c>
      <c r="D12" s="5" t="str">
        <f>IFERROR(__xludf.DUMMYFUNCTION("""COMPUTED_VALUE"""),"StarRiver Arts")</f>
        <v>StarRiver Arts</v>
      </c>
      <c r="E12" s="5">
        <f>IFERROR(__xludf.DUMMYFUNCTION("""COMPUTED_VALUE"""),0.002267546296296296)</f>
        <v>0.002267546296</v>
      </c>
      <c r="F12" s="5" t="str">
        <f>IFERROR(__xludf.DUMMYFUNCTION("""COMPUTED_VALUE"""),"SilEighty")</f>
        <v>SilEighty</v>
      </c>
      <c r="G12" s="5" t="str">
        <f>IFERROR(__xludf.DUMMYFUNCTION("""COMPUTED_VALUE"""),"PC")</f>
        <v>PC</v>
      </c>
      <c r="H12" s="5" t="str">
        <f>IFERROR(__xludf.DUMMYFUNCTION("""COMPUTED_VALUE"""),"Sacc")</f>
        <v>Sacc</v>
      </c>
      <c r="I12" s="5" t="str">
        <f>IFERROR(__xludf.DUMMYFUNCTION("""COMPUTED_VALUE"""),"Momiji")</f>
        <v>Momiji</v>
      </c>
      <c r="J12" s="5" t="str">
        <f>IFERROR(__xludf.DUMMYFUNCTION("""COMPUTED_VALUE"""),"DH")</f>
        <v>DH</v>
      </c>
      <c r="K12" s="5" t="str">
        <f>IFERROR(__xludf.DUMMYFUNCTION("""COMPUTED_VALUE"""),"Jintei")</f>
        <v>Jintei</v>
      </c>
      <c r="L12" s="5" t="str">
        <f>IFERROR(__xludf.DUMMYFUNCTION("""COMPUTED_VALUE"""),"LinWu_05")</f>
        <v>LinWu_05</v>
      </c>
      <c r="M12" s="5">
        <f>IFERROR(__xludf.DUMMYFUNCTION("""COMPUTED_VALUE"""),0.0024261226851851852)</f>
        <v>0.002426122685</v>
      </c>
      <c r="N12" s="5" t="str">
        <f>IFERROR(__xludf.DUMMYFUNCTION("""COMPUTED_VALUE"""),"NA6CE (Mx5 Roadster)")</f>
        <v>NA6CE (Mx5 Roadster)</v>
      </c>
      <c r="O12" s="5" t="str">
        <f>IFERROR(__xludf.DUMMYFUNCTION("""COMPUTED_VALUE"""),"PC")</f>
        <v>PC</v>
      </c>
      <c r="P12" s="5" t="str">
        <f>IFERROR(__xludf.DUMMYFUNCTION("""COMPUTED_VALUE"""),"Sacc")</f>
        <v>Sacc</v>
      </c>
      <c r="Q12" s="5" t="str">
        <f>IFERROR(__xludf.DUMMYFUNCTION("""COMPUTED_VALUE"""),"Tsubaki")</f>
        <v>Tsubaki</v>
      </c>
      <c r="R12" s="5" t="str">
        <f>IFERROR(__xludf.DUMMYFUNCTION("""COMPUTED_VALUE"""),"DH")</f>
        <v>DH</v>
      </c>
      <c r="S12" s="5" t="str">
        <f>IFERROR(__xludf.DUMMYFUNCTION("""COMPUTED_VALUE"""),"Jintei ")</f>
        <v>Jintei </v>
      </c>
      <c r="T12" s="5" t="str">
        <f>IFERROR(__xludf.DUMMYFUNCTION("""COMPUTED_VALUE"""),"ikuhopen")</f>
        <v>ikuhopen</v>
      </c>
      <c r="U12" s="5">
        <f>IFERROR(__xludf.DUMMYFUNCTION("""COMPUTED_VALUE"""),0.002570150462962963)</f>
        <v>0.002570150463</v>
      </c>
      <c r="V12" s="5" t="str">
        <f>IFERROR(__xludf.DUMMYFUNCTION("""COMPUTED_VALUE"""),"AE86T2")</f>
        <v>AE86T2</v>
      </c>
      <c r="W12" s="5" t="str">
        <f>IFERROR(__xludf.DUMMYFUNCTION("""COMPUTED_VALUE"""),"PCVR")</f>
        <v>PCVR</v>
      </c>
      <c r="X12" s="5" t="str">
        <f>IFERROR(__xludf.DUMMYFUNCTION("""COMPUTED_VALUE"""),"Sacc")</f>
        <v>Sacc</v>
      </c>
      <c r="Y12" s="5" t="str">
        <f>IFERROR(__xludf.DUMMYFUNCTION("""COMPUTED_VALUE"""),"Myogi(CC)")</f>
        <v>Myogi(CC)</v>
      </c>
      <c r="Z12" s="5" t="str">
        <f>IFERROR(__xludf.DUMMYFUNCTION("""COMPUTED_VALUE"""),"CC")</f>
        <v>CC</v>
      </c>
      <c r="AA12" s="5" t="str">
        <f>IFERROR(__xludf.DUMMYFUNCTION("""COMPUTED_VALUE"""),"Jintei")</f>
        <v>Jintei</v>
      </c>
      <c r="AB12" s="5" t="str">
        <f>IFERROR(__xludf.DUMMYFUNCTION("""COMPUTED_VALUE"""),"Kinokono_Tenka")</f>
        <v>Kinokono_Tenka</v>
      </c>
      <c r="AC12" s="5">
        <f>IFERROR(__xludf.DUMMYFUNCTION("""COMPUTED_VALUE"""),0.0023177546296296292)</f>
        <v>0.00231775463</v>
      </c>
      <c r="AD12" s="5" t="str">
        <f>IFERROR(__xludf.DUMMYFUNCTION("""COMPUTED_VALUE"""),"EG6 (civic)")</f>
        <v>EG6 (civic)</v>
      </c>
      <c r="AE12" s="5" t="str">
        <f>IFERROR(__xludf.DUMMYFUNCTION("""COMPUTED_VALUE"""),"PCVR")</f>
        <v>PCVR</v>
      </c>
      <c r="AF12" s="5" t="str">
        <f>IFERROR(__xludf.DUMMYFUNCTION("""COMPUTED_VALUE"""),"Sacc")</f>
        <v>Sacc</v>
      </c>
      <c r="AG12" s="5" t="str">
        <f>IFERROR(__xludf.DUMMYFUNCTION("""COMPUTED_VALUE"""),"Usui V1")</f>
        <v>Usui V1</v>
      </c>
      <c r="AH12" s="5" t="str">
        <f>IFERROR(__xludf.DUMMYFUNCTION("""COMPUTED_VALUE"""),"CW")</f>
        <v>CW</v>
      </c>
      <c r="AI12" s="5" t="str">
        <f>IFERROR(__xludf.DUMMYFUNCTION("""COMPUTED_VALUE"""),"Jintei")</f>
        <v>Jintei</v>
      </c>
      <c r="AJ12" s="5" t="str">
        <f>IFERROR(__xludf.DUMMYFUNCTION("""COMPUTED_VALUE"""),"Lolidia")</f>
        <v>Lolidia</v>
      </c>
      <c r="AK12" s="5">
        <f>IFERROR(__xludf.DUMMYFUNCTION("""COMPUTED_VALUE"""),0.002216678240740741)</f>
        <v>0.002216678241</v>
      </c>
      <c r="AL12" s="5" t="str">
        <f>IFERROR(__xludf.DUMMYFUNCTION("""COMPUTED_VALUE"""),"ER34")</f>
        <v>ER34</v>
      </c>
      <c r="AM12" s="5" t="str">
        <f>IFERROR(__xludf.DUMMYFUNCTION("""COMPUTED_VALUE"""),"PCVR")</f>
        <v>PCVR</v>
      </c>
      <c r="AN12" s="5" t="str">
        <f>IFERROR(__xludf.DUMMYFUNCTION("""COMPUTED_VALUE"""),"Sacc")</f>
        <v>Sacc</v>
      </c>
      <c r="AO12" s="5"/>
      <c r="AP12" s="5"/>
      <c r="AQ12" s="5"/>
      <c r="AR12" s="5"/>
      <c r="AS12" s="5"/>
      <c r="AT12" s="5"/>
      <c r="AU12" s="5"/>
      <c r="AV12" s="5"/>
      <c r="AW12" s="5"/>
      <c r="AX12" s="5"/>
      <c r="AY12" s="5"/>
    </row>
    <row r="13">
      <c r="A13" s="5" t="str">
        <f>IFERROR(__xludf.DUMMYFUNCTION("""COMPUTED_VALUE"""),"Myogi (ASV)")</f>
        <v>Myogi (ASV)</v>
      </c>
      <c r="B13" s="5" t="str">
        <f>IFERROR(__xludf.DUMMYFUNCTION("""COMPUTED_VALUE"""),"UH")</f>
        <v>UH</v>
      </c>
      <c r="C13" s="5" t="str">
        <f>IFERROR(__xludf.DUMMYFUNCTION("""COMPUTED_VALUE"""),"Jintei")</f>
        <v>Jintei</v>
      </c>
      <c r="D13" s="5" t="str">
        <f>IFERROR(__xludf.DUMMYFUNCTION("""COMPUTED_VALUE"""),"StarRiver Arts")</f>
        <v>StarRiver Arts</v>
      </c>
      <c r="E13" s="5">
        <f>IFERROR(__xludf.DUMMYFUNCTION("""COMPUTED_VALUE"""),0.002464525462962963)</f>
        <v>0.002464525463</v>
      </c>
      <c r="F13" s="5" t="str">
        <f>IFERROR(__xludf.DUMMYFUNCTION("""COMPUTED_VALUE"""),"EVOVII/CT9A")</f>
        <v>EVOVII/CT9A</v>
      </c>
      <c r="G13" s="5" t="str">
        <f>IFERROR(__xludf.DUMMYFUNCTION("""COMPUTED_VALUE"""),"PC")</f>
        <v>PC</v>
      </c>
      <c r="H13" s="5" t="str">
        <f>IFERROR(__xludf.DUMMYFUNCTION("""COMPUTED_VALUE"""),"Sacc")</f>
        <v>Sacc</v>
      </c>
      <c r="I13" s="5" t="str">
        <f>IFERROR(__xludf.DUMMYFUNCTION("""COMPUTED_VALUE"""),"Momiji")</f>
        <v>Momiji</v>
      </c>
      <c r="J13" s="5" t="str">
        <f>IFERROR(__xludf.DUMMYFUNCTION("""COMPUTED_VALUE"""),"UH")</f>
        <v>UH</v>
      </c>
      <c r="K13" s="5" t="str">
        <f>IFERROR(__xludf.DUMMYFUNCTION("""COMPUTED_VALUE"""),"Jintei")</f>
        <v>Jintei</v>
      </c>
      <c r="L13" s="5" t="str">
        <f>IFERROR(__xludf.DUMMYFUNCTION("""COMPUTED_VALUE"""),"LinWu_05")</f>
        <v>LinWu_05</v>
      </c>
      <c r="M13" s="5">
        <f>IFERROR(__xludf.DUMMYFUNCTION("""COMPUTED_VALUE"""),0.002460648148148148)</f>
        <v>0.002460648148</v>
      </c>
      <c r="N13" s="5" t="str">
        <f>IFERROR(__xludf.DUMMYFUNCTION("""COMPUTED_VALUE"""),"NA6CE (Mx5 Roadster)")</f>
        <v>NA6CE (Mx5 Roadster)</v>
      </c>
      <c r="O13" s="5" t="str">
        <f>IFERROR(__xludf.DUMMYFUNCTION("""COMPUTED_VALUE"""),"PC")</f>
        <v>PC</v>
      </c>
      <c r="P13" s="5" t="str">
        <f>IFERROR(__xludf.DUMMYFUNCTION("""COMPUTED_VALUE"""),"Sacc")</f>
        <v>Sacc</v>
      </c>
      <c r="Q13" s="5" t="str">
        <f>IFERROR(__xludf.DUMMYFUNCTION("""COMPUTED_VALUE"""),"Tsukuba")</f>
        <v>Tsukuba</v>
      </c>
      <c r="R13" s="5" t="str">
        <f>IFERROR(__xludf.DUMMYFUNCTION("""COMPUTED_VALUE"""),"DH")</f>
        <v>DH</v>
      </c>
      <c r="S13" s="5" t="str">
        <f>IFERROR(__xludf.DUMMYFUNCTION("""COMPUTED_VALUE"""),"Jintei")</f>
        <v>Jintei</v>
      </c>
      <c r="T13" s="5" t="str">
        <f>IFERROR(__xludf.DUMMYFUNCTION("""COMPUTED_VALUE"""),"ikuhopen")</f>
        <v>ikuhopen</v>
      </c>
      <c r="U13" s="5">
        <f>IFERROR(__xludf.DUMMYFUNCTION("""COMPUTED_VALUE"""),0.0011571759259259259)</f>
        <v>0.001157175926</v>
      </c>
      <c r="V13" s="5" t="str">
        <f>IFERROR(__xludf.DUMMYFUNCTION("""COMPUTED_VALUE"""),"EK9 (Civic Type-R)")</f>
        <v>EK9 (Civic Type-R)</v>
      </c>
      <c r="W13" s="5" t="str">
        <f>IFERROR(__xludf.DUMMYFUNCTION("""COMPUTED_VALUE"""),"PCVR")</f>
        <v>PCVR</v>
      </c>
      <c r="X13" s="5" t="str">
        <f>IFERROR(__xludf.DUMMYFUNCTION("""COMPUTED_VALUE"""),"Sacc")</f>
        <v>Sacc</v>
      </c>
      <c r="Y13" s="5" t="str">
        <f>IFERROR(__xludf.DUMMYFUNCTION("""COMPUTED_VALUE"""),"Sadamine")</f>
        <v>Sadamine</v>
      </c>
      <c r="Z13" s="5" t="str">
        <f>IFERROR(__xludf.DUMMYFUNCTION("""COMPUTED_VALUE"""),"FCDH")</f>
        <v>FCDH</v>
      </c>
      <c r="AA13" s="5" t="str">
        <f>IFERROR(__xludf.DUMMYFUNCTION("""COMPUTED_VALUE"""),"Jintei")</f>
        <v>Jintei</v>
      </c>
      <c r="AB13" s="5" t="str">
        <f>IFERROR(__xludf.DUMMYFUNCTION("""COMPUTED_VALUE"""),"Kinokono_Tenka")</f>
        <v>Kinokono_Tenka</v>
      </c>
      <c r="AC13" s="5">
        <f>IFERROR(__xludf.DUMMYFUNCTION("""COMPUTED_VALUE"""),0.0025498263888888892)</f>
        <v>0.002549826389</v>
      </c>
      <c r="AD13" s="5" t="str">
        <f>IFERROR(__xludf.DUMMYFUNCTION("""COMPUTED_VALUE"""),"EG6 (civic)")</f>
        <v>EG6 (civic)</v>
      </c>
      <c r="AE13" s="5" t="str">
        <f>IFERROR(__xludf.DUMMYFUNCTION("""COMPUTED_VALUE"""),"PCVR")</f>
        <v>PCVR</v>
      </c>
      <c r="AF13" s="5" t="str">
        <f>IFERROR(__xludf.DUMMYFUNCTION("""COMPUTED_VALUE"""),"Sacc")</f>
        <v>Sacc</v>
      </c>
      <c r="AG13" s="5" t="str">
        <f>IFERROR(__xludf.DUMMYFUNCTION("""COMPUTED_VALUE"""),"Tsukuba")</f>
        <v>Tsukuba</v>
      </c>
      <c r="AH13" s="5" t="str">
        <f>IFERROR(__xludf.DUMMYFUNCTION("""COMPUTED_VALUE"""),"DH")</f>
        <v>DH</v>
      </c>
      <c r="AI13" s="5" t="str">
        <f>IFERROR(__xludf.DUMMYFUNCTION("""COMPUTED_VALUE"""),"Jintei")</f>
        <v>Jintei</v>
      </c>
      <c r="AJ13" s="5" t="str">
        <f>IFERROR(__xludf.DUMMYFUNCTION("""COMPUTED_VALUE"""),"Lolidia")</f>
        <v>Lolidia</v>
      </c>
      <c r="AK13" s="5">
        <f>IFERROR(__xludf.DUMMYFUNCTION("""COMPUTED_VALUE"""),0.0011308796296296297)</f>
        <v>0.00113087963</v>
      </c>
      <c r="AL13" s="5" t="str">
        <f>IFERROR(__xludf.DUMMYFUNCTION("""COMPUTED_VALUE"""),"AE86T")</f>
        <v>AE86T</v>
      </c>
      <c r="AM13" s="5" t="str">
        <f>IFERROR(__xludf.DUMMYFUNCTION("""COMPUTED_VALUE"""),"PCVR")</f>
        <v>PCVR</v>
      </c>
      <c r="AN13" s="5" t="str">
        <f>IFERROR(__xludf.DUMMYFUNCTION("""COMPUTED_VALUE"""),"Sacc")</f>
        <v>Sacc</v>
      </c>
      <c r="AO13" s="5"/>
      <c r="AP13" s="5"/>
      <c r="AQ13" s="5"/>
      <c r="AR13" s="5"/>
      <c r="AS13" s="5"/>
      <c r="AT13" s="5"/>
      <c r="AU13" s="5"/>
      <c r="AV13" s="5"/>
      <c r="AW13" s="5"/>
      <c r="AX13" s="5"/>
      <c r="AY13" s="5"/>
    </row>
    <row r="14">
      <c r="A14" s="5" t="str">
        <f>IFERROR(__xludf.DUMMYFUNCTION("""COMPUTED_VALUE"""),"Myogi(CC)")</f>
        <v>Myogi(CC)</v>
      </c>
      <c r="B14" s="5" t="str">
        <f>IFERROR(__xludf.DUMMYFUNCTION("""COMPUTED_VALUE"""),"CW")</f>
        <v>CW</v>
      </c>
      <c r="C14" s="5" t="str">
        <f>IFERROR(__xludf.DUMMYFUNCTION("""COMPUTED_VALUE"""),"Jintei")</f>
        <v>Jintei</v>
      </c>
      <c r="D14" s="5" t="str">
        <f>IFERROR(__xludf.DUMMYFUNCTION("""COMPUTED_VALUE"""),"StarRiver Arts")</f>
        <v>StarRiver Arts</v>
      </c>
      <c r="E14" s="5">
        <f>IFERROR(__xludf.DUMMYFUNCTION("""COMPUTED_VALUE"""),0.0022710300925925927)</f>
        <v>0.002271030093</v>
      </c>
      <c r="F14" s="5" t="str">
        <f>IFERROR(__xludf.DUMMYFUNCTION("""COMPUTED_VALUE"""),"S13")</f>
        <v>S13</v>
      </c>
      <c r="G14" s="5" t="str">
        <f>IFERROR(__xludf.DUMMYFUNCTION("""COMPUTED_VALUE"""),"PC")</f>
        <v>PC</v>
      </c>
      <c r="H14" s="5" t="str">
        <f>IFERROR(__xludf.DUMMYFUNCTION("""COMPUTED_VALUE"""),"Sacc")</f>
        <v>Sacc</v>
      </c>
      <c r="I14" s="5" t="str">
        <f>IFERROR(__xludf.DUMMYFUNCTION("""COMPUTED_VALUE"""),"Mt.Talkan")</f>
        <v>Mt.Talkan</v>
      </c>
      <c r="J14" s="5" t="str">
        <f>IFERROR(__xludf.DUMMYFUNCTION("""COMPUTED_VALUE"""),"UH")</f>
        <v>UH</v>
      </c>
      <c r="K14" s="5" t="str">
        <f>IFERROR(__xludf.DUMMYFUNCTION("""COMPUTED_VALUE"""),"Jintei")</f>
        <v>Jintei</v>
      </c>
      <c r="L14" s="5" t="str">
        <f>IFERROR(__xludf.DUMMYFUNCTION("""COMPUTED_VALUE"""),"LinWu_05")</f>
        <v>LinWu_05</v>
      </c>
      <c r="M14" s="5">
        <f>IFERROR(__xludf.DUMMYFUNCTION("""COMPUTED_VALUE"""),0.002331412037037037)</f>
        <v>0.002331412037</v>
      </c>
      <c r="N14" s="5" t="str">
        <f>IFERROR(__xludf.DUMMYFUNCTION("""COMPUTED_VALUE"""),"BMW M1")</f>
        <v>BMW M1</v>
      </c>
      <c r="O14" s="5" t="str">
        <f>IFERROR(__xludf.DUMMYFUNCTION("""COMPUTED_VALUE"""),"PC")</f>
        <v>PC</v>
      </c>
      <c r="P14" s="5" t="str">
        <f>IFERROR(__xludf.DUMMYFUNCTION("""COMPUTED_VALUE"""),"Sacc")</f>
        <v>Sacc</v>
      </c>
      <c r="Q14" s="5" t="str">
        <f>IFERROR(__xludf.DUMMYFUNCTION("""COMPUTED_VALUE"""),"Irohazaka")</f>
        <v>Irohazaka</v>
      </c>
      <c r="R14" s="5" t="str">
        <f>IFERROR(__xludf.DUMMYFUNCTION("""COMPUTED_VALUE"""),"DH")</f>
        <v>DH</v>
      </c>
      <c r="S14" s="5" t="str">
        <f>IFERROR(__xludf.DUMMYFUNCTION("""COMPUTED_VALUE"""),"Jintei ")</f>
        <v>Jintei </v>
      </c>
      <c r="T14" s="5" t="str">
        <f>IFERROR(__xludf.DUMMYFUNCTION("""COMPUTED_VALUE"""),"ikuhopen")</f>
        <v>ikuhopen</v>
      </c>
      <c r="U14" s="5">
        <f>IFERROR(__xludf.DUMMYFUNCTION("""COMPUTED_VALUE"""),0.0026202199074074075)</f>
        <v>0.002620219907</v>
      </c>
      <c r="V14" s="5" t="str">
        <f>IFERROR(__xludf.DUMMYFUNCTION("""COMPUTED_VALUE"""),"AE86T")</f>
        <v>AE86T</v>
      </c>
      <c r="W14" s="5" t="str">
        <f>IFERROR(__xludf.DUMMYFUNCTION("""COMPUTED_VALUE"""),"PCVR")</f>
        <v>PCVR</v>
      </c>
      <c r="X14" s="5" t="str">
        <f>IFERROR(__xludf.DUMMYFUNCTION("""COMPUTED_VALUE"""),"Sacc")</f>
        <v>Sacc</v>
      </c>
      <c r="Y14" s="5" t="str">
        <f>IFERROR(__xludf.DUMMYFUNCTION("""COMPUTED_VALUE"""),"Sadamine")</f>
        <v>Sadamine</v>
      </c>
      <c r="Z14" s="5" t="str">
        <f>IFERROR(__xludf.DUMMYFUNCTION("""COMPUTED_VALUE"""),"FCUH")</f>
        <v>FCUH</v>
      </c>
      <c r="AA14" s="5" t="str">
        <f>IFERROR(__xludf.DUMMYFUNCTION("""COMPUTED_VALUE"""),"Jintei")</f>
        <v>Jintei</v>
      </c>
      <c r="AB14" s="5" t="str">
        <f>IFERROR(__xludf.DUMMYFUNCTION("""COMPUTED_VALUE"""),"Kinokono_Tenka")</f>
        <v>Kinokono_Tenka</v>
      </c>
      <c r="AC14" s="5">
        <f>IFERROR(__xludf.DUMMYFUNCTION("""COMPUTED_VALUE"""),0.003041087962962963)</f>
        <v>0.003041087963</v>
      </c>
      <c r="AD14" s="5" t="str">
        <f>IFERROR(__xludf.DUMMYFUNCTION("""COMPUTED_VALUE"""),"EG6 (civic)")</f>
        <v>EG6 (civic)</v>
      </c>
      <c r="AE14" s="5" t="str">
        <f>IFERROR(__xludf.DUMMYFUNCTION("""COMPUTED_VALUE"""),"PCVR")</f>
        <v>PCVR</v>
      </c>
      <c r="AF14" s="5" t="str">
        <f>IFERROR(__xludf.DUMMYFUNCTION("""COMPUTED_VALUE"""),"Sacc")</f>
        <v>Sacc</v>
      </c>
      <c r="AG14" s="5" t="str">
        <f>IFERROR(__xludf.DUMMYFUNCTION("""COMPUTED_VALUE"""),"Tsukuba")</f>
        <v>Tsukuba</v>
      </c>
      <c r="AH14" s="5" t="str">
        <f>IFERROR(__xludf.DUMMYFUNCTION("""COMPUTED_VALUE"""),"UH")</f>
        <v>UH</v>
      </c>
      <c r="AI14" s="5" t="str">
        <f>IFERROR(__xludf.DUMMYFUNCTION("""COMPUTED_VALUE"""),"Jintei")</f>
        <v>Jintei</v>
      </c>
      <c r="AJ14" s="5" t="str">
        <f>IFERROR(__xludf.DUMMYFUNCTION("""COMPUTED_VALUE"""),"Lolidia")</f>
        <v>Lolidia</v>
      </c>
      <c r="AK14" s="5">
        <f>IFERROR(__xludf.DUMMYFUNCTION("""COMPUTED_VALUE"""),0.0012160532407407406)</f>
        <v>0.001216053241</v>
      </c>
      <c r="AL14" s="5" t="str">
        <f>IFERROR(__xludf.DUMMYFUNCTION("""COMPUTED_VALUE"""),"EK9 (Civic Type-R)")</f>
        <v>EK9 (Civic Type-R)</v>
      </c>
      <c r="AM14" s="5" t="str">
        <f>IFERROR(__xludf.DUMMYFUNCTION("""COMPUTED_VALUE"""),"PCVR")</f>
        <v>PCVR</v>
      </c>
      <c r="AN14" s="5" t="str">
        <f>IFERROR(__xludf.DUMMYFUNCTION("""COMPUTED_VALUE"""),"Sacc")</f>
        <v>Sacc</v>
      </c>
      <c r="AO14" s="5"/>
      <c r="AP14" s="5"/>
      <c r="AQ14" s="5"/>
      <c r="AR14" s="5"/>
      <c r="AS14" s="5"/>
      <c r="AT14" s="5"/>
      <c r="AU14" s="5"/>
      <c r="AV14" s="5"/>
      <c r="AW14" s="5"/>
      <c r="AX14" s="5"/>
      <c r="AY14" s="5"/>
    </row>
    <row r="15">
      <c r="A15" s="5" t="str">
        <f>IFERROR(__xludf.DUMMYFUNCTION("""COMPUTED_VALUE"""),"Myogi(CC)")</f>
        <v>Myogi(CC)</v>
      </c>
      <c r="B15" s="5" t="str">
        <f>IFERROR(__xludf.DUMMYFUNCTION("""COMPUTED_VALUE"""),"CC")</f>
        <v>CC</v>
      </c>
      <c r="C15" s="5" t="str">
        <f>IFERROR(__xludf.DUMMYFUNCTION("""COMPUTED_VALUE"""),"Jintei")</f>
        <v>Jintei</v>
      </c>
      <c r="D15" s="5" t="str">
        <f>IFERROR(__xludf.DUMMYFUNCTION("""COMPUTED_VALUE"""),"StarRiver Arts")</f>
        <v>StarRiver Arts</v>
      </c>
      <c r="E15" s="5">
        <f>IFERROR(__xludf.DUMMYFUNCTION("""COMPUTED_VALUE"""),0.0023960300925925924)</f>
        <v>0.002396030093</v>
      </c>
      <c r="F15" s="5" t="str">
        <f>IFERROR(__xludf.DUMMYFUNCTION("""COMPUTED_VALUE"""),"BNR32")</f>
        <v>BNR32</v>
      </c>
      <c r="G15" s="5" t="str">
        <f>IFERROR(__xludf.DUMMYFUNCTION("""COMPUTED_VALUE"""),"PC")</f>
        <v>PC</v>
      </c>
      <c r="H15" s="5" t="str">
        <f>IFERROR(__xludf.DUMMYFUNCTION("""COMPUTED_VALUE"""),"Sacc")</f>
        <v>Sacc</v>
      </c>
      <c r="I15" s="5" t="str">
        <f>IFERROR(__xludf.DUMMYFUNCTION("""COMPUTED_VALUE"""),"Mt.Talkan")</f>
        <v>Mt.Talkan</v>
      </c>
      <c r="J15" s="5" t="str">
        <f>IFERROR(__xludf.DUMMYFUNCTION("""COMPUTED_VALUE"""),"DH")</f>
        <v>DH</v>
      </c>
      <c r="K15" s="5" t="str">
        <f>IFERROR(__xludf.DUMMYFUNCTION("""COMPUTED_VALUE"""),"Jintei")</f>
        <v>Jintei</v>
      </c>
      <c r="L15" s="5" t="str">
        <f>IFERROR(__xludf.DUMMYFUNCTION("""COMPUTED_VALUE"""),"LinWu_05")</f>
        <v>LinWu_05</v>
      </c>
      <c r="M15" s="5">
        <f>IFERROR(__xludf.DUMMYFUNCTION("""COMPUTED_VALUE"""),0.0025902777777777777)</f>
        <v>0.002590277778</v>
      </c>
      <c r="N15" s="5" t="str">
        <f>IFERROR(__xludf.DUMMYFUNCTION("""COMPUTED_VALUE"""),"BMW M1")</f>
        <v>BMW M1</v>
      </c>
      <c r="O15" s="5" t="str">
        <f>IFERROR(__xludf.DUMMYFUNCTION("""COMPUTED_VALUE"""),"PC")</f>
        <v>PC</v>
      </c>
      <c r="P15" s="5" t="str">
        <f>IFERROR(__xludf.DUMMYFUNCTION("""COMPUTED_VALUE"""),"Sacc")</f>
        <v>Sacc</v>
      </c>
      <c r="Q15" s="5"/>
      <c r="R15" s="5"/>
      <c r="S15" s="5"/>
      <c r="T15" s="5"/>
      <c r="U15" s="5"/>
      <c r="V15" s="5"/>
      <c r="W15" s="5"/>
      <c r="X15" s="5"/>
      <c r="Y15" s="5" t="str">
        <f>IFERROR(__xludf.DUMMYFUNCTION("""COMPUTED_VALUE"""),"Sadamine")</f>
        <v>Sadamine</v>
      </c>
      <c r="Z15" s="5" t="str">
        <f>IFERROR(__xludf.DUMMYFUNCTION("""COMPUTED_VALUE"""),"OCDH")</f>
        <v>OCDH</v>
      </c>
      <c r="AA15" s="5" t="str">
        <f>IFERROR(__xludf.DUMMYFUNCTION("""COMPUTED_VALUE"""),"Jintei")</f>
        <v>Jintei</v>
      </c>
      <c r="AB15" s="5" t="str">
        <f>IFERROR(__xludf.DUMMYFUNCTION("""COMPUTED_VALUE"""),"Kinokono_Tenka")</f>
        <v>Kinokono_Tenka</v>
      </c>
      <c r="AC15" s="5">
        <f>IFERROR(__xludf.DUMMYFUNCTION("""COMPUTED_VALUE"""),0.0018724189814814812)</f>
        <v>0.001872418981</v>
      </c>
      <c r="AD15" s="5" t="str">
        <f>IFERROR(__xludf.DUMMYFUNCTION("""COMPUTED_VALUE"""),"EG6 (civic)")</f>
        <v>EG6 (civic)</v>
      </c>
      <c r="AE15" s="5" t="str">
        <f>IFERROR(__xludf.DUMMYFUNCTION("""COMPUTED_VALUE"""),"PCVR")</f>
        <v>PCVR</v>
      </c>
      <c r="AF15" s="5" t="str">
        <f>IFERROR(__xludf.DUMMYFUNCTION("""COMPUTED_VALUE"""),"Sacc")</f>
        <v>Sacc</v>
      </c>
      <c r="AG15" s="5" t="str">
        <f>IFERROR(__xludf.DUMMYFUNCTION("""COMPUTED_VALUE"""),"Odawara")</f>
        <v>Odawara</v>
      </c>
      <c r="AH15" s="5" t="str">
        <f>IFERROR(__xludf.DUMMYFUNCTION("""COMPUTED_VALUE"""),"CW")</f>
        <v>CW</v>
      </c>
      <c r="AI15" s="5" t="str">
        <f>IFERROR(__xludf.DUMMYFUNCTION("""COMPUTED_VALUE"""),"Jintei")</f>
        <v>Jintei</v>
      </c>
      <c r="AJ15" s="5" t="str">
        <f>IFERROR(__xludf.DUMMYFUNCTION("""COMPUTED_VALUE"""),"Lolidia")</f>
        <v>Lolidia</v>
      </c>
      <c r="AK15" s="5">
        <f>IFERROR(__xludf.DUMMYFUNCTION("""COMPUTED_VALUE"""),0.0026103472222222222)</f>
        <v>0.002610347222</v>
      </c>
      <c r="AL15" s="5" t="str">
        <f>IFERROR(__xludf.DUMMYFUNCTION("""COMPUTED_VALUE"""),"991(911 GT3)")</f>
        <v>991(911 GT3)</v>
      </c>
      <c r="AM15" s="5" t="str">
        <f>IFERROR(__xludf.DUMMYFUNCTION("""COMPUTED_VALUE"""),"PCVR")</f>
        <v>PCVR</v>
      </c>
      <c r="AN15" s="5" t="str">
        <f>IFERROR(__xludf.DUMMYFUNCTION("""COMPUTED_VALUE"""),"Sacc")</f>
        <v>Sacc</v>
      </c>
      <c r="AO15" s="5"/>
      <c r="AP15" s="5"/>
      <c r="AQ15" s="5"/>
      <c r="AR15" s="5"/>
      <c r="AS15" s="5"/>
      <c r="AT15" s="5"/>
      <c r="AU15" s="5"/>
      <c r="AV15" s="5"/>
      <c r="AW15" s="5"/>
      <c r="AX15" s="5"/>
      <c r="AY15" s="5"/>
    </row>
    <row r="16">
      <c r="A16" s="5" t="str">
        <f>IFERROR(__xludf.DUMMYFUNCTION("""COMPUTED_VALUE"""),"Nagao")</f>
        <v>Nagao</v>
      </c>
      <c r="B16" s="5" t="str">
        <f>IFERROR(__xludf.DUMMYFUNCTION("""COMPUTED_VALUE"""),"DH")</f>
        <v>DH</v>
      </c>
      <c r="C16" s="5" t="str">
        <f>IFERROR(__xludf.DUMMYFUNCTION("""COMPUTED_VALUE"""),"FoxBG")</f>
        <v>FoxBG</v>
      </c>
      <c r="D16" s="5" t="str">
        <f>IFERROR(__xludf.DUMMYFUNCTION("""COMPUTED_VALUE"""),"StarRiver Arts")</f>
        <v>StarRiver Arts</v>
      </c>
      <c r="E16" s="5">
        <f>IFERROR(__xludf.DUMMYFUNCTION("""COMPUTED_VALUE"""),0.0034108796296296296)</f>
        <v>0.00341087963</v>
      </c>
      <c r="F16" s="5" t="str">
        <f>IFERROR(__xludf.DUMMYFUNCTION("""COMPUTED_VALUE"""),"Karin 96")</f>
        <v>Karin 96</v>
      </c>
      <c r="G16" s="5" t="str">
        <f>IFERROR(__xludf.DUMMYFUNCTION("""COMPUTED_VALUE"""),"PC")</f>
        <v>PC</v>
      </c>
      <c r="H16" s="5" t="str">
        <f>IFERROR(__xludf.DUMMYFUNCTION("""COMPUTED_VALUE"""),"CVS")</f>
        <v>CVS</v>
      </c>
      <c r="I16" s="5" t="str">
        <f>IFERROR(__xludf.DUMMYFUNCTION("""COMPUTED_VALUE"""),"Myogi (ASV)")</f>
        <v>Myogi (ASV)</v>
      </c>
      <c r="J16" s="5" t="str">
        <f>IFERROR(__xludf.DUMMYFUNCTION("""COMPUTED_VALUE"""),"DH")</f>
        <v>DH</v>
      </c>
      <c r="K16" s="5" t="str">
        <f>IFERROR(__xludf.DUMMYFUNCTION("""COMPUTED_VALUE"""),"Jintei ")</f>
        <v>Jintei </v>
      </c>
      <c r="L16" s="5" t="str">
        <f>IFERROR(__xludf.DUMMYFUNCTION("""COMPUTED_VALUE"""),"LinWu_05")</f>
        <v>LinWu_05</v>
      </c>
      <c r="M16" s="5">
        <f>IFERROR(__xludf.DUMMYFUNCTION("""COMPUTED_VALUE"""),0.002327349537037037)</f>
        <v>0.002327349537</v>
      </c>
      <c r="N16" s="5" t="str">
        <f>IFERROR(__xludf.DUMMYFUNCTION("""COMPUTED_VALUE"""),"BNR32")</f>
        <v>BNR32</v>
      </c>
      <c r="O16" s="5" t="str">
        <f>IFERROR(__xludf.DUMMYFUNCTION("""COMPUTED_VALUE"""),"PC")</f>
        <v>PC</v>
      </c>
      <c r="P16" s="5" t="str">
        <f>IFERROR(__xludf.DUMMYFUNCTION("""COMPUTED_VALUE"""),"Sacc")</f>
        <v>Sacc</v>
      </c>
      <c r="Q16" s="5"/>
      <c r="R16" s="5"/>
      <c r="S16" s="5"/>
      <c r="T16" s="5"/>
      <c r="U16" s="5"/>
      <c r="V16" s="5"/>
      <c r="W16" s="5"/>
      <c r="X16" s="5"/>
      <c r="Y16" s="5" t="str">
        <f>IFERROR(__xludf.DUMMYFUNCTION("""COMPUTED_VALUE"""),"Tsubaki")</f>
        <v>Tsubaki</v>
      </c>
      <c r="Z16" s="5" t="str">
        <f>IFERROR(__xludf.DUMMYFUNCTION("""COMPUTED_VALUE"""),"DH")</f>
        <v>DH</v>
      </c>
      <c r="AA16" s="5" t="str">
        <f>IFERROR(__xludf.DUMMYFUNCTION("""COMPUTED_VALUE"""),"Jintei ")</f>
        <v>Jintei </v>
      </c>
      <c r="AB16" s="5" t="str">
        <f>IFERROR(__xludf.DUMMYFUNCTION("""COMPUTED_VALUE"""),"Kinokono_Tenka")</f>
        <v>Kinokono_Tenka</v>
      </c>
      <c r="AC16" s="5">
        <f>IFERROR(__xludf.DUMMYFUNCTION("""COMPUTED_VALUE"""),0.002700451388888889)</f>
        <v>0.002700451389</v>
      </c>
      <c r="AD16" s="5" t="str">
        <f>IFERROR(__xludf.DUMMYFUNCTION("""COMPUTED_VALUE"""),"R35N3")</f>
        <v>R35N3</v>
      </c>
      <c r="AE16" s="5" t="str">
        <f>IFERROR(__xludf.DUMMYFUNCTION("""COMPUTED_VALUE"""),"PCVR")</f>
        <v>PCVR</v>
      </c>
      <c r="AF16" s="5" t="str">
        <f>IFERROR(__xludf.DUMMYFUNCTION("""COMPUTED_VALUE"""),"Sacc")</f>
        <v>Sacc</v>
      </c>
      <c r="AG16" s="5" t="str">
        <f>IFERROR(__xludf.DUMMYFUNCTION("""COMPUTED_VALUE"""),"Akina")</f>
        <v>Akina</v>
      </c>
      <c r="AH16" s="5" t="str">
        <f>IFERROR(__xludf.DUMMYFUNCTION("""COMPUTED_VALUE"""),"UH")</f>
        <v>UH</v>
      </c>
      <c r="AI16" s="5" t="str">
        <f>IFERROR(__xludf.DUMMYFUNCTION("""COMPUTED_VALUE"""),"Jintei")</f>
        <v>Jintei</v>
      </c>
      <c r="AJ16" s="5" t="str">
        <f>IFERROR(__xludf.DUMMYFUNCTION("""COMPUTED_VALUE"""),"Lolidia")</f>
        <v>Lolidia</v>
      </c>
      <c r="AK16" s="5">
        <f>IFERROR(__xludf.DUMMYFUNCTION("""COMPUTED_VALUE"""),0.002610914351851852)</f>
        <v>0.002610914352</v>
      </c>
      <c r="AL16" s="5" t="str">
        <f>IFERROR(__xludf.DUMMYFUNCTION("""COMPUTED_VALUE"""),"AE86T-V2")</f>
        <v>AE86T-V2</v>
      </c>
      <c r="AM16" s="5" t="str">
        <f>IFERROR(__xludf.DUMMYFUNCTION("""COMPUTED_VALUE"""),"PCVR")</f>
        <v>PCVR</v>
      </c>
      <c r="AN16" s="5" t="str">
        <f>IFERROR(__xludf.DUMMYFUNCTION("""COMPUTED_VALUE"""),"Sacc")</f>
        <v>Sacc</v>
      </c>
      <c r="AO16" s="5"/>
      <c r="AP16" s="5"/>
      <c r="AQ16" s="5"/>
      <c r="AR16" s="5"/>
      <c r="AS16" s="5"/>
      <c r="AT16" s="5"/>
      <c r="AU16" s="5"/>
      <c r="AV16" s="5"/>
      <c r="AW16" s="5"/>
      <c r="AX16" s="5"/>
      <c r="AY16" s="5"/>
    </row>
    <row r="17">
      <c r="A17" s="5" t="str">
        <f>IFERROR(__xludf.DUMMYFUNCTION("""COMPUTED_VALUE"""),"Nanamagari")</f>
        <v>Nanamagari</v>
      </c>
      <c r="B17" s="5" t="str">
        <f>IFERROR(__xludf.DUMMYFUNCTION("""COMPUTED_VALUE"""),"DH")</f>
        <v>DH</v>
      </c>
      <c r="C17" s="5" t="str">
        <f>IFERROR(__xludf.DUMMYFUNCTION("""COMPUTED_VALUE"""),"Jintei ")</f>
        <v>Jintei </v>
      </c>
      <c r="D17" s="5" t="str">
        <f>IFERROR(__xludf.DUMMYFUNCTION("""COMPUTED_VALUE"""),"StarRiver Arts")</f>
        <v>StarRiver Arts</v>
      </c>
      <c r="E17" s="5">
        <f>IFERROR(__xludf.DUMMYFUNCTION("""COMPUTED_VALUE"""),0.002403553240740741)</f>
        <v>0.002403553241</v>
      </c>
      <c r="F17" s="5" t="str">
        <f>IFERROR(__xludf.DUMMYFUNCTION("""COMPUTED_VALUE"""),"EK9C (Civic Type-R)")</f>
        <v>EK9C (Civic Type-R)</v>
      </c>
      <c r="G17" s="5" t="str">
        <f>IFERROR(__xludf.DUMMYFUNCTION("""COMPUTED_VALUE"""),"PC")</f>
        <v>PC</v>
      </c>
      <c r="H17" s="5" t="str">
        <f>IFERROR(__xludf.DUMMYFUNCTION("""COMPUTED_VALUE"""),"Sacc")</f>
        <v>Sacc</v>
      </c>
      <c r="I17" s="5" t="str">
        <f>IFERROR(__xludf.DUMMYFUNCTION("""COMPUTED_VALUE"""),"Myogi (ASV)")</f>
        <v>Myogi (ASV)</v>
      </c>
      <c r="J17" s="5" t="str">
        <f>IFERROR(__xludf.DUMMYFUNCTION("""COMPUTED_VALUE"""),"UH")</f>
        <v>UH</v>
      </c>
      <c r="K17" s="5" t="str">
        <f>IFERROR(__xludf.DUMMYFUNCTION("""COMPUTED_VALUE"""),"Jintei")</f>
        <v>Jintei</v>
      </c>
      <c r="L17" s="5" t="str">
        <f>IFERROR(__xludf.DUMMYFUNCTION("""COMPUTED_VALUE"""),"LinWu_05")</f>
        <v>LinWu_05</v>
      </c>
      <c r="M17" s="5">
        <f>IFERROR(__xludf.DUMMYFUNCTION("""COMPUTED_VALUE"""),0.0024857407407407406)</f>
        <v>0.002485740741</v>
      </c>
      <c r="N17" s="5" t="str">
        <f>IFERROR(__xludf.DUMMYFUNCTION("""COMPUTED_VALUE"""),"380SX")</f>
        <v>380SX</v>
      </c>
      <c r="O17" s="5" t="str">
        <f>IFERROR(__xludf.DUMMYFUNCTION("""COMPUTED_VALUE"""),"PC")</f>
        <v>PC</v>
      </c>
      <c r="P17" s="5" t="str">
        <f>IFERROR(__xludf.DUMMYFUNCTION("""COMPUTED_VALUE"""),"Sacc")</f>
        <v>Sacc</v>
      </c>
      <c r="Q17" s="5"/>
      <c r="R17" s="5"/>
      <c r="S17" s="5"/>
      <c r="T17" s="5"/>
      <c r="U17" s="5"/>
      <c r="V17" s="5"/>
      <c r="W17" s="5"/>
      <c r="X17" s="5"/>
      <c r="Y17" s="5" t="str">
        <f>IFERROR(__xludf.DUMMYFUNCTION("""COMPUTED_VALUE"""),"StarSight")</f>
        <v>StarSight</v>
      </c>
      <c r="Z17" s="5" t="str">
        <f>IFERROR(__xludf.DUMMYFUNCTION("""COMPUTED_VALUE"""),"DH")</f>
        <v>DH</v>
      </c>
      <c r="AA17" s="5" t="str">
        <f>IFERROR(__xludf.DUMMYFUNCTION("""COMPUTED_VALUE"""),"StarRiver Arts")</f>
        <v>StarRiver Arts</v>
      </c>
      <c r="AB17" s="5" t="str">
        <f>IFERROR(__xludf.DUMMYFUNCTION("""COMPUTED_VALUE"""),"Kinokono_Tenka")</f>
        <v>Kinokono_Tenka</v>
      </c>
      <c r="AC17" s="5">
        <f>IFERROR(__xludf.DUMMYFUNCTION("""COMPUTED_VALUE"""),0.0012289814814814815)</f>
        <v>0.001228981481</v>
      </c>
      <c r="AD17" s="5" t="str">
        <f>IFERROR(__xludf.DUMMYFUNCTION("""COMPUTED_VALUE"""),"LapinTuned")</f>
        <v>LapinTuned</v>
      </c>
      <c r="AE17" s="5" t="str">
        <f>IFERROR(__xludf.DUMMYFUNCTION("""COMPUTED_VALUE"""),"PCVR")</f>
        <v>PCVR</v>
      </c>
      <c r="AF17" s="5" t="str">
        <f>IFERROR(__xludf.DUMMYFUNCTION("""COMPUTED_VALUE"""),"CVS")</f>
        <v>CVS</v>
      </c>
      <c r="AG17" s="5" t="str">
        <f>IFERROR(__xludf.DUMMYFUNCTION("""COMPUTED_VALUE"""),"Tsukuba")</f>
        <v>Tsukuba</v>
      </c>
      <c r="AH17" s="5" t="str">
        <f>IFERROR(__xludf.DUMMYFUNCTION("""COMPUTED_VALUE"""),"IB")</f>
        <v>IB</v>
      </c>
      <c r="AI17" s="5" t="str">
        <f>IFERROR(__xludf.DUMMYFUNCTION("""COMPUTED_VALUE"""),"Jintei")</f>
        <v>Jintei</v>
      </c>
      <c r="AJ17" s="5" t="str">
        <f>IFERROR(__xludf.DUMMYFUNCTION("""COMPUTED_VALUE"""),"Lolidia")</f>
        <v>Lolidia</v>
      </c>
      <c r="AK17" s="5">
        <f>IFERROR(__xludf.DUMMYFUNCTION("""COMPUTED_VALUE"""),0.002311759259259259)</f>
        <v>0.002311759259</v>
      </c>
      <c r="AL17" s="5" t="str">
        <f>IFERROR(__xludf.DUMMYFUNCTION("""COMPUTED_VALUE"""),"AE86T")</f>
        <v>AE86T</v>
      </c>
      <c r="AM17" s="5" t="str">
        <f>IFERROR(__xludf.DUMMYFUNCTION("""COMPUTED_VALUE"""),"PCVR")</f>
        <v>PCVR</v>
      </c>
      <c r="AN17" s="5" t="str">
        <f>IFERROR(__xludf.DUMMYFUNCTION("""COMPUTED_VALUE"""),"Sacc")</f>
        <v>Sacc</v>
      </c>
      <c r="AO17" s="5"/>
      <c r="AP17" s="5"/>
      <c r="AQ17" s="5"/>
      <c r="AR17" s="5"/>
      <c r="AS17" s="5"/>
      <c r="AT17" s="5"/>
      <c r="AU17" s="5"/>
      <c r="AV17" s="5"/>
      <c r="AW17" s="5"/>
      <c r="AX17" s="5"/>
      <c r="AY17" s="5"/>
    </row>
    <row r="18">
      <c r="A18" s="5" t="str">
        <f>IFERROR(__xludf.DUMMYFUNCTION("""COMPUTED_VALUE"""),"Odawara")</f>
        <v>Odawara</v>
      </c>
      <c r="B18" s="5" t="str">
        <f>IFERROR(__xludf.DUMMYFUNCTION("""COMPUTED_VALUE"""),"CW")</f>
        <v>CW</v>
      </c>
      <c r="C18" s="5" t="str">
        <f>IFERROR(__xludf.DUMMYFUNCTION("""COMPUTED_VALUE"""),"Jintei")</f>
        <v>Jintei</v>
      </c>
      <c r="D18" s="5" t="str">
        <f>IFERROR(__xludf.DUMMYFUNCTION("""COMPUTED_VALUE"""),"StarRiver Arts")</f>
        <v>StarRiver Arts</v>
      </c>
      <c r="E18" s="5">
        <f>IFERROR(__xludf.DUMMYFUNCTION("""COMPUTED_VALUE"""),0.0028996875)</f>
        <v>0.0028996875</v>
      </c>
      <c r="F18" s="5" t="str">
        <f>IFERROR(__xludf.DUMMYFUNCTION("""COMPUTED_VALUE"""),"GT86/ZN6")</f>
        <v>GT86/ZN6</v>
      </c>
      <c r="G18" s="5" t="str">
        <f>IFERROR(__xludf.DUMMYFUNCTION("""COMPUTED_VALUE"""),"PC")</f>
        <v>PC</v>
      </c>
      <c r="H18" s="5" t="str">
        <f>IFERROR(__xludf.DUMMYFUNCTION("""COMPUTED_VALUE"""),"Sacc")</f>
        <v>Sacc</v>
      </c>
      <c r="I18" s="5" t="str">
        <f>IFERROR(__xludf.DUMMYFUNCTION("""COMPUTED_VALUE"""),"Myogi(CC)")</f>
        <v>Myogi(CC)</v>
      </c>
      <c r="J18" s="5" t="str">
        <f>IFERROR(__xludf.DUMMYFUNCTION("""COMPUTED_VALUE"""),"CW")</f>
        <v>CW</v>
      </c>
      <c r="K18" s="5" t="str">
        <f>IFERROR(__xludf.DUMMYFUNCTION("""COMPUTED_VALUE"""),"Jintei")</f>
        <v>Jintei</v>
      </c>
      <c r="L18" s="5" t="str">
        <f>IFERROR(__xludf.DUMMYFUNCTION("""COMPUTED_VALUE"""),"LinWu_05")</f>
        <v>LinWu_05</v>
      </c>
      <c r="M18" s="5">
        <f>IFERROR(__xludf.DUMMYFUNCTION("""COMPUTED_VALUE"""),0.002429976851851852)</f>
        <v>0.002429976852</v>
      </c>
      <c r="N18" s="5" t="str">
        <f>IFERROR(__xludf.DUMMYFUNCTION("""COMPUTED_VALUE"""),"BNR32")</f>
        <v>BNR32</v>
      </c>
      <c r="O18" s="5" t="str">
        <f>IFERROR(__xludf.DUMMYFUNCTION("""COMPUTED_VALUE"""),"PC")</f>
        <v>PC</v>
      </c>
      <c r="P18" s="5" t="str">
        <f>IFERROR(__xludf.DUMMYFUNCTION("""COMPUTED_VALUE"""),"Sacc")</f>
        <v>Sacc</v>
      </c>
      <c r="Q18" s="5"/>
      <c r="R18" s="5"/>
      <c r="S18" s="5"/>
      <c r="T18" s="5"/>
      <c r="U18" s="5"/>
      <c r="V18" s="5"/>
      <c r="W18" s="5"/>
      <c r="X18" s="5"/>
      <c r="Y18" s="5"/>
      <c r="Z18" s="5"/>
      <c r="AA18" s="5"/>
      <c r="AB18" s="5"/>
      <c r="AC18" s="5"/>
      <c r="AD18" s="5"/>
      <c r="AE18" s="5"/>
      <c r="AF18" s="5"/>
      <c r="AG18" s="5" t="str">
        <f>IFERROR(__xludf.DUMMYFUNCTION("""COMPUTED_VALUE"""),"Tsubaki")</f>
        <v>Tsubaki</v>
      </c>
      <c r="AH18" s="5" t="str">
        <f>IFERROR(__xludf.DUMMYFUNCTION("""COMPUTED_VALUE"""),"DH")</f>
        <v>DH</v>
      </c>
      <c r="AI18" s="5" t="str">
        <f>IFERROR(__xludf.DUMMYFUNCTION("""COMPUTED_VALUE"""),"Jintei ")</f>
        <v>Jintei </v>
      </c>
      <c r="AJ18" s="5" t="str">
        <f>IFERROR(__xludf.DUMMYFUNCTION("""COMPUTED_VALUE"""),"Lolidia")</f>
        <v>Lolidia</v>
      </c>
      <c r="AK18" s="5">
        <f>IFERROR(__xludf.DUMMYFUNCTION("""COMPUTED_VALUE"""),0.002457175925925926)</f>
        <v>0.002457175926</v>
      </c>
      <c r="AL18" s="5" t="str">
        <f>IFERROR(__xludf.DUMMYFUNCTION("""COMPUTED_VALUE"""),"AE86T2")</f>
        <v>AE86T2</v>
      </c>
      <c r="AM18" s="5" t="str">
        <f>IFERROR(__xludf.DUMMYFUNCTION("""COMPUTED_VALUE"""),"PCVR")</f>
        <v>PCVR</v>
      </c>
      <c r="AN18" s="5" t="str">
        <f>IFERROR(__xludf.DUMMYFUNCTION("""COMPUTED_VALUE"""),"Sacc")</f>
        <v>Sacc</v>
      </c>
      <c r="AO18" s="5"/>
      <c r="AP18" s="5"/>
      <c r="AQ18" s="5"/>
      <c r="AR18" s="5"/>
      <c r="AS18" s="5"/>
      <c r="AT18" s="5"/>
      <c r="AU18" s="5"/>
      <c r="AV18" s="5"/>
      <c r="AW18" s="5"/>
      <c r="AX18" s="5"/>
      <c r="AY18" s="5"/>
    </row>
    <row r="19">
      <c r="A19" s="5" t="str">
        <f>IFERROR(__xludf.DUMMYFUNCTION("""COMPUTED_VALUE"""),"Odawara")</f>
        <v>Odawara</v>
      </c>
      <c r="B19" s="5" t="str">
        <f>IFERROR(__xludf.DUMMYFUNCTION("""COMPUTED_VALUE"""),"CC")</f>
        <v>CC</v>
      </c>
      <c r="C19" s="5" t="str">
        <f>IFERROR(__xludf.DUMMYFUNCTION("""COMPUTED_VALUE"""),"Jintei")</f>
        <v>Jintei</v>
      </c>
      <c r="D19" s="5" t="str">
        <f>IFERROR(__xludf.DUMMYFUNCTION("""COMPUTED_VALUE"""),"StarRiver Arts")</f>
        <v>StarRiver Arts</v>
      </c>
      <c r="E19" s="5">
        <f>IFERROR(__xludf.DUMMYFUNCTION("""COMPUTED_VALUE"""),0.003107060185185185)</f>
        <v>0.003107060185</v>
      </c>
      <c r="F19" s="5" t="str">
        <f>IFERROR(__xludf.DUMMYFUNCTION("""COMPUTED_VALUE"""),"R35N2")</f>
        <v>R35N2</v>
      </c>
      <c r="G19" s="5" t="str">
        <f>IFERROR(__xludf.DUMMYFUNCTION("""COMPUTED_VALUE"""),"PC")</f>
        <v>PC</v>
      </c>
      <c r="H19" s="5" t="str">
        <f>IFERROR(__xludf.DUMMYFUNCTION("""COMPUTED_VALUE"""),"Sacc")</f>
        <v>Sacc</v>
      </c>
      <c r="I19" s="5" t="str">
        <f>IFERROR(__xludf.DUMMYFUNCTION("""COMPUTED_VALUE"""),"Myogi(CC)")</f>
        <v>Myogi(CC)</v>
      </c>
      <c r="J19" s="5" t="str">
        <f>IFERROR(__xludf.DUMMYFUNCTION("""COMPUTED_VALUE"""),"CC")</f>
        <v>CC</v>
      </c>
      <c r="K19" s="5" t="str">
        <f>IFERROR(__xludf.DUMMYFUNCTION("""COMPUTED_VALUE"""),"Jintei")</f>
        <v>Jintei</v>
      </c>
      <c r="L19" s="5" t="str">
        <f>IFERROR(__xludf.DUMMYFUNCTION("""COMPUTED_VALUE"""),"LinWu_05")</f>
        <v>LinWu_05</v>
      </c>
      <c r="M19" s="5">
        <f>IFERROR(__xludf.DUMMYFUNCTION("""COMPUTED_VALUE"""),0.002462384259259259)</f>
        <v>0.002462384259</v>
      </c>
      <c r="N19" s="5" t="str">
        <f>IFERROR(__xludf.DUMMYFUNCTION("""COMPUTED_VALUE"""),"BNR32")</f>
        <v>BNR32</v>
      </c>
      <c r="O19" s="5" t="str">
        <f>IFERROR(__xludf.DUMMYFUNCTION("""COMPUTED_VALUE"""),"PC")</f>
        <v>PC</v>
      </c>
      <c r="P19" s="5" t="str">
        <f>IFERROR(__xludf.DUMMYFUNCTION("""COMPUTED_VALUE"""),"Sacc")</f>
        <v>Sacc</v>
      </c>
      <c r="Q19" s="5"/>
      <c r="R19" s="5"/>
      <c r="S19" s="5"/>
      <c r="T19" s="5"/>
      <c r="U19" s="5"/>
      <c r="V19" s="5"/>
      <c r="W19" s="5"/>
      <c r="X19" s="5"/>
      <c r="Y19" s="5"/>
      <c r="Z19" s="5"/>
      <c r="AA19" s="5"/>
      <c r="AB19" s="5"/>
      <c r="AC19" s="5"/>
      <c r="AD19" s="5"/>
      <c r="AE19" s="5"/>
      <c r="AF19" s="5"/>
      <c r="AG19" s="5" t="str">
        <f>IFERROR(__xludf.DUMMYFUNCTION("""COMPUTED_VALUE"""),"StarSight")</f>
        <v>StarSight</v>
      </c>
      <c r="AH19" s="5" t="str">
        <f>IFERROR(__xludf.DUMMYFUNCTION("""COMPUTED_VALUE"""),"DH")</f>
        <v>DH</v>
      </c>
      <c r="AI19" s="5" t="str">
        <f>IFERROR(__xludf.DUMMYFUNCTION("""COMPUTED_VALUE"""),"StarRiver Arts")</f>
        <v>StarRiver Arts</v>
      </c>
      <c r="AJ19" s="5" t="str">
        <f>IFERROR(__xludf.DUMMYFUNCTION("""COMPUTED_VALUE"""),"Lolidia")</f>
        <v>Lolidia</v>
      </c>
      <c r="AK19" s="5">
        <f>IFERROR(__xludf.DUMMYFUNCTION("""COMPUTED_VALUE"""),0.0010182638888888889)</f>
        <v>0.001018263889</v>
      </c>
      <c r="AL19" s="5" t="str">
        <f>IFERROR(__xludf.DUMMYFUNCTION("""COMPUTED_VALUE"""),"EVO3")</f>
        <v>EVO3</v>
      </c>
      <c r="AM19" s="5" t="str">
        <f>IFERROR(__xludf.DUMMYFUNCTION("""COMPUTED_VALUE"""),"PCVR")</f>
        <v>PCVR</v>
      </c>
      <c r="AN19" s="5" t="str">
        <f>IFERROR(__xludf.DUMMYFUNCTION("""COMPUTED_VALUE"""),"CVS")</f>
        <v>CVS</v>
      </c>
      <c r="AO19" s="5"/>
      <c r="AP19" s="5"/>
      <c r="AQ19" s="5"/>
      <c r="AR19" s="5"/>
      <c r="AS19" s="5"/>
      <c r="AT19" s="5"/>
      <c r="AU19" s="5"/>
      <c r="AV19" s="5"/>
      <c r="AW19" s="5"/>
      <c r="AX19" s="5"/>
      <c r="AY19" s="5"/>
    </row>
    <row r="20">
      <c r="A20" s="5" t="str">
        <f>IFERROR(__xludf.DUMMYFUNCTION("""COMPUTED_VALUE"""),"PT:9T")</f>
        <v>PT:9T</v>
      </c>
      <c r="B20" s="5" t="str">
        <f>IFERROR(__xludf.DUMMYFUNCTION("""COMPUTED_VALUE"""),"DH")</f>
        <v>DH</v>
      </c>
      <c r="C20" s="5" t="str">
        <f>IFERROR(__xludf.DUMMYFUNCTION("""COMPUTED_VALUE"""),"StarRiver Arts")</f>
        <v>StarRiver Arts</v>
      </c>
      <c r="D20" s="5" t="str">
        <f>IFERROR(__xludf.DUMMYFUNCTION("""COMPUTED_VALUE"""),"StarRiver Arts")</f>
        <v>StarRiver Arts</v>
      </c>
      <c r="E20" s="5">
        <f>IFERROR(__xludf.DUMMYFUNCTION("""COMPUTED_VALUE"""),0.0049515856481481485)</f>
        <v>0.004951585648</v>
      </c>
      <c r="F20" s="5" t="str">
        <f>IFERROR(__xludf.DUMMYFUNCTION("""COMPUTED_VALUE"""),"EVOIII/CE9A")</f>
        <v>EVOIII/CE9A</v>
      </c>
      <c r="G20" s="5" t="str">
        <f>IFERROR(__xludf.DUMMYFUNCTION("""COMPUTED_VALUE"""),"PC")</f>
        <v>PC</v>
      </c>
      <c r="H20" s="5" t="str">
        <f>IFERROR(__xludf.DUMMYFUNCTION("""COMPUTED_VALUE"""),"CVS")</f>
        <v>CVS</v>
      </c>
      <c r="I20" s="5" t="str">
        <f>IFERROR(__xludf.DUMMYFUNCTION("""COMPUTED_VALUE"""),"Nagoya")</f>
        <v>Nagoya</v>
      </c>
      <c r="J20" s="5"/>
      <c r="K20" s="5" t="str">
        <f>IFERROR(__xludf.DUMMYFUNCTION("""COMPUTED_VALUE"""),"Jintei")</f>
        <v>Jintei</v>
      </c>
      <c r="L20" s="5" t="str">
        <f>IFERROR(__xludf.DUMMYFUNCTION("""COMPUTED_VALUE"""),"LinWu_05")</f>
        <v>LinWu_05</v>
      </c>
      <c r="M20" s="5">
        <f>IFERROR(__xludf.DUMMYFUNCTION("""COMPUTED_VALUE"""),0.0024359606481481485)</f>
        <v>0.002435960648</v>
      </c>
      <c r="N20" s="5" t="str">
        <f>IFERROR(__xludf.DUMMYFUNCTION("""COMPUTED_VALUE"""),"EVOX/CZ4A")</f>
        <v>EVOX/CZ4A</v>
      </c>
      <c r="O20" s="5" t="str">
        <f>IFERROR(__xludf.DUMMYFUNCTION("""COMPUTED_VALUE"""),"PC")</f>
        <v>PC</v>
      </c>
      <c r="P20" s="5" t="str">
        <f>IFERROR(__xludf.DUMMYFUNCTION("""COMPUTED_VALUE"""),"Sacc")</f>
        <v>Sacc</v>
      </c>
      <c r="Q20" s="5"/>
      <c r="R20" s="5"/>
      <c r="S20" s="5"/>
      <c r="T20" s="5"/>
      <c r="U20" s="5"/>
      <c r="V20" s="5"/>
      <c r="W20" s="5"/>
      <c r="X20" s="5"/>
      <c r="Y20" s="5"/>
      <c r="Z20" s="5"/>
      <c r="AA20" s="5"/>
      <c r="AB20" s="5"/>
      <c r="AC20" s="5"/>
      <c r="AD20" s="5"/>
      <c r="AE20" s="5"/>
      <c r="AF20" s="5"/>
      <c r="AG20" s="5" t="str">
        <f>IFERROR(__xludf.DUMMYFUNCTION("""COMPUTED_VALUE"""),"Irohazaka")</f>
        <v>Irohazaka</v>
      </c>
      <c r="AH20" s="5" t="str">
        <f>IFERROR(__xludf.DUMMYFUNCTION("""COMPUTED_VALUE"""),"DH")</f>
        <v>DH</v>
      </c>
      <c r="AI20" s="5" t="str">
        <f>IFERROR(__xludf.DUMMYFUNCTION("""COMPUTED_VALUE"""),"Jintei ")</f>
        <v>Jintei </v>
      </c>
      <c r="AJ20" s="5" t="str">
        <f>IFERROR(__xludf.DUMMYFUNCTION("""COMPUTED_VALUE"""),"Lolidia")</f>
        <v>Lolidia</v>
      </c>
      <c r="AK20" s="5">
        <f>IFERROR(__xludf.DUMMYFUNCTION("""COMPUTED_VALUE"""),0.002450613425925926)</f>
        <v>0.002450613426</v>
      </c>
      <c r="AL20" s="5" t="str">
        <f>IFERROR(__xludf.DUMMYFUNCTION("""COMPUTED_VALUE"""),"AE86T")</f>
        <v>AE86T</v>
      </c>
      <c r="AM20" s="5" t="str">
        <f>IFERROR(__xludf.DUMMYFUNCTION("""COMPUTED_VALUE"""),"PCVR")</f>
        <v>PCVR</v>
      </c>
      <c r="AN20" s="5" t="str">
        <f>IFERROR(__xludf.DUMMYFUNCTION("""COMPUTED_VALUE"""),"Sacc")</f>
        <v>Sacc</v>
      </c>
      <c r="AO20" s="5"/>
      <c r="AP20" s="5"/>
      <c r="AQ20" s="5"/>
      <c r="AR20" s="5"/>
      <c r="AS20" s="5"/>
      <c r="AT20" s="5"/>
      <c r="AU20" s="5"/>
      <c r="AV20" s="5"/>
      <c r="AW20" s="5"/>
      <c r="AX20" s="5"/>
      <c r="AY20" s="5"/>
    </row>
    <row r="21">
      <c r="A21" s="5" t="str">
        <f>IFERROR(__xludf.DUMMYFUNCTION("""COMPUTED_VALUE"""),"Sadamine")</f>
        <v>Sadamine</v>
      </c>
      <c r="B21" s="5" t="str">
        <f>IFERROR(__xludf.DUMMYFUNCTION("""COMPUTED_VALUE"""),"FCDH")</f>
        <v>FCDH</v>
      </c>
      <c r="C21" s="5" t="str">
        <f>IFERROR(__xludf.DUMMYFUNCTION("""COMPUTED_VALUE"""),"Jintei ")</f>
        <v>Jintei </v>
      </c>
      <c r="D21" s="5" t="str">
        <f>IFERROR(__xludf.DUMMYFUNCTION("""COMPUTED_VALUE"""),"StarRiver Arts")</f>
        <v>StarRiver Arts</v>
      </c>
      <c r="E21" s="5">
        <f>IFERROR(__xludf.DUMMYFUNCTION("""COMPUTED_VALUE"""),0.0025293171296296296)</f>
        <v>0.00252931713</v>
      </c>
      <c r="F21" s="5" t="str">
        <f>IFERROR(__xludf.DUMMYFUNCTION("""COMPUTED_VALUE"""),"SXE10 (Altezza)")</f>
        <v>SXE10 (Altezza)</v>
      </c>
      <c r="G21" s="5" t="str">
        <f>IFERROR(__xludf.DUMMYFUNCTION("""COMPUTED_VALUE"""),"PC")</f>
        <v>PC</v>
      </c>
      <c r="H21" s="5" t="str">
        <f>IFERROR(__xludf.DUMMYFUNCTION("""COMPUTED_VALUE"""),"Sacc")</f>
        <v>Sacc</v>
      </c>
      <c r="I21" s="5" t="str">
        <f>IFERROR(__xludf.DUMMYFUNCTION("""COMPUTED_VALUE"""),"Odawara")</f>
        <v>Odawara</v>
      </c>
      <c r="J21" s="5" t="str">
        <f>IFERROR(__xludf.DUMMYFUNCTION("""COMPUTED_VALUE"""),"CW")</f>
        <v>CW</v>
      </c>
      <c r="K21" s="5" t="str">
        <f>IFERROR(__xludf.DUMMYFUNCTION("""COMPUTED_VALUE"""),"Jintei")</f>
        <v>Jintei</v>
      </c>
      <c r="L21" s="5" t="str">
        <f>IFERROR(__xludf.DUMMYFUNCTION("""COMPUTED_VALUE"""),"LinWu_05")</f>
        <v>LinWu_05</v>
      </c>
      <c r="M21" s="5">
        <f>IFERROR(__xludf.DUMMYFUNCTION("""COMPUTED_VALUE"""),0.0028620833333333332)</f>
        <v>0.002862083333</v>
      </c>
      <c r="N21" s="5" t="str">
        <f>IFERROR(__xludf.DUMMYFUNCTION("""COMPUTED_VALUE"""),"R35N3")</f>
        <v>R35N3</v>
      </c>
      <c r="O21" s="5" t="str">
        <f>IFERROR(__xludf.DUMMYFUNCTION("""COMPUTED_VALUE"""),"PC")</f>
        <v>PC</v>
      </c>
      <c r="P21" s="5" t="str">
        <f>IFERROR(__xludf.DUMMYFUNCTION("""COMPUTED_VALUE"""),"Sacc")</f>
        <v>Sacc</v>
      </c>
      <c r="Q21" s="5"/>
      <c r="R21" s="5"/>
      <c r="S21" s="5"/>
      <c r="T21" s="5"/>
      <c r="U21" s="5"/>
      <c r="V21" s="5"/>
      <c r="W21" s="5"/>
      <c r="X21" s="5"/>
      <c r="Y21" s="5"/>
      <c r="Z21" s="5"/>
      <c r="AA21" s="5"/>
      <c r="AB21" s="5"/>
      <c r="AC21" s="5"/>
      <c r="AD21" s="5"/>
      <c r="AE21" s="5"/>
      <c r="AF21" s="5"/>
      <c r="AG21" s="5" t="str">
        <f>IFERROR(__xludf.DUMMYFUNCTION("""COMPUTED_VALUE"""),"HarunaG")</f>
        <v>HarunaG</v>
      </c>
      <c r="AH21" s="5" t="str">
        <f>IFERROR(__xludf.DUMMYFUNCTION("""COMPUTED_VALUE"""),"DH")</f>
        <v>DH</v>
      </c>
      <c r="AI21" s="5"/>
      <c r="AJ21" s="5" t="str">
        <f>IFERROR(__xludf.DUMMYFUNCTION("""COMPUTED_VALUE"""),"Lolidia")</f>
        <v>Lolidia</v>
      </c>
      <c r="AK21" s="5">
        <f>IFERROR(__xludf.DUMMYFUNCTION("""COMPUTED_VALUE"""),0.0030812847222222227)</f>
        <v>0.003081284722</v>
      </c>
      <c r="AL21" s="5" t="str">
        <f>IFERROR(__xludf.DUMMYFUNCTION("""COMPUTED_VALUE"""),"Revuelto")</f>
        <v>Revuelto</v>
      </c>
      <c r="AM21" s="5" t="str">
        <f>IFERROR(__xludf.DUMMYFUNCTION("""COMPUTED_VALUE"""),"PCVR")</f>
        <v>PCVR</v>
      </c>
      <c r="AN21" s="5" t="str">
        <f>IFERROR(__xludf.DUMMYFUNCTION("""COMPUTED_VALUE"""),"CVS")</f>
        <v>CVS</v>
      </c>
      <c r="AO21" s="5"/>
      <c r="AP21" s="5"/>
      <c r="AQ21" s="5"/>
      <c r="AR21" s="5"/>
      <c r="AS21" s="5"/>
      <c r="AT21" s="5"/>
      <c r="AU21" s="5"/>
      <c r="AV21" s="5"/>
      <c r="AW21" s="5"/>
      <c r="AX21" s="5"/>
      <c r="AY21" s="5"/>
    </row>
    <row r="22">
      <c r="A22" s="5" t="str">
        <f>IFERROR(__xludf.DUMMYFUNCTION("""COMPUTED_VALUE"""),"Sadamine")</f>
        <v>Sadamine</v>
      </c>
      <c r="B22" s="5" t="str">
        <f>IFERROR(__xludf.DUMMYFUNCTION("""COMPUTED_VALUE"""),"OCDH")</f>
        <v>OCDH</v>
      </c>
      <c r="C22" s="5" t="str">
        <f>IFERROR(__xludf.DUMMYFUNCTION("""COMPUTED_VALUE"""),"Jintei")</f>
        <v>Jintei</v>
      </c>
      <c r="D22" s="5" t="str">
        <f>IFERROR(__xludf.DUMMYFUNCTION("""COMPUTED_VALUE"""),"StarRiver Arts")</f>
        <v>StarRiver Arts</v>
      </c>
      <c r="E22" s="5">
        <f>IFERROR(__xludf.DUMMYFUNCTION("""COMPUTED_VALUE"""),0.0017935995370370371)</f>
        <v>0.001793599537</v>
      </c>
      <c r="F22" s="5" t="str">
        <f>IFERROR(__xludf.DUMMYFUNCTION("""COMPUTED_VALUE"""),"AE86T")</f>
        <v>AE86T</v>
      </c>
      <c r="G22" s="5" t="str">
        <f>IFERROR(__xludf.DUMMYFUNCTION("""COMPUTED_VALUE"""),"PC")</f>
        <v>PC</v>
      </c>
      <c r="H22" s="5" t="str">
        <f>IFERROR(__xludf.DUMMYFUNCTION("""COMPUTED_VALUE"""),"Sacc")</f>
        <v>Sacc</v>
      </c>
      <c r="I22" s="5" t="str">
        <f>IFERROR(__xludf.DUMMYFUNCTION("""COMPUTED_VALUE"""),"Odawara")</f>
        <v>Odawara</v>
      </c>
      <c r="J22" s="5" t="str">
        <f>IFERROR(__xludf.DUMMYFUNCTION("""COMPUTED_VALUE"""),"CC")</f>
        <v>CC</v>
      </c>
      <c r="K22" s="5" t="str">
        <f>IFERROR(__xludf.DUMMYFUNCTION("""COMPUTED_VALUE"""),"Jintei")</f>
        <v>Jintei</v>
      </c>
      <c r="L22" s="5" t="str">
        <f>IFERROR(__xludf.DUMMYFUNCTION("""COMPUTED_VALUE"""),"LinWu_05")</f>
        <v>LinWu_05</v>
      </c>
      <c r="M22" s="5">
        <f>IFERROR(__xludf.DUMMYFUNCTION("""COMPUTED_VALUE"""),0.0029292013888888887)</f>
        <v>0.002929201389</v>
      </c>
      <c r="N22" s="5" t="str">
        <f>IFERROR(__xludf.DUMMYFUNCTION("""COMPUTED_VALUE"""),"R35N2")</f>
        <v>R35N2</v>
      </c>
      <c r="O22" s="5" t="str">
        <f>IFERROR(__xludf.DUMMYFUNCTION("""COMPUTED_VALUE"""),"PC")</f>
        <v>PC</v>
      </c>
      <c r="P22" s="5" t="str">
        <f>IFERROR(__xludf.DUMMYFUNCTION("""COMPUTED_VALUE"""),"Sacc")</f>
        <v>Sacc</v>
      </c>
      <c r="Q22" s="5"/>
      <c r="R22" s="5"/>
      <c r="S22" s="5"/>
      <c r="T22" s="5"/>
      <c r="U22" s="5"/>
      <c r="V22" s="5"/>
      <c r="W22" s="5"/>
      <c r="X22" s="5"/>
      <c r="Y22" s="5"/>
      <c r="Z22" s="5"/>
      <c r="AA22" s="5"/>
      <c r="AB22" s="5"/>
      <c r="AC22" s="5"/>
      <c r="AD22" s="5"/>
      <c r="AE22" s="5"/>
      <c r="AF22" s="5"/>
      <c r="AG22" s="5" t="str">
        <f>IFERROR(__xludf.DUMMYFUNCTION("""COMPUTED_VALUE"""),"Ryuoukouzan")</f>
        <v>Ryuoukouzan</v>
      </c>
      <c r="AH22" s="5" t="str">
        <f>IFERROR(__xludf.DUMMYFUNCTION("""COMPUTED_VALUE"""),"DH")</f>
        <v>DH</v>
      </c>
      <c r="AI22" s="5"/>
      <c r="AJ22" s="5" t="str">
        <f>IFERROR(__xludf.DUMMYFUNCTION("""COMPUTED_VALUE"""),"Lolidia")</f>
        <v>Lolidia</v>
      </c>
      <c r="AK22" s="5">
        <f>IFERROR(__xludf.DUMMYFUNCTION("""COMPUTED_VALUE"""),0.0012001041666666666)</f>
        <v>0.001200104167</v>
      </c>
      <c r="AL22" s="5" t="str">
        <f>IFERROR(__xludf.DUMMYFUNCTION("""COMPUTED_VALUE"""),"GC8-Attack")</f>
        <v>GC8-Attack</v>
      </c>
      <c r="AM22" s="5" t="str">
        <f>IFERROR(__xludf.DUMMYFUNCTION("""COMPUTED_VALUE"""),"PCVR")</f>
        <v>PCVR</v>
      </c>
      <c r="AN22" s="5" t="str">
        <f>IFERROR(__xludf.DUMMYFUNCTION("""COMPUTED_VALUE"""),"CVS")</f>
        <v>CVS</v>
      </c>
      <c r="AO22" s="5"/>
      <c r="AP22" s="5"/>
      <c r="AQ22" s="5"/>
      <c r="AR22" s="5"/>
      <c r="AS22" s="5"/>
      <c r="AT22" s="5"/>
      <c r="AU22" s="5"/>
      <c r="AV22" s="5"/>
      <c r="AW22" s="5"/>
      <c r="AX22" s="5"/>
      <c r="AY22" s="5"/>
    </row>
    <row r="23">
      <c r="A23" s="5" t="str">
        <f>IFERROR(__xludf.DUMMYFUNCTION("""COMPUTED_VALUE"""),"Sadamine")</f>
        <v>Sadamine</v>
      </c>
      <c r="B23" s="5" t="str">
        <f>IFERROR(__xludf.DUMMYFUNCTION("""COMPUTED_VALUE"""),"OCUH")</f>
        <v>OCUH</v>
      </c>
      <c r="C23" s="5" t="str">
        <f>IFERROR(__xludf.DUMMYFUNCTION("""COMPUTED_VALUE"""),"Jintei")</f>
        <v>Jintei</v>
      </c>
      <c r="D23" s="5" t="str">
        <f>IFERROR(__xludf.DUMMYFUNCTION("""COMPUTED_VALUE"""),"StarRiver Arts")</f>
        <v>StarRiver Arts</v>
      </c>
      <c r="E23" s="5">
        <f>IFERROR(__xludf.DUMMYFUNCTION("""COMPUTED_VALUE"""),0.0021378587962962966)</f>
        <v>0.002137858796</v>
      </c>
      <c r="F23" s="5" t="str">
        <f>IFERROR(__xludf.DUMMYFUNCTION("""COMPUTED_VALUE"""),"EG6 (civic)")</f>
        <v>EG6 (civic)</v>
      </c>
      <c r="G23" s="5" t="str">
        <f>IFERROR(__xludf.DUMMYFUNCTION("""COMPUTED_VALUE"""),"PC")</f>
        <v>PC</v>
      </c>
      <c r="H23" s="5" t="str">
        <f>IFERROR(__xludf.DUMMYFUNCTION("""COMPUTED_VALUE"""),"Sacc")</f>
        <v>Sacc</v>
      </c>
      <c r="I23" s="5" t="str">
        <f>IFERROR(__xludf.DUMMYFUNCTION("""COMPUTED_VALUE"""),"Tsubaki")</f>
        <v>Tsubaki</v>
      </c>
      <c r="J23" s="5" t="str">
        <f>IFERROR(__xludf.DUMMYFUNCTION("""COMPUTED_VALUE"""),"DH")</f>
        <v>DH</v>
      </c>
      <c r="K23" s="5" t="str">
        <f>IFERROR(__xludf.DUMMYFUNCTION("""COMPUTED_VALUE"""),"Jintei ")</f>
        <v>Jintei </v>
      </c>
      <c r="L23" s="5" t="str">
        <f>IFERROR(__xludf.DUMMYFUNCTION("""COMPUTED_VALUE"""),"LinWu_05")</f>
        <v>LinWu_05</v>
      </c>
      <c r="M23" s="5">
        <f>IFERROR(__xludf.DUMMYFUNCTION("""COMPUTED_VALUE"""),0.002626550925925926)</f>
        <v>0.002626550926</v>
      </c>
      <c r="N23" s="5" t="str">
        <f>IFERROR(__xludf.DUMMYFUNCTION("""COMPUTED_VALUE"""),"NA1 (NSX)")</f>
        <v>NA1 (NSX)</v>
      </c>
      <c r="O23" s="5" t="str">
        <f>IFERROR(__xludf.DUMMYFUNCTION("""COMPUTED_VALUE"""),"PC")</f>
        <v>PC</v>
      </c>
      <c r="P23" s="5" t="str">
        <f>IFERROR(__xludf.DUMMYFUNCTION("""COMPUTED_VALUE"""),"Sacc")</f>
        <v>Sacc</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c r="A24" s="5" t="str">
        <f>IFERROR(__xludf.DUMMYFUNCTION("""COMPUTED_VALUE"""),"Sadamine")</f>
        <v>Sadamine</v>
      </c>
      <c r="B24" s="5" t="str">
        <f>IFERROR(__xludf.DUMMYFUNCTION("""COMPUTED_VALUE"""),"FCUH")</f>
        <v>FCUH</v>
      </c>
      <c r="C24" s="5" t="str">
        <f>IFERROR(__xludf.DUMMYFUNCTION("""COMPUTED_VALUE"""),"Jintei")</f>
        <v>Jintei</v>
      </c>
      <c r="D24" s="5" t="str">
        <f>IFERROR(__xludf.DUMMYFUNCTION("""COMPUTED_VALUE"""),"StarRiver Arts")</f>
        <v>StarRiver Arts</v>
      </c>
      <c r="E24" s="5">
        <f>IFERROR(__xludf.DUMMYFUNCTION("""COMPUTED_VALUE"""),0.002911076388888889)</f>
        <v>0.002911076389</v>
      </c>
      <c r="F24" s="5" t="str">
        <f>IFERROR(__xludf.DUMMYFUNCTION("""COMPUTED_VALUE"""),"FD3S (RX7)(TT)")</f>
        <v>FD3S (RX7)(TT)</v>
      </c>
      <c r="G24" s="5" t="str">
        <f>IFERROR(__xludf.DUMMYFUNCTION("""COMPUTED_VALUE"""),"PC")</f>
        <v>PC</v>
      </c>
      <c r="H24" s="5" t="str">
        <f>IFERROR(__xludf.DUMMYFUNCTION("""COMPUTED_VALUE"""),"Sacc")</f>
        <v>Sacc</v>
      </c>
      <c r="I24" s="5" t="str">
        <f>IFERROR(__xludf.DUMMYFUNCTION("""COMPUTED_VALUE"""),"Tsukuba")</f>
        <v>Tsukuba</v>
      </c>
      <c r="J24" s="5" t="str">
        <f>IFERROR(__xludf.DUMMYFUNCTION("""COMPUTED_VALUE"""),"Double")</f>
        <v>Double</v>
      </c>
      <c r="K24" s="5" t="str">
        <f>IFERROR(__xludf.DUMMYFUNCTION("""COMPUTED_VALUE"""),"Jintei ")</f>
        <v>Jintei </v>
      </c>
      <c r="L24" s="5" t="str">
        <f>IFERROR(__xludf.DUMMYFUNCTION("""COMPUTED_VALUE"""),"LinWu_05")</f>
        <v>LinWu_05</v>
      </c>
      <c r="M24" s="5">
        <f>IFERROR(__xludf.DUMMYFUNCTION("""COMPUTED_VALUE"""),0.002605127314814815)</f>
        <v>0.002605127315</v>
      </c>
      <c r="N24" s="5" t="str">
        <f>IFERROR(__xludf.DUMMYFUNCTION("""COMPUTED_VALUE"""),"BNR34")</f>
        <v>BNR34</v>
      </c>
      <c r="O24" s="5" t="str">
        <f>IFERROR(__xludf.DUMMYFUNCTION("""COMPUTED_VALUE"""),"PC")</f>
        <v>PC</v>
      </c>
      <c r="P24" s="5" t="str">
        <f>IFERROR(__xludf.DUMMYFUNCTION("""COMPUTED_VALUE"""),"Sacc")</f>
        <v>Sacc</v>
      </c>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row>
    <row r="25">
      <c r="A25" s="5" t="str">
        <f>IFERROR(__xludf.DUMMYFUNCTION("""COMPUTED_VALUE"""),"Tsubaki")</f>
        <v>Tsubaki</v>
      </c>
      <c r="B25" s="5" t="str">
        <f>IFERROR(__xludf.DUMMYFUNCTION("""COMPUTED_VALUE"""),"DH")</f>
        <v>DH</v>
      </c>
      <c r="C25" s="5" t="str">
        <f>IFERROR(__xludf.DUMMYFUNCTION("""COMPUTED_VALUE"""),"Jintei ")</f>
        <v>Jintei </v>
      </c>
      <c r="D25" s="5" t="str">
        <f>IFERROR(__xludf.DUMMYFUNCTION("""COMPUTED_VALUE"""),"StarRiver Arts")</f>
        <v>StarRiver Arts</v>
      </c>
      <c r="E25" s="5">
        <f>IFERROR(__xludf.DUMMYFUNCTION("""COMPUTED_VALUE"""),0.002683449074074074)</f>
        <v>0.002683449074</v>
      </c>
      <c r="F25" s="5" t="str">
        <f>IFERROR(__xludf.DUMMYFUNCTION("""COMPUTED_VALUE"""),"FL5 (Civic Type-R)")</f>
        <v>FL5 (Civic Type-R)</v>
      </c>
      <c r="G25" s="5" t="str">
        <f>IFERROR(__xludf.DUMMYFUNCTION("""COMPUTED_VALUE"""),"PC")</f>
        <v>PC</v>
      </c>
      <c r="H25" s="5" t="str">
        <f>IFERROR(__xludf.DUMMYFUNCTION("""COMPUTED_VALUE"""),"Sacc")</f>
        <v>Sacc</v>
      </c>
      <c r="I25" s="5" t="str">
        <f>IFERROR(__xludf.DUMMYFUNCTION("""COMPUTED_VALUE"""),"Tsukuba Snow")</f>
        <v>Tsukuba Snow</v>
      </c>
      <c r="J25" s="5" t="str">
        <f>IFERROR(__xludf.DUMMYFUNCTION("""COMPUTED_VALUE"""),"OB")</f>
        <v>OB</v>
      </c>
      <c r="K25" s="5" t="str">
        <f>IFERROR(__xludf.DUMMYFUNCTION("""COMPUTED_VALUE"""),"Jintei")</f>
        <v>Jintei</v>
      </c>
      <c r="L25" s="5" t="str">
        <f>IFERROR(__xludf.DUMMYFUNCTION("""COMPUTED_VALUE"""),"LinWu_05")</f>
        <v>LinWu_05</v>
      </c>
      <c r="M25" s="5">
        <f>IFERROR(__xludf.DUMMYFUNCTION("""COMPUTED_VALUE"""),0.002798414351851852)</f>
        <v>0.002798414352</v>
      </c>
      <c r="N25" s="5" t="str">
        <f>IFERROR(__xludf.DUMMYFUNCTION("""COMPUTED_VALUE"""),"BNR34")</f>
        <v>BNR34</v>
      </c>
      <c r="O25" s="5" t="str">
        <f>IFERROR(__xludf.DUMMYFUNCTION("""COMPUTED_VALUE"""),"PC")</f>
        <v>PC</v>
      </c>
      <c r="P25" s="5" t="str">
        <f>IFERROR(__xludf.DUMMYFUNCTION("""COMPUTED_VALUE"""),"Sacc")</f>
        <v>Sacc</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row>
    <row r="26">
      <c r="A26" s="5" t="str">
        <f>IFERROR(__xludf.DUMMYFUNCTION("""COMPUTED_VALUE"""),"Tsuchisaka")</f>
        <v>Tsuchisaka</v>
      </c>
      <c r="B26" s="5" t="str">
        <f>IFERROR(__xludf.DUMMYFUNCTION("""COMPUTED_VALUE"""),"DH")</f>
        <v>DH</v>
      </c>
      <c r="C26" s="5" t="str">
        <f>IFERROR(__xludf.DUMMYFUNCTION("""COMPUTED_VALUE"""),"Jintei")</f>
        <v>Jintei</v>
      </c>
      <c r="D26" s="5" t="str">
        <f>IFERROR(__xludf.DUMMYFUNCTION("""COMPUTED_VALUE"""),"StarRiver Arts")</f>
        <v>StarRiver Arts</v>
      </c>
      <c r="E26" s="5">
        <f>IFERROR(__xludf.DUMMYFUNCTION("""COMPUTED_VALUE"""),0.001505787037037037)</f>
        <v>0.001505787037</v>
      </c>
      <c r="F26" s="5" t="str">
        <f>IFERROR(__xludf.DUMMYFUNCTION("""COMPUTED_VALUE"""),"EVOVI/CP9A")</f>
        <v>EVOVI/CP9A</v>
      </c>
      <c r="G26" s="5" t="str">
        <f>IFERROR(__xludf.DUMMYFUNCTION("""COMPUTED_VALUE"""),"PC")</f>
        <v>PC</v>
      </c>
      <c r="H26" s="5" t="str">
        <f>IFERROR(__xludf.DUMMYFUNCTION("""COMPUTED_VALUE"""),"Sacc")</f>
        <v>Sacc</v>
      </c>
      <c r="I26" s="5" t="str">
        <f>IFERROR(__xludf.DUMMYFUNCTION("""COMPUTED_VALUE"""),"Tsukuba Snow")</f>
        <v>Tsukuba Snow</v>
      </c>
      <c r="J26" s="5" t="str">
        <f>IFERROR(__xludf.DUMMYFUNCTION("""COMPUTED_VALUE"""),"IB")</f>
        <v>IB</v>
      </c>
      <c r="K26" s="5" t="str">
        <f>IFERROR(__xludf.DUMMYFUNCTION("""COMPUTED_VALUE"""),"Jintei")</f>
        <v>Jintei</v>
      </c>
      <c r="L26" s="5" t="str">
        <f>IFERROR(__xludf.DUMMYFUNCTION("""COMPUTED_VALUE"""),"LinWu_05")</f>
        <v>LinWu_05</v>
      </c>
      <c r="M26" s="5">
        <f>IFERROR(__xludf.DUMMYFUNCTION("""COMPUTED_VALUE"""),0.002837997685185185)</f>
        <v>0.002837997685</v>
      </c>
      <c r="N26" s="5" t="str">
        <f>IFERROR(__xludf.DUMMYFUNCTION("""COMPUTED_VALUE"""),"BNR34")</f>
        <v>BNR34</v>
      </c>
      <c r="O26" s="5" t="str">
        <f>IFERROR(__xludf.DUMMYFUNCTION("""COMPUTED_VALUE"""),"PC")</f>
        <v>PC</v>
      </c>
      <c r="P26" s="5" t="str">
        <f>IFERROR(__xludf.DUMMYFUNCTION("""COMPUTED_VALUE"""),"Sacc")</f>
        <v>Sacc</v>
      </c>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c r="A27" s="5" t="str">
        <f>IFERROR(__xludf.DUMMYFUNCTION("""COMPUTED_VALUE"""),"Tsuchisaka")</f>
        <v>Tsuchisaka</v>
      </c>
      <c r="B27" s="5" t="str">
        <f>IFERROR(__xludf.DUMMYFUNCTION("""COMPUTED_VALUE"""),"UH")</f>
        <v>UH</v>
      </c>
      <c r="C27" s="5" t="str">
        <f>IFERROR(__xludf.DUMMYFUNCTION("""COMPUTED_VALUE"""),"Jintei")</f>
        <v>Jintei</v>
      </c>
      <c r="D27" s="5" t="str">
        <f>IFERROR(__xludf.DUMMYFUNCTION("""COMPUTED_VALUE"""),"StarRiver Arts")</f>
        <v>StarRiver Arts</v>
      </c>
      <c r="E27" s="5">
        <f>IFERROR(__xludf.DUMMYFUNCTION("""COMPUTED_VALUE"""),0.0017542476851851853)</f>
        <v>0.001754247685</v>
      </c>
      <c r="F27" s="5" t="str">
        <f>IFERROR(__xludf.DUMMYFUNCTION("""COMPUTED_VALUE"""),"EVOVI/CP9A")</f>
        <v>EVOVI/CP9A</v>
      </c>
      <c r="G27" s="5" t="str">
        <f>IFERROR(__xludf.DUMMYFUNCTION("""COMPUTED_VALUE"""),"PC")</f>
        <v>PC</v>
      </c>
      <c r="H27" s="5" t="str">
        <f>IFERROR(__xludf.DUMMYFUNCTION("""COMPUTED_VALUE"""),"Sacc")</f>
        <v>Sacc</v>
      </c>
      <c r="I27" s="5" t="str">
        <f>IFERROR(__xludf.DUMMYFUNCTION("""COMPUTED_VALUE"""),"Usui V2")</f>
        <v>Usui V2</v>
      </c>
      <c r="J27" s="5" t="str">
        <f>IFERROR(__xludf.DUMMYFUNCTION("""COMPUTED_VALUE"""),"CC")</f>
        <v>CC</v>
      </c>
      <c r="K27" s="5" t="str">
        <f>IFERROR(__xludf.DUMMYFUNCTION("""COMPUTED_VALUE"""),"Jintei")</f>
        <v>Jintei</v>
      </c>
      <c r="L27" s="5" t="str">
        <f>IFERROR(__xludf.DUMMYFUNCTION("""COMPUTED_VALUE"""),"LinWu_05")</f>
        <v>LinWu_05</v>
      </c>
      <c r="M27" s="5">
        <f>IFERROR(__xludf.DUMMYFUNCTION("""COMPUTED_VALUE"""),0.0026084143518518518)</f>
        <v>0.002608414352</v>
      </c>
      <c r="N27" s="5" t="str">
        <f>IFERROR(__xludf.DUMMYFUNCTION("""COMPUTED_VALUE"""),"380SX")</f>
        <v>380SX</v>
      </c>
      <c r="O27" s="5" t="str">
        <f>IFERROR(__xludf.DUMMYFUNCTION("""COMPUTED_VALUE"""),"PC")</f>
        <v>PC</v>
      </c>
      <c r="P27" s="5" t="str">
        <f>IFERROR(__xludf.DUMMYFUNCTION("""COMPUTED_VALUE"""),"Sacc")</f>
        <v>Sacc</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row>
    <row r="28">
      <c r="A28" s="5" t="str">
        <f>IFERROR(__xludf.DUMMYFUNCTION("""COMPUTED_VALUE"""),"Tsuchisaka")</f>
        <v>Tsuchisaka</v>
      </c>
      <c r="B28" s="5" t="str">
        <f>IFERROR(__xludf.DUMMYFUNCTION("""COMPUTED_VALUE"""),"OB")</f>
        <v>OB</v>
      </c>
      <c r="C28" s="5" t="str">
        <f>IFERROR(__xludf.DUMMYFUNCTION("""COMPUTED_VALUE"""),"Jintei")</f>
        <v>Jintei</v>
      </c>
      <c r="D28" s="5" t="str">
        <f>IFERROR(__xludf.DUMMYFUNCTION("""COMPUTED_VALUE"""),"StarRiver Arts")</f>
        <v>StarRiver Arts</v>
      </c>
      <c r="E28" s="5">
        <f>IFERROR(__xludf.DUMMYFUNCTION("""COMPUTED_VALUE"""),0.00256693287037037)</f>
        <v>0.00256693287</v>
      </c>
      <c r="F28" s="5" t="str">
        <f>IFERROR(__xludf.DUMMYFUNCTION("""COMPUTED_VALUE"""),"EVOVI/CP9A")</f>
        <v>EVOVI/CP9A</v>
      </c>
      <c r="G28" s="5" t="str">
        <f>IFERROR(__xludf.DUMMYFUNCTION("""COMPUTED_VALUE"""),"PC")</f>
        <v>PC</v>
      </c>
      <c r="H28" s="5" t="str">
        <f>IFERROR(__xludf.DUMMYFUNCTION("""COMPUTED_VALUE"""),"Sacc")</f>
        <v>Sacc</v>
      </c>
      <c r="I28" s="5" t="str">
        <f>IFERROR(__xludf.DUMMYFUNCTION("""COMPUTED_VALUE"""),"Usui V2")</f>
        <v>Usui V2</v>
      </c>
      <c r="J28" s="5" t="str">
        <f>IFERROR(__xludf.DUMMYFUNCTION("""COMPUTED_VALUE"""),"CW")</f>
        <v>CW</v>
      </c>
      <c r="K28" s="5" t="str">
        <f>IFERROR(__xludf.DUMMYFUNCTION("""COMPUTED_VALUE"""),"Jintei")</f>
        <v>Jintei</v>
      </c>
      <c r="L28" s="5" t="str">
        <f>IFERROR(__xludf.DUMMYFUNCTION("""COMPUTED_VALUE"""),"LinWu_05")</f>
        <v>LinWu_05</v>
      </c>
      <c r="M28" s="5">
        <f>IFERROR(__xludf.DUMMYFUNCTION("""COMPUTED_VALUE"""),0.0026306018518518514)</f>
        <v>0.002630601852</v>
      </c>
      <c r="N28" s="5" t="str">
        <f>IFERROR(__xludf.DUMMYFUNCTION("""COMPUTED_VALUE"""),"380SX")</f>
        <v>380SX</v>
      </c>
      <c r="O28" s="5" t="str">
        <f>IFERROR(__xludf.DUMMYFUNCTION("""COMPUTED_VALUE"""),"PC")</f>
        <v>PC</v>
      </c>
      <c r="P28" s="5" t="str">
        <f>IFERROR(__xludf.DUMMYFUNCTION("""COMPUTED_VALUE"""),"Sacc")</f>
        <v>Sacc</v>
      </c>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row>
    <row r="29">
      <c r="A29" s="5" t="str">
        <f>IFERROR(__xludf.DUMMYFUNCTION("""COMPUTED_VALUE"""),"Tsuchisaka")</f>
        <v>Tsuchisaka</v>
      </c>
      <c r="B29" s="5" t="str">
        <f>IFERROR(__xludf.DUMMYFUNCTION("""COMPUTED_VALUE"""),"IB")</f>
        <v>IB</v>
      </c>
      <c r="C29" s="5" t="str">
        <f>IFERROR(__xludf.DUMMYFUNCTION("""COMPUTED_VALUE"""),"Jintei")</f>
        <v>Jintei</v>
      </c>
      <c r="D29" s="5" t="str">
        <f>IFERROR(__xludf.DUMMYFUNCTION("""COMPUTED_VALUE"""),"StarRiver Arts")</f>
        <v>StarRiver Arts</v>
      </c>
      <c r="E29" s="5">
        <f>IFERROR(__xludf.DUMMYFUNCTION("""COMPUTED_VALUE"""),0.0027189351851851853)</f>
        <v>0.002718935185</v>
      </c>
      <c r="F29" s="5" t="str">
        <f>IFERROR(__xludf.DUMMYFUNCTION("""COMPUTED_VALUE"""),"EVOVI/CP9A")</f>
        <v>EVOVI/CP9A</v>
      </c>
      <c r="G29" s="5" t="str">
        <f>IFERROR(__xludf.DUMMYFUNCTION("""COMPUTED_VALUE"""),"PC")</f>
        <v>PC</v>
      </c>
      <c r="H29" s="5" t="str">
        <f>IFERROR(__xludf.DUMMYFUNCTION("""COMPUTED_VALUE"""),"Sacc")</f>
        <v>Sacc</v>
      </c>
      <c r="I29" s="5" t="str">
        <f>IFERROR(__xludf.DUMMYFUNCTION("""COMPUTED_VALUE"""),"Shomaru")</f>
        <v>Shomaru</v>
      </c>
      <c r="J29" s="5" t="str">
        <f>IFERROR(__xludf.DUMMYFUNCTION("""COMPUTED_VALUE"""),"OB")</f>
        <v>OB</v>
      </c>
      <c r="K29" s="5" t="str">
        <f>IFERROR(__xludf.DUMMYFUNCTION("""COMPUTED_VALUE"""),"Jintei")</f>
        <v>Jintei</v>
      </c>
      <c r="L29" s="5" t="str">
        <f>IFERROR(__xludf.DUMMYFUNCTION("""COMPUTED_VALUE"""),"LinWu_05")</f>
        <v>LinWu_05</v>
      </c>
      <c r="M29" s="5">
        <f>IFERROR(__xludf.DUMMYFUNCTION("""COMPUTED_VALUE"""),0.002636377314814815)</f>
        <v>0.002636377315</v>
      </c>
      <c r="N29" s="5" t="str">
        <f>IFERROR(__xludf.DUMMYFUNCTION("""COMPUTED_VALUE"""),"EA11R (Cappuccino)")</f>
        <v>EA11R (Cappuccino)</v>
      </c>
      <c r="O29" s="5" t="str">
        <f>IFERROR(__xludf.DUMMYFUNCTION("""COMPUTED_VALUE"""),"PC")</f>
        <v>PC</v>
      </c>
      <c r="P29" s="5" t="str">
        <f>IFERROR(__xludf.DUMMYFUNCTION("""COMPUTED_VALUE"""),"Sacc")</f>
        <v>Sacc</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c r="A30" s="5" t="str">
        <f>IFERROR(__xludf.DUMMYFUNCTION("""COMPUTED_VALUE"""),"Tsukuba")</f>
        <v>Tsukuba</v>
      </c>
      <c r="B30" s="5" t="str">
        <f>IFERROR(__xludf.DUMMYFUNCTION("""COMPUTED_VALUE"""),"Double")</f>
        <v>Double</v>
      </c>
      <c r="C30" s="5" t="str">
        <f>IFERROR(__xludf.DUMMYFUNCTION("""COMPUTED_VALUE"""),"Jintei")</f>
        <v>Jintei</v>
      </c>
      <c r="D30" s="5" t="str">
        <f>IFERROR(__xludf.DUMMYFUNCTION("""COMPUTED_VALUE"""),"StarRiver Arts")</f>
        <v>StarRiver Arts</v>
      </c>
      <c r="E30" s="5">
        <f>IFERROR(__xludf.DUMMYFUNCTION("""COMPUTED_VALUE"""),0.0025958680555555557)</f>
        <v>0.002595868056</v>
      </c>
      <c r="F30" s="5" t="str">
        <f>IFERROR(__xludf.DUMMYFUNCTION("""COMPUTED_VALUE"""),"BNR34")</f>
        <v>BNR34</v>
      </c>
      <c r="G30" s="5" t="str">
        <f>IFERROR(__xludf.DUMMYFUNCTION("""COMPUTED_VALUE"""),"PC")</f>
        <v>PC</v>
      </c>
      <c r="H30" s="5" t="str">
        <f>IFERROR(__xludf.DUMMYFUNCTION("""COMPUTED_VALUE"""),"Sacc")</f>
        <v>Sacc</v>
      </c>
      <c r="I30" s="5" t="str">
        <f>IFERROR(__xludf.DUMMYFUNCTION("""COMPUTED_VALUE"""),"Tsubaki")</f>
        <v>Tsubaki</v>
      </c>
      <c r="J30" s="5" t="str">
        <f>IFERROR(__xludf.DUMMYFUNCTION("""COMPUTED_VALUE"""),"UH")</f>
        <v>UH</v>
      </c>
      <c r="K30" s="5" t="str">
        <f>IFERROR(__xludf.DUMMYFUNCTION("""COMPUTED_VALUE"""),"Jintei ")</f>
        <v>Jintei </v>
      </c>
      <c r="L30" s="5" t="str">
        <f>IFERROR(__xludf.DUMMYFUNCTION("""COMPUTED_VALUE"""),"LinWu_05")</f>
        <v>LinWu_05</v>
      </c>
      <c r="M30" s="5">
        <f>IFERROR(__xludf.DUMMYFUNCTION("""COMPUTED_VALUE"""),0.0029220717592592597)</f>
        <v>0.002922071759</v>
      </c>
      <c r="N30" s="5" t="str">
        <f>IFERROR(__xludf.DUMMYFUNCTION("""COMPUTED_VALUE"""),"NA1 (NSX)")</f>
        <v>NA1 (NSX)</v>
      </c>
      <c r="O30" s="5" t="str">
        <f>IFERROR(__xludf.DUMMYFUNCTION("""COMPUTED_VALUE"""),"PC")</f>
        <v>PC</v>
      </c>
      <c r="P30" s="5" t="str">
        <f>IFERROR(__xludf.DUMMYFUNCTION("""COMPUTED_VALUE"""),"Sacc")</f>
        <v>Sacc</v>
      </c>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row>
    <row r="31">
      <c r="A31" s="5" t="str">
        <f>IFERROR(__xludf.DUMMYFUNCTION("""COMPUTED_VALUE"""),"Tsukuba")</f>
        <v>Tsukuba</v>
      </c>
      <c r="B31" s="5" t="str">
        <f>IFERROR(__xludf.DUMMYFUNCTION("""COMPUTED_VALUE"""),"DH")</f>
        <v>DH</v>
      </c>
      <c r="C31" s="5" t="str">
        <f>IFERROR(__xludf.DUMMYFUNCTION("""COMPUTED_VALUE"""),"Jintei")</f>
        <v>Jintei</v>
      </c>
      <c r="D31" s="5" t="str">
        <f>IFERROR(__xludf.DUMMYFUNCTION("""COMPUTED_VALUE"""),"StarRiver Arts")</f>
        <v>StarRiver Arts</v>
      </c>
      <c r="E31" s="5">
        <f>IFERROR(__xludf.DUMMYFUNCTION("""COMPUTED_VALUE"""),0.0013395023148148149)</f>
        <v>0.001339502315</v>
      </c>
      <c r="F31" s="5" t="str">
        <f>IFERROR(__xludf.DUMMYFUNCTION("""COMPUTED_VALUE"""),"AE86T")</f>
        <v>AE86T</v>
      </c>
      <c r="G31" s="5" t="str">
        <f>IFERROR(__xludf.DUMMYFUNCTION("""COMPUTED_VALUE"""),"PC")</f>
        <v>PC</v>
      </c>
      <c r="H31" s="5" t="str">
        <f>IFERROR(__xludf.DUMMYFUNCTION("""COMPUTED_VALUE"""),"Sacc")</f>
        <v>Sacc</v>
      </c>
      <c r="I31" s="5" t="str">
        <f>IFERROR(__xludf.DUMMYFUNCTION("""COMPUTED_VALUE"""),"Summit")</f>
        <v>Summit</v>
      </c>
      <c r="J31" s="5"/>
      <c r="K31" s="5" t="str">
        <f>IFERROR(__xludf.DUMMYFUNCTION("""COMPUTED_VALUE"""),"Jintei")</f>
        <v>Jintei</v>
      </c>
      <c r="L31" s="5" t="str">
        <f>IFERROR(__xludf.DUMMYFUNCTION("""COMPUTED_VALUE"""),"LinWu_05")</f>
        <v>LinWu_05</v>
      </c>
      <c r="M31" s="5">
        <f>IFERROR(__xludf.DUMMYFUNCTION("""COMPUTED_VALUE"""),0.0012540509259259258)</f>
        <v>0.001254050926</v>
      </c>
      <c r="N31" s="5" t="str">
        <f>IFERROR(__xludf.DUMMYFUNCTION("""COMPUTED_VALUE"""),"CX-3")</f>
        <v>CX-3</v>
      </c>
      <c r="O31" s="5" t="str">
        <f>IFERROR(__xludf.DUMMYFUNCTION("""COMPUTED_VALUE"""),"PC")</f>
        <v>PC</v>
      </c>
      <c r="P31" s="5" t="str">
        <f>IFERROR(__xludf.DUMMYFUNCTION("""COMPUTED_VALUE"""),"Sacc")</f>
        <v>Sacc</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row>
    <row r="32">
      <c r="A32" s="5" t="str">
        <f>IFERROR(__xludf.DUMMYFUNCTION("""COMPUTED_VALUE"""),"Tsukuba")</f>
        <v>Tsukuba</v>
      </c>
      <c r="B32" s="5" t="str">
        <f>IFERROR(__xludf.DUMMYFUNCTION("""COMPUTED_VALUE"""),"UH")</f>
        <v>UH</v>
      </c>
      <c r="C32" s="5" t="str">
        <f>IFERROR(__xludf.DUMMYFUNCTION("""COMPUTED_VALUE"""),"Jintei")</f>
        <v>Jintei</v>
      </c>
      <c r="D32" s="5" t="str">
        <f>IFERROR(__xludf.DUMMYFUNCTION("""COMPUTED_VALUE"""),"StarRiver Arts")</f>
        <v>StarRiver Arts</v>
      </c>
      <c r="E32" s="5">
        <f>IFERROR(__xludf.DUMMYFUNCTION("""COMPUTED_VALUE"""),0.0014099189814814814)</f>
        <v>0.001409918981</v>
      </c>
      <c r="F32" s="5" t="str">
        <f>IFERROR(__xludf.DUMMYFUNCTION("""COMPUTED_VALUE"""),"AE86T")</f>
        <v>AE86T</v>
      </c>
      <c r="G32" s="5" t="str">
        <f>IFERROR(__xludf.DUMMYFUNCTION("""COMPUTED_VALUE"""),"PC")</f>
        <v>PC</v>
      </c>
      <c r="H32" s="5" t="str">
        <f>IFERROR(__xludf.DUMMYFUNCTION("""COMPUTED_VALUE"""),"Sacc")</f>
        <v>Sacc</v>
      </c>
      <c r="I32" s="5" t="str">
        <f>IFERROR(__xludf.DUMMYFUNCTION("""COMPUTED_VALUE"""),"Tsuchisaka Snow")</f>
        <v>Tsuchisaka Snow</v>
      </c>
      <c r="J32" s="5" t="str">
        <f>IFERROR(__xludf.DUMMYFUNCTION("""COMPUTED_VALUE"""),"OB")</f>
        <v>OB</v>
      </c>
      <c r="K32" s="5" t="str">
        <f>IFERROR(__xludf.DUMMYFUNCTION("""COMPUTED_VALUE"""),"Jintei")</f>
        <v>Jintei</v>
      </c>
      <c r="L32" s="5" t="str">
        <f>IFERROR(__xludf.DUMMYFUNCTION("""COMPUTED_VALUE"""),"LinWu_05")</f>
        <v>LinWu_05</v>
      </c>
      <c r="M32" s="5">
        <f>IFERROR(__xludf.DUMMYFUNCTION("""COMPUTED_VALUE"""),0.0026423611111111114)</f>
        <v>0.002642361111</v>
      </c>
      <c r="N32" s="5" t="str">
        <f>IFERROR(__xludf.DUMMYFUNCTION("""COMPUTED_VALUE"""),"BNR34")</f>
        <v>BNR34</v>
      </c>
      <c r="O32" s="5" t="str">
        <f>IFERROR(__xludf.DUMMYFUNCTION("""COMPUTED_VALUE"""),"PC")</f>
        <v>PC</v>
      </c>
      <c r="P32" s="5" t="str">
        <f>IFERROR(__xludf.DUMMYFUNCTION("""COMPUTED_VALUE"""),"Sacc")</f>
        <v>Sacc</v>
      </c>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row>
    <row r="33">
      <c r="A33" s="5" t="str">
        <f>IFERROR(__xludf.DUMMYFUNCTION("""COMPUTED_VALUE"""),"Tsukuba")</f>
        <v>Tsukuba</v>
      </c>
      <c r="B33" s="5" t="str">
        <f>IFERROR(__xludf.DUMMYFUNCTION("""COMPUTED_VALUE"""),"OB")</f>
        <v>OB</v>
      </c>
      <c r="C33" s="5" t="str">
        <f>IFERROR(__xludf.DUMMYFUNCTION("""COMPUTED_VALUE"""),"Jintei ")</f>
        <v>Jintei </v>
      </c>
      <c r="D33" s="5" t="str">
        <f>IFERROR(__xludf.DUMMYFUNCTION("""COMPUTED_VALUE"""),"StarRiver Arts")</f>
        <v>StarRiver Arts</v>
      </c>
      <c r="E33" s="5">
        <f>IFERROR(__xludf.DUMMYFUNCTION("""COMPUTED_VALUE"""),0.0025333680555555556)</f>
        <v>0.002533368056</v>
      </c>
      <c r="F33" s="5" t="str">
        <f>IFERROR(__xludf.DUMMYFUNCTION("""COMPUTED_VALUE"""),"R35N3")</f>
        <v>R35N3</v>
      </c>
      <c r="G33" s="5" t="str">
        <f>IFERROR(__xludf.DUMMYFUNCTION("""COMPUTED_VALUE"""),"PC")</f>
        <v>PC</v>
      </c>
      <c r="H33" s="5" t="str">
        <f>IFERROR(__xludf.DUMMYFUNCTION("""COMPUTED_VALUE"""),"Sacc")</f>
        <v>Sacc</v>
      </c>
      <c r="I33" s="5" t="str">
        <f>IFERROR(__xludf.DUMMYFUNCTION("""COMPUTED_VALUE"""),"Tsuchisaka Snow")</f>
        <v>Tsuchisaka Snow</v>
      </c>
      <c r="J33" s="5" t="str">
        <f>IFERROR(__xludf.DUMMYFUNCTION("""COMPUTED_VALUE"""),"IB")</f>
        <v>IB</v>
      </c>
      <c r="K33" s="5" t="str">
        <f>IFERROR(__xludf.DUMMYFUNCTION("""COMPUTED_VALUE"""),"Jintei")</f>
        <v>Jintei</v>
      </c>
      <c r="L33" s="5" t="str">
        <f>IFERROR(__xludf.DUMMYFUNCTION("""COMPUTED_VALUE"""),"LinWu_05")</f>
        <v>LinWu_05</v>
      </c>
      <c r="M33" s="5">
        <f>IFERROR(__xludf.DUMMYFUNCTION("""COMPUTED_VALUE"""),0.0026034953703703706)</f>
        <v>0.00260349537</v>
      </c>
      <c r="N33" s="5" t="str">
        <f>IFERROR(__xludf.DUMMYFUNCTION("""COMPUTED_VALUE"""),"BNR34")</f>
        <v>BNR34</v>
      </c>
      <c r="O33" s="5" t="str">
        <f>IFERROR(__xludf.DUMMYFUNCTION("""COMPUTED_VALUE"""),"PC")</f>
        <v>PC</v>
      </c>
      <c r="P33" s="5" t="str">
        <f>IFERROR(__xludf.DUMMYFUNCTION("""COMPUTED_VALUE"""),"Sacc")</f>
        <v>Sacc</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row>
    <row r="34">
      <c r="A34" s="5" t="str">
        <f>IFERROR(__xludf.DUMMYFUNCTION("""COMPUTED_VALUE"""),"Tsukuba")</f>
        <v>Tsukuba</v>
      </c>
      <c r="B34" s="5" t="str">
        <f>IFERROR(__xludf.DUMMYFUNCTION("""COMPUTED_VALUE"""),"IB")</f>
        <v>IB</v>
      </c>
      <c r="C34" s="5" t="str">
        <f>IFERROR(__xludf.DUMMYFUNCTION("""COMPUTED_VALUE"""),"Jintei")</f>
        <v>Jintei</v>
      </c>
      <c r="D34" s="5" t="str">
        <f>IFERROR(__xludf.DUMMYFUNCTION("""COMPUTED_VALUE"""),"StarRiver Arts")</f>
        <v>StarRiver Arts</v>
      </c>
      <c r="E34" s="5">
        <f>IFERROR(__xludf.DUMMYFUNCTION("""COMPUTED_VALUE"""),0.0028244560185185182)</f>
        <v>0.002824456019</v>
      </c>
      <c r="F34" s="5" t="str">
        <f>IFERROR(__xludf.DUMMYFUNCTION("""COMPUTED_VALUE"""),"AE86T")</f>
        <v>AE86T</v>
      </c>
      <c r="G34" s="5" t="str">
        <f>IFERROR(__xludf.DUMMYFUNCTION("""COMPUTED_VALUE"""),"PC")</f>
        <v>PC</v>
      </c>
      <c r="H34" s="5" t="str">
        <f>IFERROR(__xludf.DUMMYFUNCTION("""COMPUTED_VALUE"""),"Sacc")</f>
        <v>Sacc</v>
      </c>
      <c r="I34" s="5" t="str">
        <f>IFERROR(__xludf.DUMMYFUNCTION("""COMPUTED_VALUE"""),"Nanamagari")</f>
        <v>Nanamagari</v>
      </c>
      <c r="J34" s="5" t="str">
        <f>IFERROR(__xludf.DUMMYFUNCTION("""COMPUTED_VALUE"""),"DH")</f>
        <v>DH</v>
      </c>
      <c r="K34" s="5" t="str">
        <f>IFERROR(__xludf.DUMMYFUNCTION("""COMPUTED_VALUE"""),"Jintei ")</f>
        <v>Jintei </v>
      </c>
      <c r="L34" s="5" t="str">
        <f>IFERROR(__xludf.DUMMYFUNCTION("""COMPUTED_VALUE"""),"LinWu_05")</f>
        <v>LinWu_05</v>
      </c>
      <c r="M34" s="5">
        <f>IFERROR(__xludf.DUMMYFUNCTION("""COMPUTED_VALUE"""),0.002581412037037037)</f>
        <v>0.002581412037</v>
      </c>
      <c r="N34" s="5" t="str">
        <f>IFERROR(__xludf.DUMMYFUNCTION("""COMPUTED_VALUE"""),"NA2")</f>
        <v>NA2</v>
      </c>
      <c r="O34" s="5" t="str">
        <f>IFERROR(__xludf.DUMMYFUNCTION("""COMPUTED_VALUE"""),"PC")</f>
        <v>PC</v>
      </c>
      <c r="P34" s="5" t="str">
        <f>IFERROR(__xludf.DUMMYFUNCTION("""COMPUTED_VALUE"""),"Sacc")</f>
        <v>Sacc</v>
      </c>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row>
    <row r="35">
      <c r="A35" s="5" t="str">
        <f>IFERROR(__xludf.DUMMYFUNCTION("""COMPUTED_VALUE"""),"Usui V1")</f>
        <v>Usui V1</v>
      </c>
      <c r="B35" s="5" t="str">
        <f>IFERROR(__xludf.DUMMYFUNCTION("""COMPUTED_VALUE"""),"CW")</f>
        <v>CW</v>
      </c>
      <c r="C35" s="5" t="str">
        <f>IFERROR(__xludf.DUMMYFUNCTION("""COMPUTED_VALUE"""),"Jintei")</f>
        <v>Jintei</v>
      </c>
      <c r="D35" s="5" t="str">
        <f>IFERROR(__xludf.DUMMYFUNCTION("""COMPUTED_VALUE"""),"StarRiver Arts")</f>
        <v>StarRiver Arts</v>
      </c>
      <c r="E35" s="5">
        <f>IFERROR(__xludf.DUMMYFUNCTION("""COMPUTED_VALUE"""),0.0026026273148148146)</f>
        <v>0.002602627315</v>
      </c>
      <c r="F35" s="5" t="str">
        <f>IFERROR(__xludf.DUMMYFUNCTION("""COMPUTED_VALUE"""),"ER34 (R34 23GT Turbo)")</f>
        <v>ER34 (R34 23GT Turbo)</v>
      </c>
      <c r="G35" s="5" t="str">
        <f>IFERROR(__xludf.DUMMYFUNCTION("""COMPUTED_VALUE"""),"PC")</f>
        <v>PC</v>
      </c>
      <c r="H35" s="5" t="str">
        <f>IFERROR(__xludf.DUMMYFUNCTION("""COMPUTED_VALUE"""),"Sacc")</f>
        <v>Sacc</v>
      </c>
      <c r="I35" s="5" t="str">
        <f>IFERROR(__xludf.DUMMYFUNCTION("""COMPUTED_VALUE"""),"Akina Snow")</f>
        <v>Akina Snow</v>
      </c>
      <c r="J35" s="5" t="str">
        <f>IFERROR(__xludf.DUMMYFUNCTION("""COMPUTED_VALUE"""),"DH")</f>
        <v>DH</v>
      </c>
      <c r="K35" s="5" t="str">
        <f>IFERROR(__xludf.DUMMYFUNCTION("""COMPUTED_VALUE"""),"Jintei ")</f>
        <v>Jintei </v>
      </c>
      <c r="L35" s="5" t="str">
        <f>IFERROR(__xludf.DUMMYFUNCTION("""COMPUTED_VALUE"""),"LinWu_05")</f>
        <v>LinWu_05</v>
      </c>
      <c r="M35" s="5">
        <f>IFERROR(__xludf.DUMMYFUNCTION("""COMPUTED_VALUE"""),0.002913576388888889)</f>
        <v>0.002913576389</v>
      </c>
      <c r="N35" s="5" t="str">
        <f>IFERROR(__xludf.DUMMYFUNCTION("""COMPUTED_VALUE"""),"GC8-F (Impreza)")</f>
        <v>GC8-F (Impreza)</v>
      </c>
      <c r="O35" s="5" t="str">
        <f>IFERROR(__xludf.DUMMYFUNCTION("""COMPUTED_VALUE"""),"PC")</f>
        <v>PC</v>
      </c>
      <c r="P35" s="5" t="str">
        <f>IFERROR(__xludf.DUMMYFUNCTION("""COMPUTED_VALUE"""),"Sacc")</f>
        <v>Sacc</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row>
    <row r="36">
      <c r="A36" s="5" t="str">
        <f>IFERROR(__xludf.DUMMYFUNCTION("""COMPUTED_VALUE"""),"Usui V2")</f>
        <v>Usui V2</v>
      </c>
      <c r="B36" s="5" t="str">
        <f>IFERROR(__xludf.DUMMYFUNCTION("""COMPUTED_VALUE"""),"CC")</f>
        <v>CC</v>
      </c>
      <c r="C36" s="5" t="str">
        <f>IFERROR(__xludf.DUMMYFUNCTION("""COMPUTED_VALUE"""),"Jintei")</f>
        <v>Jintei</v>
      </c>
      <c r="D36" s="5" t="str">
        <f>IFERROR(__xludf.DUMMYFUNCTION("""COMPUTED_VALUE"""),"StarRiver Arts")</f>
        <v>StarRiver Arts</v>
      </c>
      <c r="E36" s="5">
        <f>IFERROR(__xludf.DUMMYFUNCTION("""COMPUTED_VALUE"""),0.0025381944444444445)</f>
        <v>0.002538194444</v>
      </c>
      <c r="F36" s="5" t="str">
        <f>IFERROR(__xludf.DUMMYFUNCTION("""COMPUTED_VALUE"""),"EVOX/CZ4A")</f>
        <v>EVOX/CZ4A</v>
      </c>
      <c r="G36" s="5" t="str">
        <f>IFERROR(__xludf.DUMMYFUNCTION("""COMPUTED_VALUE"""),"PC")</f>
        <v>PC</v>
      </c>
      <c r="H36" s="5" t="str">
        <f>IFERROR(__xludf.DUMMYFUNCTION("""COMPUTED_VALUE"""),"Sacc")</f>
        <v>Sacc</v>
      </c>
      <c r="I36" s="5" t="str">
        <f>IFERROR(__xludf.DUMMYFUNCTION("""COMPUTED_VALUE"""),"Tsukuba")</f>
        <v>Tsukuba</v>
      </c>
      <c r="J36" s="5" t="str">
        <f>IFERROR(__xludf.DUMMYFUNCTION("""COMPUTED_VALUE"""),"DH")</f>
        <v>DH</v>
      </c>
      <c r="K36" s="5" t="str">
        <f>IFERROR(__xludf.DUMMYFUNCTION("""COMPUTED_VALUE"""),"Jintei ")</f>
        <v>Jintei </v>
      </c>
      <c r="L36" s="5" t="str">
        <f>IFERROR(__xludf.DUMMYFUNCTION("""COMPUTED_VALUE"""),"LinWu_05")</f>
        <v>LinWu_05</v>
      </c>
      <c r="M36" s="5">
        <f>IFERROR(__xludf.DUMMYFUNCTION("""COMPUTED_VALUE"""),0.0012330208333333334)</f>
        <v>0.001233020833</v>
      </c>
      <c r="N36" s="5" t="str">
        <f>IFERROR(__xludf.DUMMYFUNCTION("""COMPUTED_VALUE"""),"BNR34")</f>
        <v>BNR34</v>
      </c>
      <c r="O36" s="5" t="str">
        <f>IFERROR(__xludf.DUMMYFUNCTION("""COMPUTED_VALUE"""),"PC")</f>
        <v>PC</v>
      </c>
      <c r="P36" s="5" t="str">
        <f>IFERROR(__xludf.DUMMYFUNCTION("""COMPUTED_VALUE"""),"Sacc")</f>
        <v>Sacc</v>
      </c>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row>
    <row r="37">
      <c r="A37" s="5" t="str">
        <f>IFERROR(__xludf.DUMMYFUNCTION("""COMPUTED_VALUE"""),"Usui V2")</f>
        <v>Usui V2</v>
      </c>
      <c r="B37" s="5" t="str">
        <f>IFERROR(__xludf.DUMMYFUNCTION("""COMPUTED_VALUE"""),"CW")</f>
        <v>CW</v>
      </c>
      <c r="C37" s="5" t="str">
        <f>IFERROR(__xludf.DUMMYFUNCTION("""COMPUTED_VALUE"""),"Jintei ")</f>
        <v>Jintei </v>
      </c>
      <c r="D37" s="5" t="str">
        <f>IFERROR(__xludf.DUMMYFUNCTION("""COMPUTED_VALUE"""),"StarRiver Arts")</f>
        <v>StarRiver Arts</v>
      </c>
      <c r="E37" s="5">
        <f>IFERROR(__xludf.DUMMYFUNCTION("""COMPUTED_VALUE"""),0.002518703703703704)</f>
        <v>0.002518703704</v>
      </c>
      <c r="F37" s="5" t="str">
        <f>IFERROR(__xludf.DUMMYFUNCTION("""COMPUTED_VALUE"""),"SilEighty")</f>
        <v>SilEighty</v>
      </c>
      <c r="G37" s="5" t="str">
        <f>IFERROR(__xludf.DUMMYFUNCTION("""COMPUTED_VALUE"""),"PC")</f>
        <v>PC</v>
      </c>
      <c r="H37" s="5" t="str">
        <f>IFERROR(__xludf.DUMMYFUNCTION("""COMPUTED_VALUE"""),"Sacc")</f>
        <v>Sacc</v>
      </c>
      <c r="I37" s="5" t="str">
        <f>IFERROR(__xludf.DUMMYFUNCTION("""COMPUTED_VALUE"""),"Tsukuba")</f>
        <v>Tsukuba</v>
      </c>
      <c r="J37" s="5" t="str">
        <f>IFERROR(__xludf.DUMMYFUNCTION("""COMPUTED_VALUE"""),"UH")</f>
        <v>UH</v>
      </c>
      <c r="K37" s="5" t="str">
        <f>IFERROR(__xludf.DUMMYFUNCTION("""COMPUTED_VALUE"""),"Jintei ")</f>
        <v>Jintei </v>
      </c>
      <c r="L37" s="5" t="str">
        <f>IFERROR(__xludf.DUMMYFUNCTION("""COMPUTED_VALUE"""),"LinWu_05")</f>
        <v>LinWu_05</v>
      </c>
      <c r="M37" s="5">
        <f>IFERROR(__xludf.DUMMYFUNCTION("""COMPUTED_VALUE"""),0.0013437500000000001)</f>
        <v>0.00134375</v>
      </c>
      <c r="N37" s="5" t="str">
        <f>IFERROR(__xludf.DUMMYFUNCTION("""COMPUTED_VALUE"""),"BNR34")</f>
        <v>BNR34</v>
      </c>
      <c r="O37" s="5" t="str">
        <f>IFERROR(__xludf.DUMMYFUNCTION("""COMPUTED_VALUE"""),"PC")</f>
        <v>PC</v>
      </c>
      <c r="P37" s="5" t="str">
        <f>IFERROR(__xludf.DUMMYFUNCTION("""COMPUTED_VALUE"""),"Sacc")</f>
        <v>Sacc</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row>
    <row r="38">
      <c r="A38" s="5" t="str">
        <f>IFERROR(__xludf.DUMMYFUNCTION("""COMPUTED_VALUE"""),"Tsubaki")</f>
        <v>Tsubaki</v>
      </c>
      <c r="B38" s="5" t="str">
        <f>IFERROR(__xludf.DUMMYFUNCTION("""COMPUTED_VALUE"""),"UH")</f>
        <v>UH</v>
      </c>
      <c r="C38" s="5" t="str">
        <f>IFERROR(__xludf.DUMMYFUNCTION("""COMPUTED_VALUE"""),"Jintei ")</f>
        <v>Jintei </v>
      </c>
      <c r="D38" s="5" t="str">
        <f>IFERROR(__xludf.DUMMYFUNCTION("""COMPUTED_VALUE"""),"StarRiver Arts")</f>
        <v>StarRiver Arts</v>
      </c>
      <c r="E38" s="5">
        <f>IFERROR(__xludf.DUMMYFUNCTION("""COMPUTED_VALUE"""),0.0029947916666666664)</f>
        <v>0.002994791667</v>
      </c>
      <c r="F38" s="5" t="str">
        <f>IFERROR(__xludf.DUMMYFUNCTION("""COMPUTED_VALUE"""),"FL5 (Civic Type-R)")</f>
        <v>FL5 (Civic Type-R)</v>
      </c>
      <c r="G38" s="5" t="str">
        <f>IFERROR(__xludf.DUMMYFUNCTION("""COMPUTED_VALUE"""),"PC")</f>
        <v>PC</v>
      </c>
      <c r="H38" s="5" t="str">
        <f>IFERROR(__xludf.DUMMYFUNCTION("""COMPUTED_VALUE"""),"Sacc")</f>
        <v>Sacc</v>
      </c>
      <c r="I38" s="5" t="str">
        <f>IFERROR(__xludf.DUMMYFUNCTION("""COMPUTED_VALUE"""),"Hakone")</f>
        <v>Hakone</v>
      </c>
      <c r="J38" s="5" t="str">
        <f>IFERROR(__xludf.DUMMYFUNCTION("""COMPUTED_VALUE"""),"DH")</f>
        <v>DH</v>
      </c>
      <c r="K38" s="5" t="str">
        <f>IFERROR(__xludf.DUMMYFUNCTION("""COMPUTED_VALUE"""),"Jintei ")</f>
        <v>Jintei </v>
      </c>
      <c r="L38" s="5" t="str">
        <f>IFERROR(__xludf.DUMMYFUNCTION("""COMPUTED_VALUE"""),"LinWu_05")</f>
        <v>LinWu_05</v>
      </c>
      <c r="M38" s="5">
        <f>IFERROR(__xludf.DUMMYFUNCTION("""COMPUTED_VALUE"""),0.002515428240740741)</f>
        <v>0.002515428241</v>
      </c>
      <c r="N38" s="5" t="str">
        <f>IFERROR(__xludf.DUMMYFUNCTION("""COMPUTED_VALUE"""),"BNR32")</f>
        <v>BNR32</v>
      </c>
      <c r="O38" s="5" t="str">
        <f>IFERROR(__xludf.DUMMYFUNCTION("""COMPUTED_VALUE"""),"PC")</f>
        <v>PC</v>
      </c>
      <c r="P38" s="5" t="str">
        <f>IFERROR(__xludf.DUMMYFUNCTION("""COMPUTED_VALUE"""),"Sacc")</f>
        <v>Sacc</v>
      </c>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c r="A39" s="5" t="str">
        <f>IFERROR(__xludf.DUMMYFUNCTION("""COMPUTED_VALUE"""),"Shomaru")</f>
        <v>Shomaru</v>
      </c>
      <c r="B39" s="5" t="str">
        <f>IFERROR(__xludf.DUMMYFUNCTION("""COMPUTED_VALUE"""),"IB")</f>
        <v>IB</v>
      </c>
      <c r="C39" s="5" t="str">
        <f>IFERROR(__xludf.DUMMYFUNCTION("""COMPUTED_VALUE"""),"Jintei")</f>
        <v>Jintei</v>
      </c>
      <c r="D39" s="5" t="str">
        <f>IFERROR(__xludf.DUMMYFUNCTION("""COMPUTED_VALUE"""),"StarRiver Arts")</f>
        <v>StarRiver Arts</v>
      </c>
      <c r="E39" s="5">
        <f>IFERROR(__xludf.DUMMYFUNCTION("""COMPUTED_VALUE"""),0.002908368055555555)</f>
        <v>0.002908368056</v>
      </c>
      <c r="F39" s="5" t="str">
        <f>IFERROR(__xludf.DUMMYFUNCTION("""COMPUTED_VALUE"""),"EA11R (Cappuccino)")</f>
        <v>EA11R (Cappuccino)</v>
      </c>
      <c r="G39" s="5" t="str">
        <f>IFERROR(__xludf.DUMMYFUNCTION("""COMPUTED_VALUE"""),"PC")</f>
        <v>PC</v>
      </c>
      <c r="H39" s="5" t="str">
        <f>IFERROR(__xludf.DUMMYFUNCTION("""COMPUTED_VALUE"""),"Sacc")</f>
        <v>Sacc</v>
      </c>
      <c r="I39" s="5" t="str">
        <f>IFERROR(__xludf.DUMMYFUNCTION("""COMPUTED_VALUE"""),"Tsukuba")</f>
        <v>Tsukuba</v>
      </c>
      <c r="J39" s="5" t="str">
        <f>IFERROR(__xludf.DUMMYFUNCTION("""COMPUTED_VALUE"""),"OB")</f>
        <v>OB</v>
      </c>
      <c r="K39" s="5" t="str">
        <f>IFERROR(__xludf.DUMMYFUNCTION("""COMPUTED_VALUE"""),"Jintei ")</f>
        <v>Jintei </v>
      </c>
      <c r="L39" s="5" t="str">
        <f>IFERROR(__xludf.DUMMYFUNCTION("""COMPUTED_VALUE"""),"LinWu_05")</f>
        <v>LinWu_05</v>
      </c>
      <c r="M39" s="5">
        <f>IFERROR(__xludf.DUMMYFUNCTION("""COMPUTED_VALUE"""),0.0027712268518518515)</f>
        <v>0.002771226852</v>
      </c>
      <c r="N39" s="5" t="str">
        <f>IFERROR(__xludf.DUMMYFUNCTION("""COMPUTED_VALUE"""),"BNR34")</f>
        <v>BNR34</v>
      </c>
      <c r="O39" s="5" t="str">
        <f>IFERROR(__xludf.DUMMYFUNCTION("""COMPUTED_VALUE"""),"PC")</f>
        <v>PC</v>
      </c>
      <c r="P39" s="5" t="str">
        <f>IFERROR(__xludf.DUMMYFUNCTION("""COMPUTED_VALUE"""),"Sacc")</f>
        <v>Sacc</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row>
    <row r="40">
      <c r="A40" s="5" t="str">
        <f>IFERROR(__xludf.DUMMYFUNCTION("""COMPUTED_VALUE"""),"Shomaru")</f>
        <v>Shomaru</v>
      </c>
      <c r="B40" s="5" t="str">
        <f>IFERROR(__xludf.DUMMYFUNCTION("""COMPUTED_VALUE"""),"OB")</f>
        <v>OB</v>
      </c>
      <c r="C40" s="5" t="str">
        <f>IFERROR(__xludf.DUMMYFUNCTION("""COMPUTED_VALUE"""),"Jintei")</f>
        <v>Jintei</v>
      </c>
      <c r="D40" s="5" t="str">
        <f>IFERROR(__xludf.DUMMYFUNCTION("""COMPUTED_VALUE"""),"StarRiver Arts")</f>
        <v>StarRiver Arts</v>
      </c>
      <c r="E40" s="5">
        <f>IFERROR(__xludf.DUMMYFUNCTION("""COMPUTED_VALUE"""),0.0027656365740740736)</f>
        <v>0.002765636574</v>
      </c>
      <c r="F40" s="5" t="str">
        <f>IFERROR(__xludf.DUMMYFUNCTION("""COMPUTED_VALUE"""),"EA11R (Cappuccino)")</f>
        <v>EA11R (Cappuccino)</v>
      </c>
      <c r="G40" s="5" t="str">
        <f>IFERROR(__xludf.DUMMYFUNCTION("""COMPUTED_VALUE"""),"PC")</f>
        <v>PC</v>
      </c>
      <c r="H40" s="5" t="str">
        <f>IFERROR(__xludf.DUMMYFUNCTION("""COMPUTED_VALUE"""),"Sacc")</f>
        <v>Sacc</v>
      </c>
      <c r="I40" s="5" t="str">
        <f>IFERROR(__xludf.DUMMYFUNCTION("""COMPUTED_VALUE"""),"StarSight")</f>
        <v>StarSight</v>
      </c>
      <c r="J40" s="5" t="str">
        <f>IFERROR(__xludf.DUMMYFUNCTION("""COMPUTED_VALUE"""),"DH")</f>
        <v>DH</v>
      </c>
      <c r="K40" s="5" t="str">
        <f>IFERROR(__xludf.DUMMYFUNCTION("""COMPUTED_VALUE"""),"StarRiver Arts")</f>
        <v>StarRiver Arts</v>
      </c>
      <c r="L40" s="5" t="str">
        <f>IFERROR(__xludf.DUMMYFUNCTION("""COMPUTED_VALUE"""),"LinWu_05")</f>
        <v>LinWu_05</v>
      </c>
      <c r="M40" s="5">
        <f>IFERROR(__xludf.DUMMYFUNCTION("""COMPUTED_VALUE"""),0.0011741898148148148)</f>
        <v>0.001174189815</v>
      </c>
      <c r="N40" s="5" t="str">
        <f>IFERROR(__xludf.DUMMYFUNCTION("""COMPUTED_VALUE"""),"Macchiato")</f>
        <v>Macchiato</v>
      </c>
      <c r="O40" s="5" t="str">
        <f>IFERROR(__xludf.DUMMYFUNCTION("""COMPUTED_VALUE"""),"PC")</f>
        <v>PC</v>
      </c>
      <c r="P40" s="5" t="str">
        <f>IFERROR(__xludf.DUMMYFUNCTION("""COMPUTED_VALUE"""),"CVS")</f>
        <v>CVS</v>
      </c>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row>
    <row r="41">
      <c r="A41" s="5" t="str">
        <f>IFERROR(__xludf.DUMMYFUNCTION("""COMPUTED_VALUE"""),"Shomaru")</f>
        <v>Shomaru</v>
      </c>
      <c r="B41" s="5" t="str">
        <f>IFERROR(__xludf.DUMMYFUNCTION("""COMPUTED_VALUE"""),"Double")</f>
        <v>Double</v>
      </c>
      <c r="C41" s="5" t="str">
        <f>IFERROR(__xludf.DUMMYFUNCTION("""COMPUTED_VALUE"""),"Jintei")</f>
        <v>Jintei</v>
      </c>
      <c r="D41" s="5" t="str">
        <f>IFERROR(__xludf.DUMMYFUNCTION("""COMPUTED_VALUE"""),"StarRiver Arts")</f>
        <v>StarRiver Arts</v>
      </c>
      <c r="E41" s="5">
        <f>IFERROR(__xludf.DUMMYFUNCTION("""COMPUTED_VALUE"""),0.006263368055555555)</f>
        <v>0.006263368056</v>
      </c>
      <c r="F41" s="5" t="str">
        <f>IFERROR(__xludf.DUMMYFUNCTION("""COMPUTED_VALUE"""),"SXE10 (Altezza)")</f>
        <v>SXE10 (Altezza)</v>
      </c>
      <c r="G41" s="5" t="str">
        <f>IFERROR(__xludf.DUMMYFUNCTION("""COMPUTED_VALUE"""),"PC")</f>
        <v>PC</v>
      </c>
      <c r="H41" s="5" t="str">
        <f>IFERROR(__xludf.DUMMYFUNCTION("""COMPUTED_VALUE"""),"Sacc")</f>
        <v>Sacc</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row>
    <row r="42">
      <c r="A42" s="5" t="str">
        <f>IFERROR(__xludf.DUMMYFUNCTION("""COMPUTED_VALUE"""),"Lake Akina")</f>
        <v>Lake Akina</v>
      </c>
      <c r="B42" s="5" t="str">
        <f>IFERROR(__xludf.DUMMYFUNCTION("""COMPUTED_VALUE"""),"CW")</f>
        <v>CW</v>
      </c>
      <c r="C42" s="5" t="str">
        <f>IFERROR(__xludf.DUMMYFUNCTION("""COMPUTED_VALUE"""),"Jintei")</f>
        <v>Jintei</v>
      </c>
      <c r="D42" s="5" t="str">
        <f>IFERROR(__xludf.DUMMYFUNCTION("""COMPUTED_VALUE"""),"StarRiver Arts")</f>
        <v>StarRiver Arts</v>
      </c>
      <c r="E42" s="5">
        <f>IFERROR(__xludf.DUMMYFUNCTION("""COMPUTED_VALUE"""),0.0024396180555555556)</f>
        <v>0.002439618056</v>
      </c>
      <c r="F42" s="5" t="str">
        <f>IFERROR(__xludf.DUMMYFUNCTION("""COMPUTED_VALUE"""),"GC8-F (Impreza)")</f>
        <v>GC8-F (Impreza)</v>
      </c>
      <c r="G42" s="5" t="str">
        <f>IFERROR(__xludf.DUMMYFUNCTION("""COMPUTED_VALUE"""),"PC")</f>
        <v>PC</v>
      </c>
      <c r="H42" s="5" t="str">
        <f>IFERROR(__xludf.DUMMYFUNCTION("""COMPUTED_VALUE"""),"Sacc")</f>
        <v>Sacc</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row>
    <row r="43">
      <c r="A43" s="5" t="str">
        <f>IFERROR(__xludf.DUMMYFUNCTION("""COMPUTED_VALUE"""),"Lake Akina")</f>
        <v>Lake Akina</v>
      </c>
      <c r="B43" s="5" t="str">
        <f>IFERROR(__xludf.DUMMYFUNCTION("""COMPUTED_VALUE"""),"CC")</f>
        <v>CC</v>
      </c>
      <c r="C43" s="5" t="str">
        <f>IFERROR(__xludf.DUMMYFUNCTION("""COMPUTED_VALUE"""),"Jintei")</f>
        <v>Jintei</v>
      </c>
      <c r="D43" s="5" t="str">
        <f>IFERROR(__xludf.DUMMYFUNCTION("""COMPUTED_VALUE"""),"StarRiver Arts")</f>
        <v>StarRiver Arts</v>
      </c>
      <c r="E43" s="5">
        <f>IFERROR(__xludf.DUMMYFUNCTION("""COMPUTED_VALUE"""),0.0030210300925925925)</f>
        <v>0.003021030093</v>
      </c>
      <c r="F43" s="5" t="str">
        <f>IFERROR(__xludf.DUMMYFUNCTION("""COMPUTED_VALUE"""),"AE86T-V2")</f>
        <v>AE86T-V2</v>
      </c>
      <c r="G43" s="5" t="str">
        <f>IFERROR(__xludf.DUMMYFUNCTION("""COMPUTED_VALUE"""),"PC")</f>
        <v>PC</v>
      </c>
      <c r="H43" s="5" t="str">
        <f>IFERROR(__xludf.DUMMYFUNCTION("""COMPUTED_VALUE"""),"Sacc")</f>
        <v>Sacc</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row>
    <row r="44">
      <c r="A44" s="5" t="str">
        <f>IFERROR(__xludf.DUMMYFUNCTION("""COMPUTED_VALUE"""),"Silverstone")</f>
        <v>Silverstone</v>
      </c>
      <c r="B44" s="5"/>
      <c r="C44" s="5" t="str">
        <f>IFERROR(__xludf.DUMMYFUNCTION("""COMPUTED_VALUE"""),"Aiden1408")</f>
        <v>Aiden1408</v>
      </c>
      <c r="D44" s="5" t="str">
        <f>IFERROR(__xludf.DUMMYFUNCTION("""COMPUTED_VALUE"""),"StarRiver Arts")</f>
        <v>StarRiver Arts</v>
      </c>
      <c r="E44" s="5">
        <f>IFERROR(__xludf.DUMMYFUNCTION("""COMPUTED_VALUE"""),0.0015536226851851854)</f>
        <v>0.001553622685</v>
      </c>
      <c r="F44" s="5" t="str">
        <f>IFERROR(__xludf.DUMMYFUNCTION("""COMPUTED_VALUE"""),"sf25(Ferrari)")</f>
        <v>sf25(Ferrari)</v>
      </c>
      <c r="G44" s="5" t="str">
        <f>IFERROR(__xludf.DUMMYFUNCTION("""COMPUTED_VALUE"""),"PC")</f>
        <v>PC</v>
      </c>
      <c r="H44" s="5" t="str">
        <f>IFERROR(__xludf.DUMMYFUNCTION("""COMPUTED_VALUE"""),"CVS")</f>
        <v>CVS</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row>
    <row r="45">
      <c r="A45" s="5" t="str">
        <f>IFERROR(__xludf.DUMMYFUNCTION("""COMPUTED_VALUE"""),"Vestoril")</f>
        <v>Vestoril</v>
      </c>
      <c r="B45" s="5"/>
      <c r="C45" s="5"/>
      <c r="D45" s="5" t="str">
        <f>IFERROR(__xludf.DUMMYFUNCTION("""COMPUTED_VALUE"""),"StarRiver Arts")</f>
        <v>StarRiver Arts</v>
      </c>
      <c r="E45" s="5">
        <f>IFERROR(__xludf.DUMMYFUNCTION("""COMPUTED_VALUE"""),0.0012947569444444445)</f>
        <v>0.001294756944</v>
      </c>
      <c r="F45" s="5" t="str">
        <f>IFERROR(__xludf.DUMMYFUNCTION("""COMPUTED_VALUE"""),"WIL94")</f>
        <v>WIL94</v>
      </c>
      <c r="G45" s="5" t="str">
        <f>IFERROR(__xludf.DUMMYFUNCTION("""COMPUTED_VALUE"""),"PC")</f>
        <v>PC</v>
      </c>
      <c r="H45" s="5" t="str">
        <f>IFERROR(__xludf.DUMMYFUNCTION("""COMPUTED_VALUE"""),"CVS")</f>
        <v>CVS</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row>
    <row r="46">
      <c r="A46" s="5" t="str">
        <f>IFERROR(__xludf.DUMMYFUNCTION("""COMPUTED_VALUE"""),"LasVegas")</f>
        <v>LasVegas</v>
      </c>
      <c r="B46" s="5"/>
      <c r="C46" s="5" t="str">
        <f>IFERROR(__xludf.DUMMYFUNCTION("""COMPUTED_VALUE"""),"Aiden1408")</f>
        <v>Aiden1408</v>
      </c>
      <c r="D46" s="5" t="str">
        <f>IFERROR(__xludf.DUMMYFUNCTION("""COMPUTED_VALUE"""),"StarRiver Arts")</f>
        <v>StarRiver Arts</v>
      </c>
      <c r="E46" s="5">
        <f>IFERROR(__xludf.DUMMYFUNCTION("""COMPUTED_VALUE"""),0.0014874652777777777)</f>
        <v>0.001487465278</v>
      </c>
      <c r="F46" s="5" t="str">
        <f>IFERROR(__xludf.DUMMYFUNCTION("""COMPUTED_VALUE"""),"mcl39(McLaren)")</f>
        <v>mcl39(McLaren)</v>
      </c>
      <c r="G46" s="5" t="str">
        <f>IFERROR(__xludf.DUMMYFUNCTION("""COMPUTED_VALUE"""),"PC")</f>
        <v>PC</v>
      </c>
      <c r="H46" s="5" t="str">
        <f>IFERROR(__xludf.DUMMYFUNCTION("""COMPUTED_VALUE"""),"CVS")</f>
        <v>CVS</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row>
    <row r="47">
      <c r="A47" s="5" t="str">
        <f>IFERROR(__xludf.DUMMYFUNCTION("""COMPUTED_VALUE"""),"Monaco")</f>
        <v>Monaco</v>
      </c>
      <c r="B47" s="5"/>
      <c r="C47" s="5" t="str">
        <f>IFERROR(__xludf.DUMMYFUNCTION("""COMPUTED_VALUE"""),"Aiden1408")</f>
        <v>Aiden1408</v>
      </c>
      <c r="D47" s="5" t="str">
        <f>IFERROR(__xludf.DUMMYFUNCTION("""COMPUTED_VALUE"""),"StarRiver Arts")</f>
        <v>StarRiver Arts</v>
      </c>
      <c r="E47" s="5">
        <f>IFERROR(__xludf.DUMMYFUNCTION("""COMPUTED_VALUE"""),0.0016668634259259258)</f>
        <v>0.001666863426</v>
      </c>
      <c r="F47" s="5" t="str">
        <f>IFERROR(__xludf.DUMMYFUNCTION("""COMPUTED_VALUE"""),"sf25(Ferrari)")</f>
        <v>sf25(Ferrari)</v>
      </c>
      <c r="G47" s="5" t="str">
        <f>IFERROR(__xludf.DUMMYFUNCTION("""COMPUTED_VALUE"""),"PC")</f>
        <v>PC</v>
      </c>
      <c r="H47" s="5" t="str">
        <f>IFERROR(__xludf.DUMMYFUNCTION("""COMPUTED_VALUE"""),"CVS")</f>
        <v>CVS</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row>
    <row r="48">
      <c r="A48" s="5" t="str">
        <f>IFERROR(__xludf.DUMMYFUNCTION("""COMPUTED_VALUE"""),"Tsuchisaka Snow")</f>
        <v>Tsuchisaka Snow</v>
      </c>
      <c r="B48" s="5" t="str">
        <f>IFERROR(__xludf.DUMMYFUNCTION("""COMPUTED_VALUE"""),"OB")</f>
        <v>OB</v>
      </c>
      <c r="C48" s="5" t="str">
        <f>IFERROR(__xludf.DUMMYFUNCTION("""COMPUTED_VALUE"""),"Jintei")</f>
        <v>Jintei</v>
      </c>
      <c r="D48" s="5" t="str">
        <f>IFERROR(__xludf.DUMMYFUNCTION("""COMPUTED_VALUE"""),"StarRiver Arts")</f>
        <v>StarRiver Arts</v>
      </c>
      <c r="E48" s="5">
        <f>IFERROR(__xludf.DUMMYFUNCTION("""COMPUTED_VALUE"""),0.0024624421296296295)</f>
        <v>0.00246244213</v>
      </c>
      <c r="F48" s="5" t="str">
        <f>IFERROR(__xludf.DUMMYFUNCTION("""COMPUTED_VALUE"""),"NA8C (Mx5 Roadster)")</f>
        <v>NA8C (Mx5 Roadster)</v>
      </c>
      <c r="G48" s="5" t="str">
        <f>IFERROR(__xludf.DUMMYFUNCTION("""COMPUTED_VALUE"""),"PC")</f>
        <v>PC</v>
      </c>
      <c r="H48" s="5" t="str">
        <f>IFERROR(__xludf.DUMMYFUNCTION("""COMPUTED_VALUE"""),"Sacc")</f>
        <v>Sacc</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row>
    <row r="49">
      <c r="A49" s="5" t="str">
        <f>IFERROR(__xludf.DUMMYFUNCTION("""COMPUTED_VALUE"""),"Mt.Talkan")</f>
        <v>Mt.Talkan</v>
      </c>
      <c r="B49" s="5" t="str">
        <f>IFERROR(__xludf.DUMMYFUNCTION("""COMPUTED_VALUE"""),"UH")</f>
        <v>UH</v>
      </c>
      <c r="C49" s="5" t="str">
        <f>IFERROR(__xludf.DUMMYFUNCTION("""COMPUTED_VALUE"""),"Jintei")</f>
        <v>Jintei</v>
      </c>
      <c r="D49" s="5" t="str">
        <f>IFERROR(__xludf.DUMMYFUNCTION("""COMPUTED_VALUE"""),"StarRiver Arts")</f>
        <v>StarRiver Arts</v>
      </c>
      <c r="E49" s="5">
        <f>IFERROR(__xludf.DUMMYFUNCTION("""COMPUTED_VALUE"""),0.003848460648148148)</f>
        <v>0.003848460648</v>
      </c>
      <c r="F49" s="5" t="str">
        <f>IFERROR(__xludf.DUMMYFUNCTION("""COMPUTED_VALUE"""),"SLS")</f>
        <v>SLS</v>
      </c>
      <c r="G49" s="5" t="str">
        <f>IFERROR(__xludf.DUMMYFUNCTION("""COMPUTED_VALUE"""),"PC")</f>
        <v>PC</v>
      </c>
      <c r="H49" s="5" t="str">
        <f>IFERROR(__xludf.DUMMYFUNCTION("""COMPUTED_VALUE"""),"Sacc")</f>
        <v>Sacc</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row>
    <row r="50">
      <c r="A50" s="5" t="str">
        <f>IFERROR(__xludf.DUMMYFUNCTION("""COMPUTED_VALUE"""),"Fukuoka")</f>
        <v>Fukuoka</v>
      </c>
      <c r="B50" s="5"/>
      <c r="C50" s="5" t="str">
        <f>IFERROR(__xludf.DUMMYFUNCTION("""COMPUTED_VALUE"""),"Jintei")</f>
        <v>Jintei</v>
      </c>
      <c r="D50" s="5" t="str">
        <f>IFERROR(__xludf.DUMMYFUNCTION("""COMPUTED_VALUE"""),"StarRiver Arts")</f>
        <v>StarRiver Arts</v>
      </c>
      <c r="E50" s="5">
        <f>IFERROR(__xludf.DUMMYFUNCTION("""COMPUTED_VALUE"""),0.003004050925925926)</f>
        <v>0.003004050926</v>
      </c>
      <c r="F50" s="5" t="str">
        <f>IFERROR(__xludf.DUMMYFUNCTION("""COMPUTED_VALUE"""),"R35")</f>
        <v>R35</v>
      </c>
      <c r="G50" s="5" t="str">
        <f>IFERROR(__xludf.DUMMYFUNCTION("""COMPUTED_VALUE"""),"PC")</f>
        <v>PC</v>
      </c>
      <c r="H50" s="5" t="str">
        <f>IFERROR(__xludf.DUMMYFUNCTION("""COMPUTED_VALUE"""),"Sacc")</f>
        <v>Sacc</v>
      </c>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row>
    <row r="51">
      <c r="A51" s="5" t="str">
        <f>IFERROR(__xludf.DUMMYFUNCTION("""COMPUTED_VALUE"""),"Happogahara")</f>
        <v>Happogahara</v>
      </c>
      <c r="B51" s="5" t="str">
        <f>IFERROR(__xludf.DUMMYFUNCTION("""COMPUTED_VALUE"""),"OB")</f>
        <v>OB</v>
      </c>
      <c r="C51" s="5" t="str">
        <f>IFERROR(__xludf.DUMMYFUNCTION("""COMPUTED_VALUE"""),"Jintei")</f>
        <v>Jintei</v>
      </c>
      <c r="D51" s="5" t="str">
        <f>IFERROR(__xludf.DUMMYFUNCTION("""COMPUTED_VALUE"""),"StarRiver Arts")</f>
        <v>StarRiver Arts</v>
      </c>
      <c r="E51" s="5">
        <f>IFERROR(__xludf.DUMMYFUNCTION("""COMPUTED_VALUE"""),0.0028121180555555556)</f>
        <v>0.002812118056</v>
      </c>
      <c r="F51" s="5" t="str">
        <f>IFERROR(__xludf.DUMMYFUNCTION("""COMPUTED_VALUE"""),"GXPA16 (GR Yaris)")</f>
        <v>GXPA16 (GR Yaris)</v>
      </c>
      <c r="G51" s="5" t="str">
        <f>IFERROR(__xludf.DUMMYFUNCTION("""COMPUTED_VALUE"""),"PC")</f>
        <v>PC</v>
      </c>
      <c r="H51" s="5" t="str">
        <f>IFERROR(__xludf.DUMMYFUNCTION("""COMPUTED_VALUE"""),"Sacc")</f>
        <v>Sacc</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row>
    <row r="52">
      <c r="A52" s="5" t="str">
        <f>IFERROR(__xludf.DUMMYFUNCTION("""COMPUTED_VALUE"""),"Mt.Hakone")</f>
        <v>Mt.Hakone</v>
      </c>
      <c r="B52" s="5" t="str">
        <f>IFERROR(__xludf.DUMMYFUNCTION("""COMPUTED_VALUE"""),"IB")</f>
        <v>IB</v>
      </c>
      <c r="C52" s="5" t="str">
        <f>IFERROR(__xludf.DUMMYFUNCTION("""COMPUTED_VALUE"""),"Jintei")</f>
        <v>Jintei</v>
      </c>
      <c r="D52" s="5" t="str">
        <f>IFERROR(__xludf.DUMMYFUNCTION("""COMPUTED_VALUE"""),"StarRiver Arts")</f>
        <v>StarRiver Arts</v>
      </c>
      <c r="E52" s="5">
        <f>IFERROR(__xludf.DUMMYFUNCTION("""COMPUTED_VALUE"""),0.003980324074074074)</f>
        <v>0.003980324074</v>
      </c>
      <c r="F52" s="5" t="str">
        <f>IFERROR(__xludf.DUMMYFUNCTION("""COMPUTED_VALUE"""),"FD3S (RX7)")</f>
        <v>FD3S (RX7)</v>
      </c>
      <c r="G52" s="5" t="str">
        <f>IFERROR(__xludf.DUMMYFUNCTION("""COMPUTED_VALUE"""),"PC")</f>
        <v>PC</v>
      </c>
      <c r="H52" s="5" t="str">
        <f>IFERROR(__xludf.DUMMYFUNCTION("""COMPUTED_VALUE"""),"Sacc")</f>
        <v>Sacc</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row>
    <row r="53">
      <c r="A53" s="5" t="str">
        <f>IFERROR(__xludf.DUMMYFUNCTION("""COMPUTED_VALUE"""),"Nurburgring")</f>
        <v>Nurburgring</v>
      </c>
      <c r="B53" s="5" t="str">
        <f>IFERROR(__xludf.DUMMYFUNCTION("""COMPUTED_VALUE"""),"Nord")</f>
        <v>Nord</v>
      </c>
      <c r="C53" s="5" t="str">
        <f>IFERROR(__xludf.DUMMYFUNCTION("""COMPUTED_VALUE"""),"Aiden1408")</f>
        <v>Aiden1408</v>
      </c>
      <c r="D53" s="5" t="str">
        <f>IFERROR(__xludf.DUMMYFUNCTION("""COMPUTED_VALUE"""),"StarRiver Arts")</f>
        <v>StarRiver Arts</v>
      </c>
      <c r="E53" s="5">
        <f>IFERROR(__xludf.DUMMYFUNCTION("""COMPUTED_VALUE"""),0.0062355324074074075)</f>
        <v>0.006235532407</v>
      </c>
      <c r="F53" s="5" t="str">
        <f>IFERROR(__xludf.DUMMYFUNCTION("""COMPUTED_VALUE"""),"R35")</f>
        <v>R35</v>
      </c>
      <c r="G53" s="5" t="str">
        <f>IFERROR(__xludf.DUMMYFUNCTION("""COMPUTED_VALUE"""),"PC")</f>
        <v>PC</v>
      </c>
      <c r="H53" s="5" t="str">
        <f>IFERROR(__xludf.DUMMYFUNCTION("""COMPUTED_VALUE"""),"CVS")</f>
        <v>CVS</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row>
    <row r="54">
      <c r="A54" s="5" t="str">
        <f>IFERROR(__xludf.DUMMYFUNCTION("""COMPUTED_VALUE"""),"Nurburgring")</f>
        <v>Nurburgring</v>
      </c>
      <c r="B54" s="5" t="str">
        <f>IFERROR(__xludf.DUMMYFUNCTION("""COMPUTED_VALUE"""),"GP")</f>
        <v>GP</v>
      </c>
      <c r="C54" s="5" t="str">
        <f>IFERROR(__xludf.DUMMYFUNCTION("""COMPUTED_VALUE"""),"Aiden1408")</f>
        <v>Aiden1408</v>
      </c>
      <c r="D54" s="5" t="str">
        <f>IFERROR(__xludf.DUMMYFUNCTION("""COMPUTED_VALUE"""),"StarRiver Arts")</f>
        <v>StarRiver Arts</v>
      </c>
      <c r="E54" s="5">
        <f>IFERROR(__xludf.DUMMYFUNCTION("""COMPUTED_VALUE"""),0.0016525810185185185)</f>
        <v>0.001652581019</v>
      </c>
      <c r="F54" s="5" t="str">
        <f>IFERROR(__xludf.DUMMYFUNCTION("""COMPUTED_VALUE"""),"R35")</f>
        <v>R35</v>
      </c>
      <c r="G54" s="5" t="str">
        <f>IFERROR(__xludf.DUMMYFUNCTION("""COMPUTED_VALUE"""),"PC")</f>
        <v>PC</v>
      </c>
      <c r="H54" s="5" t="str">
        <f>IFERROR(__xludf.DUMMYFUNCTION("""COMPUTED_VALUE"""),"CVS")</f>
        <v>CVS</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row>
    <row r="55">
      <c r="A55" s="5" t="str">
        <f>IFERROR(__xludf.DUMMYFUNCTION("""COMPUTED_VALUE"""),"Summit")</f>
        <v>Summit</v>
      </c>
      <c r="B55" s="5"/>
      <c r="C55" s="5" t="str">
        <f>IFERROR(__xludf.DUMMYFUNCTION("""COMPUTED_VALUE"""),"Jintei")</f>
        <v>Jintei</v>
      </c>
      <c r="D55" s="5" t="str">
        <f>IFERROR(__xludf.DUMMYFUNCTION("""COMPUTED_VALUE"""),"StarRiver Arts")</f>
        <v>StarRiver Arts</v>
      </c>
      <c r="E55" s="5">
        <f>IFERROR(__xludf.DUMMYFUNCTION("""COMPUTED_VALUE"""),0.001321574074074074)</f>
        <v>0.001321574074</v>
      </c>
      <c r="F55" s="5" t="str">
        <f>IFERROR(__xludf.DUMMYFUNCTION("""COMPUTED_VALUE"""),"Pulsar")</f>
        <v>Pulsar</v>
      </c>
      <c r="G55" s="5" t="str">
        <f>IFERROR(__xludf.DUMMYFUNCTION("""COMPUTED_VALUE"""),"PC")</f>
        <v>PC</v>
      </c>
      <c r="H55" s="5" t="str">
        <f>IFERROR(__xludf.DUMMYFUNCTION("""COMPUTED_VALUE"""),"Sacc")</f>
        <v>Sacc</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row>
    <row r="56">
      <c r="A56" s="5" t="str">
        <f>IFERROR(__xludf.DUMMYFUNCTION("""COMPUTED_VALUE"""),"Hakone")</f>
        <v>Hakone</v>
      </c>
      <c r="B56" s="5" t="str">
        <f>IFERROR(__xludf.DUMMYFUNCTION("""COMPUTED_VALUE"""),"DH")</f>
        <v>DH</v>
      </c>
      <c r="C56" s="5" t="str">
        <f>IFERROR(__xludf.DUMMYFUNCTION("""COMPUTED_VALUE"""),"Jintei ")</f>
        <v>Jintei </v>
      </c>
      <c r="D56" s="5" t="str">
        <f>IFERROR(__xludf.DUMMYFUNCTION("""COMPUTED_VALUE"""),"StarRiver Arts")</f>
        <v>StarRiver Arts</v>
      </c>
      <c r="E56" s="5">
        <f>IFERROR(__xludf.DUMMYFUNCTION("""COMPUTED_VALUE"""),0.0026454513888888886)</f>
        <v>0.002645451389</v>
      </c>
      <c r="F56" s="5" t="str">
        <f>IFERROR(__xludf.DUMMYFUNCTION("""COMPUTED_VALUE"""),"FC3S")</f>
        <v>FC3S</v>
      </c>
      <c r="G56" s="5" t="str">
        <f>IFERROR(__xludf.DUMMYFUNCTION("""COMPUTED_VALUE"""),"PC")</f>
        <v>PC</v>
      </c>
      <c r="H56" s="5" t="str">
        <f>IFERROR(__xludf.DUMMYFUNCTION("""COMPUTED_VALUE"""),"Sacc")</f>
        <v>Sacc</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row>
    <row r="57">
      <c r="A57" s="5" t="str">
        <f>IFERROR(__xludf.DUMMYFUNCTION("""COMPUTED_VALUE"""),"StarSight")</f>
        <v>StarSight</v>
      </c>
      <c r="B57" s="5" t="str">
        <f>IFERROR(__xludf.DUMMYFUNCTION("""COMPUTED_VALUE"""),"DH")</f>
        <v>DH</v>
      </c>
      <c r="C57" s="5" t="str">
        <f>IFERROR(__xludf.DUMMYFUNCTION("""COMPUTED_VALUE"""),"StarRiver Arts")</f>
        <v>StarRiver Arts</v>
      </c>
      <c r="D57" s="5" t="str">
        <f>IFERROR(__xludf.DUMMYFUNCTION("""COMPUTED_VALUE"""),"StarRiver Arts")</f>
        <v>StarRiver Arts</v>
      </c>
      <c r="E57" s="5">
        <f>IFERROR(__xludf.DUMMYFUNCTION("""COMPUTED_VALUE"""),0.0010796643518518518)</f>
        <v>0.001079664352</v>
      </c>
      <c r="F57" s="5" t="str">
        <f>IFERROR(__xludf.DUMMYFUNCTION("""COMPUTED_VALUE"""),"EVO3")</f>
        <v>EVO3</v>
      </c>
      <c r="G57" s="5" t="str">
        <f>IFERROR(__xludf.DUMMYFUNCTION("""COMPUTED_VALUE"""),"PC")</f>
        <v>PC</v>
      </c>
      <c r="H57" s="5" t="str">
        <f>IFERROR(__xludf.DUMMYFUNCTION("""COMPUTED_VALUE"""),"CVS")</f>
        <v>CVS</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row>
    <row r="58">
      <c r="A58" s="5" t="str">
        <f>IFERROR(__xludf.DUMMYFUNCTION("""COMPUTED_VALUE"""),"Ryuoukouzan")</f>
        <v>Ryuoukouzan</v>
      </c>
      <c r="B58" s="5" t="str">
        <f>IFERROR(__xludf.DUMMYFUNCTION("""COMPUTED_VALUE"""),"DH")</f>
        <v>DH</v>
      </c>
      <c r="C58" s="5"/>
      <c r="D58" s="5" t="str">
        <f>IFERROR(__xludf.DUMMYFUNCTION("""COMPUTED_VALUE"""),"StarRiver Arts")</f>
        <v>StarRiver Arts</v>
      </c>
      <c r="E58" s="5">
        <f>IFERROR(__xludf.DUMMYFUNCTION("""COMPUTED_VALUE"""),0.0014724189814814815)</f>
        <v>0.001472418981</v>
      </c>
      <c r="F58" s="5" t="str">
        <f>IFERROR(__xludf.DUMMYFUNCTION("""COMPUTED_VALUE"""),"LE6-Attack")</f>
        <v>LE6-Attack</v>
      </c>
      <c r="G58" s="5" t="str">
        <f>IFERROR(__xludf.DUMMYFUNCTION("""COMPUTED_VALUE"""),"PC")</f>
        <v>PC</v>
      </c>
      <c r="H58" s="5" t="str">
        <f>IFERROR(__xludf.DUMMYFUNCTION("""COMPUTED_VALUE"""),"CVS")</f>
        <v>CVS</v>
      </c>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row>
    <row r="59">
      <c r="A59" s="5" t="str">
        <f>IFERROR(__xludf.DUMMYFUNCTION("""COMPUTED_VALUE"""),"Futatsukane")</f>
        <v>Futatsukane</v>
      </c>
      <c r="B59" s="5" t="str">
        <f>IFERROR(__xludf.DUMMYFUNCTION("""COMPUTED_VALUE"""),"CC")</f>
        <v>CC</v>
      </c>
      <c r="C59" s="5" t="str">
        <f>IFERROR(__xludf.DUMMYFUNCTION("""COMPUTED_VALUE"""),"Calme")</f>
        <v>Calme</v>
      </c>
      <c r="D59" s="5" t="str">
        <f>IFERROR(__xludf.DUMMYFUNCTION("""COMPUTED_VALUE"""),"StarRiver Arts")</f>
        <v>StarRiver Arts</v>
      </c>
      <c r="E59" s="5">
        <f>IFERROR(__xludf.DUMMYFUNCTION("""COMPUTED_VALUE"""),0.003566365740740741)</f>
        <v>0.003566365741</v>
      </c>
      <c r="F59" s="5" t="str">
        <f>IFERROR(__xludf.DUMMYFUNCTION("""COMPUTED_VALUE"""),"LE6-Attack")</f>
        <v>LE6-Attack</v>
      </c>
      <c r="G59" s="5" t="str">
        <f>IFERROR(__xludf.DUMMYFUNCTION("""COMPUTED_VALUE"""),"PC")</f>
        <v>PC</v>
      </c>
      <c r="H59" s="5" t="str">
        <f>IFERROR(__xludf.DUMMYFUNCTION("""COMPUTED_VALUE"""),"Sacc")</f>
        <v>Sacc</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row>
    <row r="60">
      <c r="A60" s="5" t="str">
        <f>IFERROR(__xludf.DUMMYFUNCTION("""COMPUTED_VALUE"""),"UsuiDAA")</f>
        <v>UsuiDAA</v>
      </c>
      <c r="B60" s="5" t="str">
        <f>IFERROR(__xludf.DUMMYFUNCTION("""COMPUTED_VALUE"""),"CC")</f>
        <v>CC</v>
      </c>
      <c r="C60" s="5" t="str">
        <f>IFERROR(__xludf.DUMMYFUNCTION("""COMPUTED_VALUE"""),"K̶a̶u̶b̶e̶r̶u̶")</f>
        <v>K̶a̶u̶b̶e̶r̶u̶</v>
      </c>
      <c r="D60" s="5" t="str">
        <f>IFERROR(__xludf.DUMMYFUNCTION("""COMPUTED_VALUE"""),"StarRiver Arts")</f>
        <v>StarRiver Arts</v>
      </c>
      <c r="E60" s="5">
        <f>IFERROR(__xludf.DUMMYFUNCTION("""COMPUTED_VALUE"""),0.0012741087962962964)</f>
        <v>0.001274108796</v>
      </c>
      <c r="F60" s="5" t="str">
        <f>IFERROR(__xludf.DUMMYFUNCTION("""COMPUTED_VALUE"""),"BMW CS")</f>
        <v>BMW CS</v>
      </c>
      <c r="G60" s="5" t="str">
        <f>IFERROR(__xludf.DUMMYFUNCTION("""COMPUTED_VALUE"""),"PC")</f>
        <v>PC</v>
      </c>
      <c r="H60" s="5" t="str">
        <f>IFERROR(__xludf.DUMMYFUNCTION("""COMPUTED_VALUE"""),"CVS")</f>
        <v>CVS</v>
      </c>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row>
    <row r="61">
      <c r="A61" s="5" t="str">
        <f>IFERROR(__xludf.DUMMYFUNCTION("""COMPUTED_VALUE"""),"@Kart")</f>
        <v>@Kart</v>
      </c>
      <c r="B61" s="5"/>
      <c r="C61" s="5"/>
      <c r="D61" s="5" t="str">
        <f>IFERROR(__xludf.DUMMYFUNCTION("""COMPUTED_VALUE"""),"StarRiver Arts")</f>
        <v>StarRiver Arts</v>
      </c>
      <c r="E61" s="5">
        <f>IFERROR(__xludf.DUMMYFUNCTION("""COMPUTED_VALUE"""),2.8125E-4)</f>
        <v>0.00028125</v>
      </c>
      <c r="F61" s="5" t="str">
        <f>IFERROR(__xludf.DUMMYFUNCTION("""COMPUTED_VALUE"""),"AdvancedKart")</f>
        <v>AdvancedKart</v>
      </c>
      <c r="G61" s="5" t="str">
        <f>IFERROR(__xludf.DUMMYFUNCTION("""COMPUTED_VALUE"""),"PC")</f>
        <v>PC</v>
      </c>
      <c r="H61" s="5" t="str">
        <f>IFERROR(__xludf.DUMMYFUNCTION("""COMPUTED_VALUE"""),"CVS")</f>
        <v>CVS</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row>
  </sheetData>
  <mergeCells count="5">
    <mergeCell ref="A1:H1"/>
    <mergeCell ref="I1:P1"/>
    <mergeCell ref="Q1:X1"/>
    <mergeCell ref="Y1:AF1"/>
    <mergeCell ref="AG1:AN1"/>
  </mergeCells>
  <dataValidations>
    <dataValidation type="list" allowBlank="1" showErrorMessage="1" sqref="A1 I1 Q1 Y1 AG1 AO1:AY1">
      <formula1>'歷史紀錄'!$E$2:$E1000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3.38"/>
    <col customWidth="1" min="3" max="3" width="6.88"/>
    <col customWidth="1" min="4" max="4" width="10.13"/>
    <col customWidth="1" min="5" max="5" width="14.38"/>
    <col customWidth="1" min="6" max="6" width="7.5"/>
    <col customWidth="1" min="7" max="7" width="35.25"/>
    <col customWidth="1" min="8" max="8" width="10.5"/>
    <col customWidth="1" min="9" max="9" width="9.63"/>
    <col customWidth="1" min="10" max="10" width="10.38"/>
  </cols>
  <sheetData>
    <row r="1">
      <c r="A1" s="77" t="s">
        <v>210</v>
      </c>
      <c r="B1" s="4" t="s">
        <v>211</v>
      </c>
      <c r="C1" s="4" t="s">
        <v>212</v>
      </c>
      <c r="D1" s="4" t="s">
        <v>213</v>
      </c>
      <c r="E1" s="4" t="s">
        <v>214</v>
      </c>
      <c r="F1" s="78" t="s">
        <v>215</v>
      </c>
      <c r="G1" s="4" t="s">
        <v>216</v>
      </c>
      <c r="H1" s="4" t="s">
        <v>217</v>
      </c>
      <c r="I1" s="4" t="s">
        <v>218</v>
      </c>
      <c r="J1" s="79" t="s">
        <v>219</v>
      </c>
      <c r="K1" s="4"/>
      <c r="L1" s="4" t="s">
        <v>220</v>
      </c>
      <c r="M1" s="4" t="s">
        <v>221</v>
      </c>
      <c r="N1" s="4" t="s">
        <v>221</v>
      </c>
    </row>
    <row r="2">
      <c r="A2" s="77">
        <v>45802.0</v>
      </c>
      <c r="B2" s="4" t="s">
        <v>222</v>
      </c>
      <c r="C2" s="4" t="s">
        <v>223</v>
      </c>
      <c r="D2" s="4" t="s">
        <v>224</v>
      </c>
      <c r="E2" s="4" t="s">
        <v>209</v>
      </c>
      <c r="F2" s="80">
        <f t="shared" ref="F2:F652" si="1">N2</f>
        <v>0.002051909722</v>
      </c>
      <c r="G2" s="4" t="s">
        <v>146</v>
      </c>
      <c r="H2" s="4" t="s">
        <v>225</v>
      </c>
      <c r="I2" s="4" t="s">
        <v>226</v>
      </c>
      <c r="J2" s="81">
        <f>IFERROR(__xludf.DUMMYFUNCTION("FILTER('賽道紀錄'!E:E, '賽道紀錄'!A:A=B2, '賽道紀錄'!B:B=C2)-F2"),0.0)</f>
        <v>0</v>
      </c>
      <c r="K2" s="4"/>
      <c r="L2" s="4" t="s">
        <v>227</v>
      </c>
      <c r="M2" s="82">
        <f t="shared" ref="M2:M652" si="2">LET(
  str, L2,
  分, VALUE(LEFT(str, FIND("'", str)-1)),
  秒毫, MID(str, FIND("'", str)+1, LEN(str)),
  秒, VALUE(LEFT(秒毫, FIND("""", 秒毫)-1)),
  毫, VALUE(MID(秒毫, FIND("""", 秒毫)+1, 3)) / 1000,
  分 * 60 + 秒 + 毫
)
</f>
        <v>177.285</v>
      </c>
      <c r="N2" s="27">
        <f t="shared" ref="N2:N652" si="3">M2/3600/24</f>
        <v>0.002051909722</v>
      </c>
    </row>
    <row r="3">
      <c r="A3" s="77">
        <v>45802.0</v>
      </c>
      <c r="B3" s="4" t="s">
        <v>222</v>
      </c>
      <c r="C3" s="4" t="s">
        <v>223</v>
      </c>
      <c r="D3" s="4" t="s">
        <v>224</v>
      </c>
      <c r="E3" s="4" t="s">
        <v>207</v>
      </c>
      <c r="F3" s="80">
        <f t="shared" si="1"/>
        <v>0.002258483796</v>
      </c>
      <c r="G3" s="4" t="s">
        <v>146</v>
      </c>
      <c r="H3" s="4" t="s">
        <v>225</v>
      </c>
      <c r="I3" s="4" t="s">
        <v>226</v>
      </c>
      <c r="J3" s="81">
        <f>IFERROR(__xludf.DUMMYFUNCTION("FILTER('賽道紀錄'!E:E, '賽道紀錄'!A:A=B3, '賽道紀錄'!B:B=C3)-F3"),-2.065740740740743E-4)</f>
        <v>-0.0002065740741</v>
      </c>
      <c r="K3" s="4"/>
      <c r="L3" s="4" t="s">
        <v>228</v>
      </c>
      <c r="M3" s="82">
        <f t="shared" si="2"/>
        <v>195.133</v>
      </c>
      <c r="N3" s="27">
        <f t="shared" si="3"/>
        <v>0.002258483796</v>
      </c>
    </row>
    <row r="4">
      <c r="A4" s="77">
        <v>45802.0</v>
      </c>
      <c r="B4" s="4" t="s">
        <v>222</v>
      </c>
      <c r="C4" s="4" t="s">
        <v>223</v>
      </c>
      <c r="D4" s="4" t="s">
        <v>224</v>
      </c>
      <c r="E4" s="4" t="s">
        <v>229</v>
      </c>
      <c r="F4" s="80">
        <f t="shared" si="1"/>
        <v>0.002350821759</v>
      </c>
      <c r="G4" s="4" t="s">
        <v>125</v>
      </c>
      <c r="H4" s="4" t="s">
        <v>225</v>
      </c>
      <c r="I4" s="4" t="s">
        <v>226</v>
      </c>
      <c r="J4" s="81">
        <f>IFERROR(__xludf.DUMMYFUNCTION("FILTER('賽道紀錄'!E:E, '賽道紀錄'!A:A=B4, '賽道紀錄'!B:B=C4)-F4"),-2.989120370370372E-4)</f>
        <v>-0.000298912037</v>
      </c>
      <c r="K4" s="4"/>
      <c r="L4" s="4" t="s">
        <v>230</v>
      </c>
      <c r="M4" s="82">
        <f t="shared" si="2"/>
        <v>203.111</v>
      </c>
      <c r="N4" s="27">
        <f t="shared" si="3"/>
        <v>0.002350821759</v>
      </c>
    </row>
    <row r="5">
      <c r="A5" s="77">
        <v>45802.0</v>
      </c>
      <c r="B5" s="4" t="s">
        <v>222</v>
      </c>
      <c r="C5" s="4" t="s">
        <v>223</v>
      </c>
      <c r="D5" s="4" t="s">
        <v>224</v>
      </c>
      <c r="E5" s="4" t="s">
        <v>205</v>
      </c>
      <c r="F5" s="80">
        <f t="shared" si="1"/>
        <v>0.002492094907</v>
      </c>
      <c r="G5" s="4" t="s">
        <v>125</v>
      </c>
      <c r="H5" s="4" t="s">
        <v>231</v>
      </c>
      <c r="I5" s="4" t="s">
        <v>226</v>
      </c>
      <c r="J5" s="81">
        <f>IFERROR(__xludf.DUMMYFUNCTION("FILTER('賽道紀錄'!E:E, '賽道紀錄'!A:A=B5, '賽道紀錄'!B:B=C5)-F5"),-4.401851851851858E-4)</f>
        <v>-0.0004401851852</v>
      </c>
      <c r="K5" s="4"/>
      <c r="L5" s="4" t="s">
        <v>232</v>
      </c>
      <c r="M5" s="82">
        <f t="shared" si="2"/>
        <v>215.317</v>
      </c>
      <c r="N5" s="27">
        <f t="shared" si="3"/>
        <v>0.002492094907</v>
      </c>
    </row>
    <row r="6">
      <c r="A6" s="77">
        <v>45802.0</v>
      </c>
      <c r="B6" s="4" t="s">
        <v>222</v>
      </c>
      <c r="C6" s="4" t="s">
        <v>223</v>
      </c>
      <c r="D6" s="4" t="s">
        <v>224</v>
      </c>
      <c r="E6" s="4" t="s">
        <v>233</v>
      </c>
      <c r="F6" s="80">
        <f t="shared" si="1"/>
        <v>0.002618148148</v>
      </c>
      <c r="G6" s="4" t="s">
        <v>191</v>
      </c>
      <c r="H6" s="4" t="s">
        <v>231</v>
      </c>
      <c r="I6" s="4" t="s">
        <v>226</v>
      </c>
      <c r="J6" s="81">
        <f>IFERROR(__xludf.DUMMYFUNCTION("FILTER('賽道紀錄'!E:E, '賽道紀錄'!A:A=B6, '賽道紀錄'!B:B=C6)-F6"),-5.662384259259266E-4)</f>
        <v>-0.0005662384259</v>
      </c>
      <c r="K6" s="4"/>
      <c r="L6" s="4" t="s">
        <v>234</v>
      </c>
      <c r="M6" s="82">
        <f t="shared" si="2"/>
        <v>226.208</v>
      </c>
      <c r="N6" s="27">
        <f t="shared" si="3"/>
        <v>0.002618148148</v>
      </c>
    </row>
    <row r="7">
      <c r="A7" s="77">
        <v>45802.0</v>
      </c>
      <c r="B7" s="4" t="s">
        <v>222</v>
      </c>
      <c r="C7" s="4" t="s">
        <v>223</v>
      </c>
      <c r="D7" s="4" t="s">
        <v>224</v>
      </c>
      <c r="E7" s="4" t="s">
        <v>235</v>
      </c>
      <c r="F7" s="80">
        <f t="shared" si="1"/>
        <v>0.002811145833</v>
      </c>
      <c r="G7" s="4" t="s">
        <v>185</v>
      </c>
      <c r="H7" s="4" t="s">
        <v>231</v>
      </c>
      <c r="I7" s="4" t="s">
        <v>226</v>
      </c>
      <c r="J7" s="81">
        <f>IFERROR(__xludf.DUMMYFUNCTION("FILTER('賽道紀錄'!E:E, '賽道紀錄'!A:A=B7, '賽道紀錄'!B:B=C7)-F7"),-7.592361111111116E-4)</f>
        <v>-0.0007592361111</v>
      </c>
      <c r="K7" s="4"/>
      <c r="L7" s="4" t="s">
        <v>236</v>
      </c>
      <c r="M7" s="82">
        <f t="shared" si="2"/>
        <v>242.883</v>
      </c>
      <c r="N7" s="27">
        <f t="shared" si="3"/>
        <v>0.002811145833</v>
      </c>
    </row>
    <row r="8">
      <c r="A8" s="77">
        <v>45830.0</v>
      </c>
      <c r="B8" s="4" t="s">
        <v>237</v>
      </c>
      <c r="C8" s="4" t="s">
        <v>223</v>
      </c>
      <c r="D8" s="83" t="s">
        <v>224</v>
      </c>
      <c r="E8" s="4" t="s">
        <v>205</v>
      </c>
      <c r="F8" s="80">
        <f t="shared" si="1"/>
        <v>0.002774884259</v>
      </c>
      <c r="G8" s="4" t="s">
        <v>194</v>
      </c>
      <c r="H8" s="4" t="s">
        <v>231</v>
      </c>
      <c r="I8" s="4" t="s">
        <v>226</v>
      </c>
      <c r="J8" s="81">
        <f>IFERROR(__xludf.DUMMYFUNCTION("FILTER('賽道紀錄'!E:E, '賽道紀錄'!A:A=B8, '賽道紀錄'!B:B=C8)-F8"),-3.812268518518522E-4)</f>
        <v>-0.0003812268519</v>
      </c>
      <c r="K8" s="4"/>
      <c r="L8" s="4" t="s">
        <v>238</v>
      </c>
      <c r="M8" s="82">
        <f t="shared" si="2"/>
        <v>239.75</v>
      </c>
      <c r="N8" s="27">
        <f t="shared" si="3"/>
        <v>0.002774884259</v>
      </c>
    </row>
    <row r="9">
      <c r="A9" s="77">
        <v>45830.0</v>
      </c>
      <c r="B9" s="4" t="s">
        <v>237</v>
      </c>
      <c r="C9" s="4" t="s">
        <v>223</v>
      </c>
      <c r="D9" s="83" t="s">
        <v>224</v>
      </c>
      <c r="E9" s="4" t="s">
        <v>205</v>
      </c>
      <c r="F9" s="80">
        <f t="shared" si="1"/>
        <v>0.002894479167</v>
      </c>
      <c r="G9" s="4" t="s">
        <v>148</v>
      </c>
      <c r="H9" s="4" t="s">
        <v>231</v>
      </c>
      <c r="I9" s="4" t="s">
        <v>226</v>
      </c>
      <c r="J9" s="81">
        <f>IFERROR(__xludf.DUMMYFUNCTION("FILTER('賽道紀錄'!E:E, '賽道紀錄'!A:A=B9, '賽道紀錄'!B:B=C9)-F9"),-5.008217592592594E-4)</f>
        <v>-0.0005008217593</v>
      </c>
      <c r="K9" s="4"/>
      <c r="L9" s="4" t="s">
        <v>239</v>
      </c>
      <c r="M9" s="82">
        <f t="shared" si="2"/>
        <v>250.083</v>
      </c>
      <c r="N9" s="27">
        <f t="shared" si="3"/>
        <v>0.002894479167</v>
      </c>
    </row>
    <row r="10">
      <c r="A10" s="77">
        <v>45830.0</v>
      </c>
      <c r="B10" s="4" t="s">
        <v>237</v>
      </c>
      <c r="C10" s="4" t="s">
        <v>223</v>
      </c>
      <c r="D10" s="83" t="s">
        <v>224</v>
      </c>
      <c r="E10" s="4" t="s">
        <v>235</v>
      </c>
      <c r="F10" s="80">
        <f t="shared" si="1"/>
        <v>0.003489201389</v>
      </c>
      <c r="G10" s="4" t="s">
        <v>148</v>
      </c>
      <c r="H10" s="4" t="s">
        <v>231</v>
      </c>
      <c r="I10" s="4" t="s">
        <v>226</v>
      </c>
      <c r="J10" s="81">
        <f>IFERROR(__xludf.DUMMYFUNCTION("FILTER('賽道紀錄'!E:E, '賽道紀錄'!A:A=B10, '賽道紀錄'!B:B=C10)-F10"),-0.0010955439814814816)</f>
        <v>-0.001095543981</v>
      </c>
      <c r="K10" s="4"/>
      <c r="L10" s="4" t="s">
        <v>240</v>
      </c>
      <c r="M10" s="82">
        <f t="shared" si="2"/>
        <v>301.467</v>
      </c>
      <c r="N10" s="27">
        <f t="shared" si="3"/>
        <v>0.003489201389</v>
      </c>
    </row>
    <row r="11">
      <c r="A11" s="77">
        <v>45819.0</v>
      </c>
      <c r="B11" s="4" t="s">
        <v>237</v>
      </c>
      <c r="C11" s="4" t="s">
        <v>223</v>
      </c>
      <c r="D11" s="4" t="s">
        <v>224</v>
      </c>
      <c r="E11" s="4" t="s">
        <v>205</v>
      </c>
      <c r="F11" s="80">
        <f t="shared" si="1"/>
        <v>0.002625578704</v>
      </c>
      <c r="G11" s="4" t="s">
        <v>126</v>
      </c>
      <c r="H11" s="4" t="s">
        <v>231</v>
      </c>
      <c r="I11" s="4" t="s">
        <v>226</v>
      </c>
      <c r="J11" s="81">
        <f>IFERROR(__xludf.DUMMYFUNCTION("FILTER('賽道紀錄'!E:E, '賽道紀錄'!A:A=B11, '賽道紀錄'!B:B=C11)-F11"),-2.3192129629629604E-4)</f>
        <v>-0.0002319212963</v>
      </c>
      <c r="K11" s="4"/>
      <c r="L11" s="4" t="s">
        <v>241</v>
      </c>
      <c r="M11" s="82">
        <f t="shared" si="2"/>
        <v>226.85</v>
      </c>
      <c r="N11" s="27">
        <f t="shared" si="3"/>
        <v>0.002625578704</v>
      </c>
    </row>
    <row r="12">
      <c r="A12" s="77">
        <v>45819.0</v>
      </c>
      <c r="B12" s="4" t="s">
        <v>237</v>
      </c>
      <c r="C12" s="4" t="s">
        <v>242</v>
      </c>
      <c r="D12" s="4" t="s">
        <v>224</v>
      </c>
      <c r="E12" s="4" t="s">
        <v>205</v>
      </c>
      <c r="F12" s="80">
        <f t="shared" si="1"/>
        <v>0.003259456019</v>
      </c>
      <c r="G12" s="4" t="s">
        <v>195</v>
      </c>
      <c r="H12" s="4" t="s">
        <v>231</v>
      </c>
      <c r="I12" s="4" t="s">
        <v>226</v>
      </c>
      <c r="J12" s="81">
        <f>IFERROR(__xludf.DUMMYFUNCTION("FILTER('賽道紀錄'!E:E, '賽道紀錄'!A:A=B12, '賽道紀錄'!B:B=C12)-F12"),-6.485416666666666E-4)</f>
        <v>-0.0006485416667</v>
      </c>
      <c r="K12" s="4"/>
      <c r="L12" s="4" t="s">
        <v>243</v>
      </c>
      <c r="M12" s="82">
        <f t="shared" si="2"/>
        <v>281.617</v>
      </c>
      <c r="N12" s="27">
        <f t="shared" si="3"/>
        <v>0.003259456019</v>
      </c>
    </row>
    <row r="13">
      <c r="A13" s="77">
        <v>45818.0</v>
      </c>
      <c r="B13" s="4" t="s">
        <v>237</v>
      </c>
      <c r="C13" s="4" t="s">
        <v>223</v>
      </c>
      <c r="D13" s="4" t="s">
        <v>224</v>
      </c>
      <c r="E13" s="4" t="s">
        <v>208</v>
      </c>
      <c r="F13" s="80">
        <f t="shared" si="1"/>
        <v>0.002714918981</v>
      </c>
      <c r="G13" s="4" t="s">
        <v>194</v>
      </c>
      <c r="H13" s="4" t="s">
        <v>225</v>
      </c>
      <c r="I13" s="4" t="s">
        <v>226</v>
      </c>
      <c r="J13" s="81">
        <f>IFERROR(__xludf.DUMMYFUNCTION("FILTER('賽道紀錄'!E:E, '賽道紀錄'!A:A=B13, '賽道紀錄'!B:B=C13)-F13"),-3.2126157407407407E-4)</f>
        <v>-0.0003212615741</v>
      </c>
      <c r="K13" s="4"/>
      <c r="L13" s="4" t="s">
        <v>244</v>
      </c>
      <c r="M13" s="82">
        <f t="shared" si="2"/>
        <v>234.569</v>
      </c>
      <c r="N13" s="27">
        <f t="shared" si="3"/>
        <v>0.002714918981</v>
      </c>
    </row>
    <row r="14">
      <c r="A14" s="77">
        <v>45818.0</v>
      </c>
      <c r="B14" s="4" t="s">
        <v>237</v>
      </c>
      <c r="C14" s="4" t="s">
        <v>223</v>
      </c>
      <c r="D14" s="4" t="s">
        <v>224</v>
      </c>
      <c r="E14" s="4" t="s">
        <v>245</v>
      </c>
      <c r="F14" s="80">
        <f t="shared" si="1"/>
        <v>0.002572141204</v>
      </c>
      <c r="G14" s="4" t="s">
        <v>148</v>
      </c>
      <c r="H14" s="4" t="s">
        <v>231</v>
      </c>
      <c r="I14" s="4" t="s">
        <v>226</v>
      </c>
      <c r="J14" s="81">
        <f>IFERROR(__xludf.DUMMYFUNCTION("FILTER('賽道紀錄'!E:E, '賽道紀錄'!A:A=B14, '賽道紀錄'!B:B=C14)-F14"),-1.7848379629629638E-4)</f>
        <v>-0.0001784837963</v>
      </c>
      <c r="K14" s="4"/>
      <c r="L14" s="4" t="s">
        <v>246</v>
      </c>
      <c r="M14" s="82">
        <f t="shared" si="2"/>
        <v>222.233</v>
      </c>
      <c r="N14" s="27">
        <f t="shared" si="3"/>
        <v>0.002572141204</v>
      </c>
    </row>
    <row r="15">
      <c r="A15" s="77">
        <v>45818.0</v>
      </c>
      <c r="B15" s="4" t="s">
        <v>237</v>
      </c>
      <c r="C15" s="4" t="s">
        <v>223</v>
      </c>
      <c r="D15" s="4" t="s">
        <v>224</v>
      </c>
      <c r="E15" s="4" t="s">
        <v>205</v>
      </c>
      <c r="F15" s="80">
        <f t="shared" si="1"/>
        <v>0.002780868056</v>
      </c>
      <c r="G15" s="4" t="s">
        <v>147</v>
      </c>
      <c r="H15" s="4" t="s">
        <v>231</v>
      </c>
      <c r="I15" s="4" t="s">
        <v>226</v>
      </c>
      <c r="J15" s="81">
        <f>IFERROR(__xludf.DUMMYFUNCTION("FILTER('賽道紀錄'!E:E, '賽道紀錄'!A:A=B15, '賽道紀錄'!B:B=C15)-F15"),-3.8721064814814824E-4)</f>
        <v>-0.0003872106481</v>
      </c>
      <c r="K15" s="4"/>
      <c r="L15" s="4" t="s">
        <v>247</v>
      </c>
      <c r="M15" s="82">
        <f t="shared" si="2"/>
        <v>240.267</v>
      </c>
      <c r="N15" s="27">
        <f t="shared" si="3"/>
        <v>0.002780868056</v>
      </c>
    </row>
    <row r="16">
      <c r="A16" s="77">
        <v>45818.0</v>
      </c>
      <c r="B16" s="4" t="s">
        <v>237</v>
      </c>
      <c r="C16" s="4" t="s">
        <v>242</v>
      </c>
      <c r="D16" s="4" t="s">
        <v>224</v>
      </c>
      <c r="E16" s="4" t="s">
        <v>205</v>
      </c>
      <c r="F16" s="80">
        <f t="shared" si="1"/>
        <v>0.00297337963</v>
      </c>
      <c r="G16" s="4" t="s">
        <v>133</v>
      </c>
      <c r="H16" s="4" t="s">
        <v>231</v>
      </c>
      <c r="I16" s="4" t="s">
        <v>226</v>
      </c>
      <c r="J16" s="81">
        <f>IFERROR(__xludf.DUMMYFUNCTION("FILTER('賽道紀錄'!E:E, '賽道紀錄'!A:A=B16, '賽道紀錄'!B:B=C16)-F16"),-3.624652777777775E-4)</f>
        <v>-0.0003624652778</v>
      </c>
      <c r="K16" s="4"/>
      <c r="L16" s="4" t="s">
        <v>248</v>
      </c>
      <c r="M16" s="82">
        <f t="shared" si="2"/>
        <v>256.9</v>
      </c>
      <c r="N16" s="27">
        <f t="shared" si="3"/>
        <v>0.00297337963</v>
      </c>
    </row>
    <row r="17">
      <c r="A17" s="77">
        <v>45816.0</v>
      </c>
      <c r="B17" s="4" t="s">
        <v>237</v>
      </c>
      <c r="C17" s="4" t="s">
        <v>223</v>
      </c>
      <c r="D17" s="4" t="s">
        <v>224</v>
      </c>
      <c r="E17" s="4" t="s">
        <v>209</v>
      </c>
      <c r="F17" s="80">
        <f t="shared" si="1"/>
        <v>0.002417951389</v>
      </c>
      <c r="G17" s="4" t="s">
        <v>147</v>
      </c>
      <c r="H17" s="4" t="s">
        <v>225</v>
      </c>
      <c r="I17" s="4" t="s">
        <v>226</v>
      </c>
      <c r="J17" s="81">
        <f>IFERROR(__xludf.DUMMYFUNCTION("FILTER('賽道紀錄'!E:E, '賽道紀錄'!A:A=B17, '賽道紀錄'!B:B=C17)-F17"),-2.429398148148191E-5)</f>
        <v>-0.00002429398148</v>
      </c>
      <c r="K17" s="4"/>
      <c r="L17" s="4" t="s">
        <v>249</v>
      </c>
      <c r="M17" s="82">
        <f t="shared" si="2"/>
        <v>208.911</v>
      </c>
      <c r="N17" s="27">
        <f t="shared" si="3"/>
        <v>0.002417951389</v>
      </c>
    </row>
    <row r="18">
      <c r="A18" s="77">
        <v>45816.0</v>
      </c>
      <c r="B18" s="4" t="s">
        <v>237</v>
      </c>
      <c r="C18" s="4" t="s">
        <v>223</v>
      </c>
      <c r="D18" s="4" t="s">
        <v>224</v>
      </c>
      <c r="E18" s="4" t="s">
        <v>207</v>
      </c>
      <c r="F18" s="80">
        <f t="shared" si="1"/>
        <v>0.002539201389</v>
      </c>
      <c r="G18" s="4" t="s">
        <v>183</v>
      </c>
      <c r="H18" s="4" t="s">
        <v>225</v>
      </c>
      <c r="I18" s="4" t="s">
        <v>226</v>
      </c>
      <c r="J18" s="81">
        <f>IFERROR(__xludf.DUMMYFUNCTION("FILTER('賽道紀錄'!E:E, '賽道紀錄'!A:A=B18, '賽道紀錄'!B:B=C18)-F18"),-1.4554398148148174E-4)</f>
        <v>-0.0001455439815</v>
      </c>
      <c r="K18" s="4"/>
      <c r="L18" s="4" t="s">
        <v>250</v>
      </c>
      <c r="M18" s="82">
        <f t="shared" si="2"/>
        <v>219.387</v>
      </c>
      <c r="N18" s="27">
        <f t="shared" si="3"/>
        <v>0.002539201389</v>
      </c>
    </row>
    <row r="19">
      <c r="A19" s="77">
        <v>45816.0</v>
      </c>
      <c r="B19" s="4" t="s">
        <v>237</v>
      </c>
      <c r="C19" s="4" t="s">
        <v>223</v>
      </c>
      <c r="D19" s="4" t="s">
        <v>224</v>
      </c>
      <c r="E19" s="4" t="s">
        <v>205</v>
      </c>
      <c r="F19" s="80">
        <f t="shared" si="1"/>
        <v>0.00263619213</v>
      </c>
      <c r="G19" s="4" t="s">
        <v>133</v>
      </c>
      <c r="H19" s="4" t="s">
        <v>231</v>
      </c>
      <c r="I19" s="4" t="s">
        <v>226</v>
      </c>
      <c r="J19" s="81">
        <f>IFERROR(__xludf.DUMMYFUNCTION("FILTER('賽道紀錄'!E:E, '賽道紀錄'!A:A=B19, '賽道紀錄'!B:B=C19)-F19"),-2.425347222222221E-4)</f>
        <v>-0.0002425347222</v>
      </c>
      <c r="K19" s="4"/>
      <c r="L19" s="4" t="s">
        <v>251</v>
      </c>
      <c r="M19" s="82">
        <f t="shared" si="2"/>
        <v>227.767</v>
      </c>
      <c r="N19" s="27">
        <f t="shared" si="3"/>
        <v>0.00263619213</v>
      </c>
    </row>
    <row r="20">
      <c r="A20" s="77">
        <v>45816.0</v>
      </c>
      <c r="B20" s="4" t="s">
        <v>237</v>
      </c>
      <c r="C20" s="4" t="s">
        <v>223</v>
      </c>
      <c r="D20" s="4" t="s">
        <v>224</v>
      </c>
      <c r="E20" s="4" t="s">
        <v>205</v>
      </c>
      <c r="F20" s="80">
        <f t="shared" si="1"/>
        <v>0.002764467593</v>
      </c>
      <c r="G20" s="4" t="s">
        <v>157</v>
      </c>
      <c r="H20" s="4" t="s">
        <v>231</v>
      </c>
      <c r="I20" s="4" t="s">
        <v>226</v>
      </c>
      <c r="J20" s="81">
        <f>IFERROR(__xludf.DUMMYFUNCTION("FILTER('賽道紀錄'!E:E, '賽道紀錄'!A:A=B20, '賽道紀錄'!B:B=C20)-F20"),-3.708101851851854E-4)</f>
        <v>-0.0003708101852</v>
      </c>
      <c r="K20" s="4"/>
      <c r="L20" s="4" t="s">
        <v>252</v>
      </c>
      <c r="M20" s="82">
        <f t="shared" si="2"/>
        <v>238.85</v>
      </c>
      <c r="N20" s="27">
        <f t="shared" si="3"/>
        <v>0.002764467593</v>
      </c>
    </row>
    <row r="21">
      <c r="A21" s="77">
        <v>45816.0</v>
      </c>
      <c r="B21" s="4" t="s">
        <v>237</v>
      </c>
      <c r="C21" s="4" t="s">
        <v>223</v>
      </c>
      <c r="D21" s="4" t="s">
        <v>224</v>
      </c>
      <c r="E21" s="4" t="s">
        <v>205</v>
      </c>
      <c r="F21" s="80">
        <f t="shared" si="1"/>
        <v>0.002853784722</v>
      </c>
      <c r="G21" s="4" t="s">
        <v>135</v>
      </c>
      <c r="H21" s="4" t="s">
        <v>231</v>
      </c>
      <c r="I21" s="4" t="s">
        <v>226</v>
      </c>
      <c r="J21" s="81">
        <f>IFERROR(__xludf.DUMMYFUNCTION("FILTER('賽道紀錄'!E:E, '賽道紀錄'!A:A=B21, '賽道紀錄'!B:B=C21)-F21"),-4.601273148148151E-4)</f>
        <v>-0.0004601273148</v>
      </c>
      <c r="K21" s="4"/>
      <c r="L21" s="4" t="s">
        <v>253</v>
      </c>
      <c r="M21" s="82">
        <f t="shared" si="2"/>
        <v>246.567</v>
      </c>
      <c r="N21" s="27">
        <f t="shared" si="3"/>
        <v>0.002853784722</v>
      </c>
    </row>
    <row r="22">
      <c r="A22" s="77">
        <v>45816.0</v>
      </c>
      <c r="B22" s="4" t="s">
        <v>237</v>
      </c>
      <c r="C22" s="4" t="s">
        <v>223</v>
      </c>
      <c r="D22" s="4" t="s">
        <v>224</v>
      </c>
      <c r="E22" s="4" t="s">
        <v>205</v>
      </c>
      <c r="F22" s="80">
        <f t="shared" si="1"/>
        <v>0.0032253125</v>
      </c>
      <c r="G22" s="4" t="s">
        <v>123</v>
      </c>
      <c r="H22" s="4" t="s">
        <v>231</v>
      </c>
      <c r="I22" s="4" t="s">
        <v>226</v>
      </c>
      <c r="J22" s="81">
        <f>IFERROR(__xludf.DUMMYFUNCTION("FILTER('賽道紀錄'!E:E, '賽道紀錄'!A:A=B22, '賽道紀錄'!B:B=C22)-F22"),-8.316550925925922E-4)</f>
        <v>-0.0008316550926</v>
      </c>
      <c r="K22" s="4"/>
      <c r="L22" s="4" t="s">
        <v>254</v>
      </c>
      <c r="M22" s="82">
        <f t="shared" si="2"/>
        <v>278.667</v>
      </c>
      <c r="N22" s="27">
        <f t="shared" si="3"/>
        <v>0.0032253125</v>
      </c>
    </row>
    <row r="23">
      <c r="A23" s="77">
        <v>45816.0</v>
      </c>
      <c r="B23" s="4" t="s">
        <v>237</v>
      </c>
      <c r="C23" s="4" t="s">
        <v>223</v>
      </c>
      <c r="D23" s="4" t="s">
        <v>224</v>
      </c>
      <c r="E23" s="4" t="s">
        <v>205</v>
      </c>
      <c r="F23" s="80">
        <f t="shared" si="1"/>
        <v>0.003335451389</v>
      </c>
      <c r="G23" s="4" t="s">
        <v>164</v>
      </c>
      <c r="H23" s="4" t="s">
        <v>231</v>
      </c>
      <c r="I23" s="4" t="s">
        <v>226</v>
      </c>
      <c r="J23" s="81">
        <f>IFERROR(__xludf.DUMMYFUNCTION("FILTER('賽道紀錄'!E:E, '賽道紀錄'!A:A=B23, '賽道紀錄'!B:B=C23)-F23"),-9.417939814814818E-4)</f>
        <v>-0.0009417939815</v>
      </c>
      <c r="K23" s="4"/>
      <c r="L23" s="4" t="s">
        <v>255</v>
      </c>
      <c r="M23" s="82">
        <f t="shared" si="2"/>
        <v>288.183</v>
      </c>
      <c r="N23" s="27">
        <f t="shared" si="3"/>
        <v>0.003335451389</v>
      </c>
    </row>
    <row r="24">
      <c r="A24" s="77">
        <v>45807.0</v>
      </c>
      <c r="B24" s="4" t="s">
        <v>237</v>
      </c>
      <c r="C24" s="4" t="s">
        <v>223</v>
      </c>
      <c r="D24" s="4" t="s">
        <v>224</v>
      </c>
      <c r="E24" s="4" t="s">
        <v>208</v>
      </c>
      <c r="F24" s="80">
        <f t="shared" si="1"/>
        <v>0.002604652778</v>
      </c>
      <c r="G24" s="4" t="s">
        <v>194</v>
      </c>
      <c r="H24" s="4" t="s">
        <v>225</v>
      </c>
      <c r="I24" s="4" t="s">
        <v>226</v>
      </c>
      <c r="J24" s="81">
        <f>IFERROR(__xludf.DUMMYFUNCTION("FILTER('賽道紀錄'!E:E, '賽道紀錄'!A:A=B24, '賽道紀錄'!B:B=C24)-F24"),-2.1099537037037094E-4)</f>
        <v>-0.0002109953704</v>
      </c>
      <c r="K24" s="4"/>
      <c r="L24" s="4" t="s">
        <v>256</v>
      </c>
      <c r="M24" s="82">
        <f t="shared" si="2"/>
        <v>225.042</v>
      </c>
      <c r="N24" s="27">
        <f t="shared" si="3"/>
        <v>0.002604652778</v>
      </c>
    </row>
    <row r="25">
      <c r="A25" s="77">
        <v>45807.0</v>
      </c>
      <c r="B25" s="4" t="s">
        <v>237</v>
      </c>
      <c r="C25" s="4" t="s">
        <v>223</v>
      </c>
      <c r="D25" s="4" t="s">
        <v>224</v>
      </c>
      <c r="E25" s="4" t="s">
        <v>205</v>
      </c>
      <c r="F25" s="80">
        <f t="shared" si="1"/>
        <v>0.002674768519</v>
      </c>
      <c r="G25" s="4" t="s">
        <v>133</v>
      </c>
      <c r="H25" s="4" t="s">
        <v>231</v>
      </c>
      <c r="I25" s="4" t="s">
        <v>226</v>
      </c>
      <c r="J25" s="81">
        <f>IFERROR(__xludf.DUMMYFUNCTION("FILTER('賽道紀錄'!E:E, '賽道紀錄'!A:A=B25, '賽道紀錄'!B:B=C25)-F25"),-2.811111111111113E-4)</f>
        <v>-0.0002811111111</v>
      </c>
      <c r="K25" s="4"/>
      <c r="L25" s="4" t="s">
        <v>257</v>
      </c>
      <c r="M25" s="82">
        <f t="shared" si="2"/>
        <v>231.1</v>
      </c>
      <c r="N25" s="27">
        <f t="shared" si="3"/>
        <v>0.002674768519</v>
      </c>
    </row>
    <row r="26">
      <c r="A26" s="77">
        <v>45807.0</v>
      </c>
      <c r="B26" s="4" t="s">
        <v>237</v>
      </c>
      <c r="C26" s="4" t="s">
        <v>223</v>
      </c>
      <c r="D26" s="4" t="s">
        <v>224</v>
      </c>
      <c r="E26" s="4" t="s">
        <v>206</v>
      </c>
      <c r="F26" s="80">
        <f t="shared" si="1"/>
        <v>0.002792824074</v>
      </c>
      <c r="G26" s="4" t="s">
        <v>177</v>
      </c>
      <c r="H26" s="4" t="s">
        <v>231</v>
      </c>
      <c r="I26" s="4" t="s">
        <v>226</v>
      </c>
      <c r="J26" s="81">
        <f>IFERROR(__xludf.DUMMYFUNCTION("FILTER('賽道紀錄'!E:E, '賽道紀錄'!A:A=B26, '賽道紀錄'!B:B=C26)-F26"),-3.99166666666667E-4)</f>
        <v>-0.0003991666667</v>
      </c>
      <c r="K26" s="4"/>
      <c r="L26" s="4" t="s">
        <v>258</v>
      </c>
      <c r="M26" s="82">
        <f t="shared" si="2"/>
        <v>241.3</v>
      </c>
      <c r="N26" s="27">
        <f t="shared" si="3"/>
        <v>0.002792824074</v>
      </c>
    </row>
    <row r="27">
      <c r="A27" s="77">
        <v>45807.0</v>
      </c>
      <c r="B27" s="4" t="s">
        <v>237</v>
      </c>
      <c r="C27" s="4" t="s">
        <v>223</v>
      </c>
      <c r="D27" s="4" t="s">
        <v>224</v>
      </c>
      <c r="E27" s="4" t="s">
        <v>233</v>
      </c>
      <c r="F27" s="80">
        <f t="shared" si="1"/>
        <v>0.003531770833</v>
      </c>
      <c r="G27" s="4" t="s">
        <v>147</v>
      </c>
      <c r="H27" s="4" t="s">
        <v>231</v>
      </c>
      <c r="I27" s="4" t="s">
        <v>226</v>
      </c>
      <c r="J27" s="81">
        <f>IFERROR(__xludf.DUMMYFUNCTION("FILTER('賽道紀錄'!E:E, '賽道紀錄'!A:A=B27, '賽道紀錄'!B:B=C27)-F27"),-0.0011381134259259257)</f>
        <v>-0.001138113426</v>
      </c>
      <c r="K27" s="4"/>
      <c r="L27" s="4" t="s">
        <v>259</v>
      </c>
      <c r="M27" s="82">
        <f t="shared" si="2"/>
        <v>305.145</v>
      </c>
      <c r="N27" s="27">
        <f t="shared" si="3"/>
        <v>0.003531770833</v>
      </c>
    </row>
    <row r="28">
      <c r="A28" s="77">
        <v>45682.0</v>
      </c>
      <c r="B28" s="4" t="s">
        <v>237</v>
      </c>
      <c r="C28" s="4" t="s">
        <v>223</v>
      </c>
      <c r="D28" s="4" t="s">
        <v>224</v>
      </c>
      <c r="E28" s="4" t="s">
        <v>205</v>
      </c>
      <c r="F28" s="80">
        <f t="shared" si="1"/>
        <v>0.002596840278</v>
      </c>
      <c r="G28" s="4" t="s">
        <v>133</v>
      </c>
      <c r="H28" s="4" t="s">
        <v>231</v>
      </c>
      <c r="I28" s="4" t="s">
        <v>226</v>
      </c>
      <c r="J28" s="81">
        <f>IFERROR(__xludf.DUMMYFUNCTION("FILTER('賽道紀錄'!E:E, '賽道紀錄'!A:A=B28, '賽道紀錄'!B:B=C28)-F28"),-2.031828703703705E-4)</f>
        <v>-0.0002031828704</v>
      </c>
      <c r="K28" s="4"/>
      <c r="L28" s="4" t="s">
        <v>260</v>
      </c>
      <c r="M28" s="82">
        <f t="shared" si="2"/>
        <v>224.367</v>
      </c>
      <c r="N28" s="27">
        <f t="shared" si="3"/>
        <v>0.002596840278</v>
      </c>
    </row>
    <row r="29">
      <c r="A29" s="77">
        <v>45813.0</v>
      </c>
      <c r="B29" s="4" t="s">
        <v>261</v>
      </c>
      <c r="C29" s="4" t="s">
        <v>223</v>
      </c>
      <c r="D29" s="4" t="s">
        <v>224</v>
      </c>
      <c r="E29" s="4" t="s">
        <v>209</v>
      </c>
      <c r="F29" s="80">
        <f t="shared" si="1"/>
        <v>0.002673865741</v>
      </c>
      <c r="G29" s="4" t="s">
        <v>123</v>
      </c>
      <c r="H29" s="4" t="s">
        <v>225</v>
      </c>
      <c r="I29" s="4" t="s">
        <v>226</v>
      </c>
      <c r="J29" s="81">
        <f>IFERROR(__xludf.DUMMYFUNCTION("FILTER('賽道紀錄'!E:E, '賽道紀錄'!A:A=B29, '賽道紀錄'!B:B=C29)-F29"),0.0)</f>
        <v>0</v>
      </c>
      <c r="K29" s="4"/>
      <c r="L29" s="4" t="s">
        <v>262</v>
      </c>
      <c r="M29" s="82">
        <f t="shared" si="2"/>
        <v>231.022</v>
      </c>
      <c r="N29" s="27">
        <f t="shared" si="3"/>
        <v>0.002673865741</v>
      </c>
    </row>
    <row r="30">
      <c r="A30" s="77">
        <v>45813.0</v>
      </c>
      <c r="B30" s="4" t="s">
        <v>261</v>
      </c>
      <c r="C30" s="4" t="s">
        <v>223</v>
      </c>
      <c r="D30" s="4" t="s">
        <v>224</v>
      </c>
      <c r="E30" s="4" t="s">
        <v>205</v>
      </c>
      <c r="F30" s="80">
        <f t="shared" si="1"/>
        <v>0.002859953704</v>
      </c>
      <c r="G30" s="4" t="s">
        <v>177</v>
      </c>
      <c r="H30" s="4" t="s">
        <v>231</v>
      </c>
      <c r="I30" s="4" t="s">
        <v>226</v>
      </c>
      <c r="J30" s="81">
        <f>IFERROR(__xludf.DUMMYFUNCTION("FILTER('賽道紀錄'!E:E, '賽道紀錄'!A:A=B30, '賽道紀錄'!B:B=C30)-F30"),-1.8608796296296299E-4)</f>
        <v>-0.000186087963</v>
      </c>
      <c r="K30" s="4"/>
      <c r="L30" s="4" t="s">
        <v>263</v>
      </c>
      <c r="M30" s="82">
        <f t="shared" si="2"/>
        <v>247.1</v>
      </c>
      <c r="N30" s="27">
        <f t="shared" si="3"/>
        <v>0.002859953704</v>
      </c>
    </row>
    <row r="31">
      <c r="A31" s="77">
        <v>45813.0</v>
      </c>
      <c r="B31" s="4" t="s">
        <v>261</v>
      </c>
      <c r="C31" s="4" t="s">
        <v>223</v>
      </c>
      <c r="D31" s="4" t="s">
        <v>224</v>
      </c>
      <c r="E31" s="4" t="s">
        <v>207</v>
      </c>
      <c r="F31" s="80">
        <f t="shared" si="1"/>
        <v>0.002894131944</v>
      </c>
      <c r="G31" s="4" t="s">
        <v>264</v>
      </c>
      <c r="H31" s="4" t="s">
        <v>225</v>
      </c>
      <c r="I31" s="4" t="s">
        <v>226</v>
      </c>
      <c r="J31" s="81">
        <f>IFERROR(__xludf.DUMMYFUNCTION("FILTER('賽道紀錄'!E:E, '賽道紀錄'!A:A=B31, '賽道紀錄'!B:B=C31)-F31"),-2.2026620370370386E-4)</f>
        <v>-0.0002202662037</v>
      </c>
      <c r="K31" s="4"/>
      <c r="L31" s="4" t="s">
        <v>265</v>
      </c>
      <c r="M31" s="82">
        <f t="shared" si="2"/>
        <v>250.053</v>
      </c>
      <c r="N31" s="27">
        <f t="shared" si="3"/>
        <v>0.002894131944</v>
      </c>
    </row>
    <row r="32">
      <c r="A32" s="77">
        <v>45676.0</v>
      </c>
      <c r="B32" s="4" t="s">
        <v>266</v>
      </c>
      <c r="C32" s="4" t="s">
        <v>223</v>
      </c>
      <c r="D32" s="4" t="s">
        <v>224</v>
      </c>
      <c r="E32" s="4" t="s">
        <v>209</v>
      </c>
      <c r="F32" s="80">
        <f t="shared" si="1"/>
        <v>0.002543217593</v>
      </c>
      <c r="G32" s="4" t="s">
        <v>123</v>
      </c>
      <c r="H32" s="4" t="s">
        <v>225</v>
      </c>
      <c r="I32" s="4" t="s">
        <v>226</v>
      </c>
      <c r="J32" s="81">
        <f>IFERROR(__xludf.DUMMYFUNCTION("FILTER('賽道紀錄'!E:E, '賽道紀錄'!A:A=B32, '賽道紀錄'!B:B=C32)-F32"),0.0)</f>
        <v>0</v>
      </c>
      <c r="K32" s="4"/>
      <c r="L32" s="4" t="s">
        <v>267</v>
      </c>
      <c r="M32" s="82">
        <f t="shared" si="2"/>
        <v>219.734</v>
      </c>
      <c r="N32" s="27">
        <f t="shared" si="3"/>
        <v>0.002543217593</v>
      </c>
    </row>
    <row r="33">
      <c r="A33" s="77">
        <v>45676.0</v>
      </c>
      <c r="B33" s="4" t="s">
        <v>266</v>
      </c>
      <c r="C33" s="4" t="s">
        <v>223</v>
      </c>
      <c r="D33" s="4" t="s">
        <v>224</v>
      </c>
      <c r="E33" s="4" t="s">
        <v>207</v>
      </c>
      <c r="F33" s="80">
        <f t="shared" si="1"/>
        <v>0.002563194444</v>
      </c>
      <c r="G33" s="4" t="s">
        <v>176</v>
      </c>
      <c r="H33" s="4" t="s">
        <v>225</v>
      </c>
      <c r="I33" s="4" t="s">
        <v>226</v>
      </c>
      <c r="J33" s="81">
        <f>IFERROR(__xludf.DUMMYFUNCTION("FILTER('賽道紀錄'!E:E, '賽道紀錄'!A:A=B33, '賽道紀錄'!B:B=C33)-F33"),-1.9976851851852186E-5)</f>
        <v>-0.00001997685185</v>
      </c>
      <c r="K33" s="4"/>
      <c r="L33" s="4" t="s">
        <v>268</v>
      </c>
      <c r="M33" s="82">
        <f t="shared" si="2"/>
        <v>221.46</v>
      </c>
      <c r="N33" s="27">
        <f t="shared" si="3"/>
        <v>0.002563194444</v>
      </c>
    </row>
    <row r="34">
      <c r="A34" s="77">
        <v>45676.0</v>
      </c>
      <c r="B34" s="4" t="s">
        <v>266</v>
      </c>
      <c r="C34" s="4" t="s">
        <v>223</v>
      </c>
      <c r="D34" s="4" t="s">
        <v>224</v>
      </c>
      <c r="E34" s="4" t="s">
        <v>205</v>
      </c>
      <c r="F34" s="80">
        <f t="shared" si="1"/>
        <v>0.002905289352</v>
      </c>
      <c r="G34" s="4" t="s">
        <v>269</v>
      </c>
      <c r="H34" s="4" t="s">
        <v>231</v>
      </c>
      <c r="I34" s="4" t="s">
        <v>226</v>
      </c>
      <c r="J34" s="81">
        <f>IFERROR(__xludf.DUMMYFUNCTION("FILTER('賽道紀錄'!E:E, '賽道紀錄'!A:A=B34, '賽道紀錄'!B:B=C34)-F34"),-3.6207175925925903E-4)</f>
        <v>-0.0003620717593</v>
      </c>
      <c r="K34" s="4"/>
      <c r="L34" s="4" t="s">
        <v>270</v>
      </c>
      <c r="M34" s="82">
        <f t="shared" si="2"/>
        <v>251.017</v>
      </c>
      <c r="N34" s="27">
        <f t="shared" si="3"/>
        <v>0.002905289352</v>
      </c>
    </row>
    <row r="35">
      <c r="A35" s="77">
        <v>45672.0</v>
      </c>
      <c r="B35" s="4" t="s">
        <v>266</v>
      </c>
      <c r="C35" s="4" t="s">
        <v>223</v>
      </c>
      <c r="D35" s="4" t="s">
        <v>224</v>
      </c>
      <c r="E35" s="4" t="s">
        <v>209</v>
      </c>
      <c r="F35" s="80">
        <f t="shared" si="1"/>
        <v>0.002543726852</v>
      </c>
      <c r="G35" s="4" t="s">
        <v>123</v>
      </c>
      <c r="H35" s="4" t="s">
        <v>225</v>
      </c>
      <c r="I35" s="4" t="s">
        <v>226</v>
      </c>
      <c r="J35" s="81">
        <f>IFERROR(__xludf.DUMMYFUNCTION("FILTER('賽道紀錄'!E:E, '賽道紀錄'!A:A=B35, '賽道紀錄'!B:B=C35)-F35"),-5.092592592591261E-7)</f>
        <v>-0.0000005092592593</v>
      </c>
      <c r="K35" s="4"/>
      <c r="L35" s="4" t="s">
        <v>271</v>
      </c>
      <c r="M35" s="82">
        <f t="shared" si="2"/>
        <v>219.778</v>
      </c>
      <c r="N35" s="27">
        <f t="shared" si="3"/>
        <v>0.002543726852</v>
      </c>
    </row>
    <row r="36">
      <c r="A36" s="77">
        <v>45672.0</v>
      </c>
      <c r="B36" s="4" t="s">
        <v>266</v>
      </c>
      <c r="C36" s="4" t="s">
        <v>223</v>
      </c>
      <c r="D36" s="4" t="s">
        <v>224</v>
      </c>
      <c r="E36" s="4" t="s">
        <v>207</v>
      </c>
      <c r="F36" s="80">
        <f t="shared" si="1"/>
        <v>0.002579918981</v>
      </c>
      <c r="G36" s="4" t="s">
        <v>176</v>
      </c>
      <c r="H36" s="4" t="s">
        <v>225</v>
      </c>
      <c r="I36" s="4" t="s">
        <v>226</v>
      </c>
      <c r="J36" s="81">
        <f>IFERROR(__xludf.DUMMYFUNCTION("FILTER('賽道紀錄'!E:E, '賽道紀錄'!A:A=B36, '賽道紀錄'!B:B=C36)-F36"),-3.6701388888888634E-5)</f>
        <v>-0.00003670138889</v>
      </c>
      <c r="K36" s="4"/>
      <c r="L36" s="4" t="s">
        <v>272</v>
      </c>
      <c r="M36" s="82">
        <f t="shared" si="2"/>
        <v>222.905</v>
      </c>
      <c r="N36" s="27">
        <f t="shared" si="3"/>
        <v>0.002579918981</v>
      </c>
    </row>
    <row r="37">
      <c r="A37" s="77">
        <v>45672.0</v>
      </c>
      <c r="B37" s="4" t="s">
        <v>266</v>
      </c>
      <c r="C37" s="4" t="s">
        <v>223</v>
      </c>
      <c r="D37" s="4" t="s">
        <v>224</v>
      </c>
      <c r="E37" s="4" t="s">
        <v>205</v>
      </c>
      <c r="F37" s="80">
        <f t="shared" si="1"/>
        <v>0.002948298611</v>
      </c>
      <c r="G37" s="4" t="s">
        <v>123</v>
      </c>
      <c r="H37" s="4" t="s">
        <v>231</v>
      </c>
      <c r="I37" s="4" t="s">
        <v>226</v>
      </c>
      <c r="J37" s="81">
        <f>IFERROR(__xludf.DUMMYFUNCTION("FILTER('賽道紀錄'!E:E, '賽道紀錄'!A:A=B37, '賽道紀錄'!B:B=C37)-F37"),-4.050810185185186E-4)</f>
        <v>-0.0004050810185</v>
      </c>
      <c r="K37" s="70"/>
      <c r="L37" s="70" t="s">
        <v>273</v>
      </c>
      <c r="M37" s="82">
        <f t="shared" si="2"/>
        <v>254.733</v>
      </c>
      <c r="N37" s="27">
        <f t="shared" si="3"/>
        <v>0.002948298611</v>
      </c>
    </row>
    <row r="38">
      <c r="A38" s="77">
        <v>45672.0</v>
      </c>
      <c r="B38" s="4" t="s">
        <v>266</v>
      </c>
      <c r="C38" s="4" t="s">
        <v>223</v>
      </c>
      <c r="D38" s="4" t="s">
        <v>224</v>
      </c>
      <c r="E38" s="4" t="s">
        <v>205</v>
      </c>
      <c r="F38" s="80">
        <f t="shared" si="1"/>
        <v>0.003146412037</v>
      </c>
      <c r="G38" s="4" t="s">
        <v>131</v>
      </c>
      <c r="H38" s="4" t="s">
        <v>231</v>
      </c>
      <c r="I38" s="4" t="s">
        <v>226</v>
      </c>
      <c r="J38" s="81">
        <f>IFERROR(__xludf.DUMMYFUNCTION("FILTER('賽道紀錄'!E:E, '賽道紀錄'!A:A=B38, '賽道紀錄'!B:B=C38)-F38"),-6.031944444444448E-4)</f>
        <v>-0.0006031944444</v>
      </c>
      <c r="K38" s="4"/>
      <c r="L38" s="4" t="s">
        <v>274</v>
      </c>
      <c r="M38" s="82">
        <f t="shared" si="2"/>
        <v>271.85</v>
      </c>
      <c r="N38" s="27">
        <f t="shared" si="3"/>
        <v>0.003146412037</v>
      </c>
    </row>
    <row r="39">
      <c r="A39" s="77">
        <v>45672.0</v>
      </c>
      <c r="B39" s="4" t="s">
        <v>266</v>
      </c>
      <c r="C39" s="4" t="s">
        <v>223</v>
      </c>
      <c r="D39" s="4" t="s">
        <v>224</v>
      </c>
      <c r="E39" s="4" t="s">
        <v>275</v>
      </c>
      <c r="F39" s="80">
        <f t="shared" si="1"/>
        <v>0.003164930556</v>
      </c>
      <c r="G39" s="4" t="s">
        <v>137</v>
      </c>
      <c r="H39" s="4" t="s">
        <v>231</v>
      </c>
      <c r="I39" s="4" t="s">
        <v>226</v>
      </c>
      <c r="J39" s="81">
        <f>IFERROR(__xludf.DUMMYFUNCTION("FILTER('賽道紀錄'!E:E, '賽道紀錄'!A:A=B39, '賽道紀錄'!B:B=C39)-F39"),-6.217129629629632E-4)</f>
        <v>-0.000621712963</v>
      </c>
      <c r="K39" s="4"/>
      <c r="L39" s="4" t="s">
        <v>276</v>
      </c>
      <c r="M39" s="82">
        <f t="shared" si="2"/>
        <v>273.45</v>
      </c>
      <c r="N39" s="27">
        <f t="shared" si="3"/>
        <v>0.003164930556</v>
      </c>
    </row>
    <row r="40">
      <c r="A40" s="77">
        <v>45670.0</v>
      </c>
      <c r="B40" s="4" t="s">
        <v>266</v>
      </c>
      <c r="C40" s="4" t="s">
        <v>223</v>
      </c>
      <c r="D40" s="4" t="s">
        <v>224</v>
      </c>
      <c r="E40" s="4" t="s">
        <v>209</v>
      </c>
      <c r="F40" s="80">
        <f t="shared" si="1"/>
        <v>0.002545138889</v>
      </c>
      <c r="G40" s="4" t="s">
        <v>123</v>
      </c>
      <c r="H40" s="4" t="s">
        <v>225</v>
      </c>
      <c r="I40" s="4" t="s">
        <v>226</v>
      </c>
      <c r="J40" s="81">
        <f>IFERROR(__xludf.DUMMYFUNCTION("FILTER('賽道紀錄'!E:E, '賽道紀錄'!A:A=B40, '賽道紀錄'!B:B=C40)-F40"),-1.9212962962963064E-6)</f>
        <v>-0.000001921296296</v>
      </c>
      <c r="K40" s="4"/>
      <c r="L40" s="4" t="s">
        <v>277</v>
      </c>
      <c r="M40" s="82">
        <f t="shared" si="2"/>
        <v>219.9</v>
      </c>
      <c r="N40" s="27">
        <f t="shared" si="3"/>
        <v>0.002545138889</v>
      </c>
    </row>
    <row r="41">
      <c r="A41" s="77">
        <v>45670.0</v>
      </c>
      <c r="B41" s="4" t="s">
        <v>266</v>
      </c>
      <c r="C41" s="4" t="s">
        <v>223</v>
      </c>
      <c r="D41" s="4" t="s">
        <v>224</v>
      </c>
      <c r="E41" s="4" t="s">
        <v>207</v>
      </c>
      <c r="F41" s="80">
        <f t="shared" si="1"/>
        <v>0.002615034722</v>
      </c>
      <c r="G41" s="4" t="s">
        <v>176</v>
      </c>
      <c r="H41" s="4" t="s">
        <v>225</v>
      </c>
      <c r="I41" s="4" t="s">
        <v>226</v>
      </c>
      <c r="J41" s="81">
        <f>IFERROR(__xludf.DUMMYFUNCTION("FILTER('賽道紀錄'!E:E, '賽道紀錄'!A:A=B41, '賽道紀錄'!B:B=C41)-F41"),-7.181712962962957E-5)</f>
        <v>-0.00007181712963</v>
      </c>
      <c r="K41" s="4"/>
      <c r="L41" s="4" t="s">
        <v>278</v>
      </c>
      <c r="M41" s="82">
        <f t="shared" si="2"/>
        <v>225.939</v>
      </c>
      <c r="N41" s="27">
        <f t="shared" si="3"/>
        <v>0.002615034722</v>
      </c>
    </row>
    <row r="42">
      <c r="A42" s="77">
        <v>45670.0</v>
      </c>
      <c r="B42" s="4" t="s">
        <v>266</v>
      </c>
      <c r="C42" s="4" t="s">
        <v>223</v>
      </c>
      <c r="D42" s="4" t="s">
        <v>224</v>
      </c>
      <c r="E42" s="4" t="s">
        <v>205</v>
      </c>
      <c r="F42" s="80">
        <f t="shared" si="1"/>
        <v>0.002905289352</v>
      </c>
      <c r="G42" s="4" t="s">
        <v>269</v>
      </c>
      <c r="H42" s="4" t="s">
        <v>231</v>
      </c>
      <c r="I42" s="4" t="s">
        <v>226</v>
      </c>
      <c r="J42" s="81">
        <f>IFERROR(__xludf.DUMMYFUNCTION("FILTER('賽道紀錄'!E:E, '賽道紀錄'!A:A=B42, '賽道紀錄'!B:B=C42)-F42"),-3.6207175925925903E-4)</f>
        <v>-0.0003620717593</v>
      </c>
      <c r="K42" s="4"/>
      <c r="L42" s="4" t="s">
        <v>270</v>
      </c>
      <c r="M42" s="82">
        <f t="shared" si="2"/>
        <v>251.017</v>
      </c>
      <c r="N42" s="27">
        <f t="shared" si="3"/>
        <v>0.002905289352</v>
      </c>
    </row>
    <row r="43">
      <c r="A43" s="77">
        <v>45811.0</v>
      </c>
      <c r="B43" s="4" t="s">
        <v>279</v>
      </c>
      <c r="D43" s="4" t="s">
        <v>224</v>
      </c>
      <c r="E43" s="4" t="s">
        <v>206</v>
      </c>
      <c r="F43" s="80">
        <f t="shared" si="1"/>
        <v>0.002728587963</v>
      </c>
      <c r="G43" s="4" t="s">
        <v>162</v>
      </c>
      <c r="H43" s="4" t="s">
        <v>231</v>
      </c>
      <c r="I43" s="4" t="s">
        <v>226</v>
      </c>
      <c r="J43" s="81">
        <f>IFERROR(__xludf.DUMMYFUNCTION("FILTER('賽道紀錄'!E:E, '賽道紀錄'!A:A=B43, '賽道紀錄'!B:B=C43)-F43"),-2.1864583333333285E-4)</f>
        <v>-0.0002186458333</v>
      </c>
      <c r="K43" s="4"/>
      <c r="L43" s="4" t="s">
        <v>280</v>
      </c>
      <c r="M43" s="82">
        <f t="shared" si="2"/>
        <v>235.75</v>
      </c>
      <c r="N43" s="27">
        <f t="shared" si="3"/>
        <v>0.002728587963</v>
      </c>
    </row>
    <row r="44">
      <c r="A44" s="77">
        <v>45819.0</v>
      </c>
      <c r="B44" s="4" t="s">
        <v>281</v>
      </c>
      <c r="C44" s="4" t="s">
        <v>282</v>
      </c>
      <c r="D44" s="4" t="s">
        <v>224</v>
      </c>
      <c r="E44" s="4" t="s">
        <v>206</v>
      </c>
      <c r="F44" s="80">
        <f t="shared" si="1"/>
        <v>0.001394270833</v>
      </c>
      <c r="G44" s="4" t="s">
        <v>154</v>
      </c>
      <c r="H44" s="4" t="s">
        <v>231</v>
      </c>
      <c r="I44" s="4" t="s">
        <v>226</v>
      </c>
      <c r="J44" s="81">
        <f>IFERROR(__xludf.DUMMYFUNCTION("FILTER('賽道紀錄'!E:E, '賽道紀錄'!A:A=B44, '賽道紀錄'!B:B=C44)-F44"),0.0)</f>
        <v>0</v>
      </c>
      <c r="K44" s="4"/>
      <c r="L44" s="4" t="s">
        <v>283</v>
      </c>
      <c r="M44" s="82">
        <f t="shared" si="2"/>
        <v>120.465</v>
      </c>
      <c r="N44" s="27">
        <f t="shared" si="3"/>
        <v>0.001394270833</v>
      </c>
    </row>
    <row r="45">
      <c r="A45" s="77">
        <v>45819.0</v>
      </c>
      <c r="B45" s="4" t="s">
        <v>281</v>
      </c>
      <c r="C45" s="4" t="s">
        <v>284</v>
      </c>
      <c r="D45" s="4" t="s">
        <v>224</v>
      </c>
      <c r="E45" s="4" t="s">
        <v>206</v>
      </c>
      <c r="F45" s="80">
        <f t="shared" si="1"/>
        <v>0.002279583333</v>
      </c>
      <c r="G45" s="4" t="s">
        <v>154</v>
      </c>
      <c r="H45" s="4" t="s">
        <v>231</v>
      </c>
      <c r="I45" s="4" t="s">
        <v>226</v>
      </c>
      <c r="J45" s="81">
        <f>IFERROR(__xludf.DUMMYFUNCTION("FILTER('賽道紀錄'!E:E, '賽道紀錄'!A:A=B45, '賽道紀錄'!B:B=C45)-F45"),0.0)</f>
        <v>0</v>
      </c>
      <c r="K45" s="4"/>
      <c r="L45" s="4" t="s">
        <v>285</v>
      </c>
      <c r="M45" s="82">
        <f t="shared" si="2"/>
        <v>196.956</v>
      </c>
      <c r="N45" s="27">
        <f t="shared" si="3"/>
        <v>0.002279583333</v>
      </c>
    </row>
    <row r="46">
      <c r="A46" s="77">
        <v>45817.0</v>
      </c>
      <c r="B46" s="4" t="s">
        <v>286</v>
      </c>
      <c r="C46" s="4" t="s">
        <v>282</v>
      </c>
      <c r="D46" s="4" t="s">
        <v>224</v>
      </c>
      <c r="E46" s="4" t="s">
        <v>206</v>
      </c>
      <c r="F46" s="80">
        <f t="shared" si="1"/>
        <v>0.0005876851852</v>
      </c>
      <c r="G46" s="4" t="s">
        <v>154</v>
      </c>
      <c r="H46" s="4" t="s">
        <v>231</v>
      </c>
      <c r="I46" s="4" t="s">
        <v>226</v>
      </c>
      <c r="J46" s="81">
        <f>IFERROR(__xludf.DUMMYFUNCTION("FILTER('賽道紀錄'!E:E, '賽道紀錄'!A:A=B46, '賽道紀錄'!B:B=C46)-F46"),0.0)</f>
        <v>0</v>
      </c>
      <c r="K46" s="4"/>
      <c r="L46" s="4" t="s">
        <v>287</v>
      </c>
      <c r="M46" s="82">
        <f t="shared" si="2"/>
        <v>50.776</v>
      </c>
      <c r="N46" s="27">
        <f t="shared" si="3"/>
        <v>0.0005876851852</v>
      </c>
    </row>
    <row r="47">
      <c r="A47" s="77">
        <v>45817.0</v>
      </c>
      <c r="B47" s="4" t="s">
        <v>286</v>
      </c>
      <c r="C47" s="4" t="s">
        <v>284</v>
      </c>
      <c r="D47" s="4" t="s">
        <v>224</v>
      </c>
      <c r="E47" s="4" t="s">
        <v>206</v>
      </c>
      <c r="F47" s="80">
        <f t="shared" si="1"/>
        <v>0.001997743056</v>
      </c>
      <c r="G47" s="4" t="s">
        <v>154</v>
      </c>
      <c r="H47" s="4" t="s">
        <v>231</v>
      </c>
      <c r="I47" s="4" t="s">
        <v>226</v>
      </c>
      <c r="J47" s="81">
        <f>IFERROR(__xludf.DUMMYFUNCTION("FILTER('賽道紀錄'!E:E, '賽道紀錄'!A:A=B47, '賽道紀錄'!B:B=C47)-F47"),0.0)</f>
        <v>0</v>
      </c>
      <c r="K47" s="4"/>
      <c r="L47" s="4" t="s">
        <v>288</v>
      </c>
      <c r="M47" s="82">
        <f t="shared" si="2"/>
        <v>172.605</v>
      </c>
      <c r="N47" s="27">
        <f t="shared" si="3"/>
        <v>0.001997743056</v>
      </c>
    </row>
    <row r="48">
      <c r="A48" s="77">
        <v>45817.0</v>
      </c>
      <c r="B48" s="4" t="s">
        <v>289</v>
      </c>
      <c r="C48" s="4" t="s">
        <v>223</v>
      </c>
      <c r="D48" s="4" t="s">
        <v>224</v>
      </c>
      <c r="E48" s="4" t="s">
        <v>205</v>
      </c>
      <c r="F48" s="80">
        <f t="shared" si="1"/>
        <v>0.0008250578704</v>
      </c>
      <c r="G48" s="4" t="s">
        <v>197</v>
      </c>
      <c r="H48" s="4" t="s">
        <v>231</v>
      </c>
      <c r="I48" s="4" t="s">
        <v>226</v>
      </c>
      <c r="J48" s="81">
        <f>IFERROR(__xludf.DUMMYFUNCTION("FILTER('賽道紀錄'!E:E, '賽道紀錄'!A:A=B48, '賽道紀錄'!B:B=C48)-F48"),0.0)</f>
        <v>0</v>
      </c>
      <c r="K48" s="4"/>
      <c r="L48" s="4" t="s">
        <v>290</v>
      </c>
      <c r="M48" s="82">
        <f t="shared" si="2"/>
        <v>71.285</v>
      </c>
      <c r="N48" s="27">
        <f t="shared" si="3"/>
        <v>0.0008250578704</v>
      </c>
    </row>
    <row r="49">
      <c r="A49" s="77">
        <v>45817.0</v>
      </c>
      <c r="B49" s="4" t="s">
        <v>289</v>
      </c>
      <c r="C49" s="4" t="s">
        <v>223</v>
      </c>
      <c r="D49" s="4" t="s">
        <v>224</v>
      </c>
      <c r="E49" s="4" t="s">
        <v>205</v>
      </c>
      <c r="F49" s="80">
        <f t="shared" si="1"/>
        <v>0.0008434606481</v>
      </c>
      <c r="G49" s="4" t="s">
        <v>179</v>
      </c>
      <c r="H49" s="4" t="s">
        <v>231</v>
      </c>
      <c r="I49" s="4" t="s">
        <v>226</v>
      </c>
      <c r="J49" s="81">
        <f>IFERROR(__xludf.DUMMYFUNCTION("FILTER('賽道紀錄'!E:E, '賽道紀錄'!A:A=B49, '賽道紀錄'!B:B=C49)-F49"),-1.8402777777777775E-5)</f>
        <v>-0.00001840277778</v>
      </c>
      <c r="K49" s="4"/>
      <c r="L49" s="4" t="s">
        <v>291</v>
      </c>
      <c r="M49" s="82">
        <f t="shared" si="2"/>
        <v>72.875</v>
      </c>
      <c r="N49" s="27">
        <f t="shared" si="3"/>
        <v>0.0008434606481</v>
      </c>
    </row>
    <row r="50">
      <c r="A50" s="77">
        <v>45817.0</v>
      </c>
      <c r="B50" s="4" t="s">
        <v>289</v>
      </c>
      <c r="C50" s="4" t="s">
        <v>242</v>
      </c>
      <c r="D50" s="4" t="s">
        <v>224</v>
      </c>
      <c r="E50" s="4" t="s">
        <v>205</v>
      </c>
      <c r="F50" s="80">
        <f t="shared" si="1"/>
        <v>0.0009381828704</v>
      </c>
      <c r="G50" s="4" t="s">
        <v>197</v>
      </c>
      <c r="H50" s="4" t="s">
        <v>231</v>
      </c>
      <c r="I50" s="4" t="s">
        <v>226</v>
      </c>
      <c r="J50" s="81">
        <f>IFERROR(__xludf.DUMMYFUNCTION("FILTER('賽道紀錄'!E:E, '賽道紀錄'!A:A=B50, '賽道紀錄'!B:B=C50)-F50"),-4.825231481481477E-5)</f>
        <v>-0.00004825231481</v>
      </c>
      <c r="K50" s="4"/>
      <c r="L50" s="4" t="s">
        <v>292</v>
      </c>
      <c r="M50" s="82">
        <f t="shared" si="2"/>
        <v>81.059</v>
      </c>
      <c r="N50" s="27">
        <f t="shared" si="3"/>
        <v>0.0009381828704</v>
      </c>
    </row>
    <row r="51">
      <c r="A51" s="77">
        <v>45817.0</v>
      </c>
      <c r="B51" s="4" t="s">
        <v>289</v>
      </c>
      <c r="C51" s="4" t="s">
        <v>242</v>
      </c>
      <c r="D51" s="4" t="s">
        <v>224</v>
      </c>
      <c r="E51" s="4" t="s">
        <v>205</v>
      </c>
      <c r="F51" s="80">
        <f t="shared" si="1"/>
        <v>0.0009746064815</v>
      </c>
      <c r="G51" s="4" t="s">
        <v>179</v>
      </c>
      <c r="H51" s="4" t="s">
        <v>231</v>
      </c>
      <c r="I51" s="4" t="s">
        <v>226</v>
      </c>
      <c r="J51" s="81">
        <f>IFERROR(__xludf.DUMMYFUNCTION("FILTER('賽道紀錄'!E:E, '賽道紀錄'!A:A=B51, '賽道紀錄'!B:B=C51)-F51"),-8.467592592592598E-5)</f>
        <v>-0.00008467592593</v>
      </c>
      <c r="K51" s="4"/>
      <c r="L51" s="4" t="s">
        <v>293</v>
      </c>
      <c r="M51" s="82">
        <f t="shared" si="2"/>
        <v>84.206</v>
      </c>
      <c r="N51" s="27">
        <f t="shared" si="3"/>
        <v>0.0009746064815</v>
      </c>
    </row>
    <row r="52">
      <c r="A52" s="77">
        <v>45817.0</v>
      </c>
      <c r="B52" s="4" t="s">
        <v>289</v>
      </c>
      <c r="C52" s="4" t="s">
        <v>223</v>
      </c>
      <c r="D52" s="4" t="s">
        <v>224</v>
      </c>
      <c r="E52" s="4" t="s">
        <v>205</v>
      </c>
      <c r="F52" s="80">
        <f t="shared" si="1"/>
        <v>0.001074085648</v>
      </c>
      <c r="G52" s="4" t="s">
        <v>137</v>
      </c>
      <c r="H52" s="4" t="s">
        <v>231</v>
      </c>
      <c r="I52" s="4" t="s">
        <v>226</v>
      </c>
      <c r="J52" s="81">
        <f>IFERROR(__xludf.DUMMYFUNCTION("FILTER('賽道紀錄'!E:E, '賽道紀錄'!A:A=B52, '賽道紀錄'!B:B=C52)-F52"),-2.490277777777778E-4)</f>
        <v>-0.0002490277778</v>
      </c>
      <c r="K52" s="4"/>
      <c r="L52" s="4" t="s">
        <v>294</v>
      </c>
      <c r="M52" s="82">
        <f t="shared" si="2"/>
        <v>92.801</v>
      </c>
      <c r="N52" s="27">
        <f t="shared" si="3"/>
        <v>0.001074085648</v>
      </c>
    </row>
    <row r="53">
      <c r="A53" s="77">
        <v>45816.0</v>
      </c>
      <c r="B53" s="4" t="s">
        <v>289</v>
      </c>
      <c r="C53" s="4" t="s">
        <v>223</v>
      </c>
      <c r="D53" s="4" t="s">
        <v>224</v>
      </c>
      <c r="E53" s="4" t="s">
        <v>206</v>
      </c>
      <c r="F53" s="80">
        <f t="shared" si="1"/>
        <v>0.0008511342593</v>
      </c>
      <c r="G53" s="4" t="s">
        <v>126</v>
      </c>
      <c r="H53" s="4" t="s">
        <v>231</v>
      </c>
      <c r="I53" s="4" t="s">
        <v>226</v>
      </c>
      <c r="J53" s="81">
        <f>IFERROR(__xludf.DUMMYFUNCTION("FILTER('賽道紀錄'!E:E, '賽道紀錄'!A:A=B53, '賽道紀錄'!B:B=C53)-F53"),-2.607638888888885E-5)</f>
        <v>-0.00002607638889</v>
      </c>
      <c r="K53" s="4"/>
      <c r="L53" s="4" t="s">
        <v>295</v>
      </c>
      <c r="M53" s="82">
        <f t="shared" si="2"/>
        <v>73.538</v>
      </c>
      <c r="N53" s="27">
        <f t="shared" si="3"/>
        <v>0.0008511342593</v>
      </c>
    </row>
    <row r="54">
      <c r="A54" s="77">
        <v>45816.0</v>
      </c>
      <c r="B54" s="4" t="s">
        <v>289</v>
      </c>
      <c r="C54" s="4" t="s">
        <v>242</v>
      </c>
      <c r="D54" s="4" t="s">
        <v>224</v>
      </c>
      <c r="E54" s="4" t="s">
        <v>206</v>
      </c>
      <c r="F54" s="80">
        <f t="shared" si="1"/>
        <v>0.0008899305556</v>
      </c>
      <c r="G54" s="4" t="s">
        <v>126</v>
      </c>
      <c r="H54" s="4" t="s">
        <v>231</v>
      </c>
      <c r="I54" s="4" t="s">
        <v>226</v>
      </c>
      <c r="J54" s="81">
        <f>IFERROR(__xludf.DUMMYFUNCTION("FILTER('賽道紀錄'!E:E, '賽道紀錄'!A:A=B54, '賽道紀錄'!B:B=C54)-F54"),0.0)</f>
        <v>0</v>
      </c>
      <c r="K54" s="4"/>
      <c r="L54" s="4" t="s">
        <v>296</v>
      </c>
      <c r="M54" s="82">
        <f t="shared" si="2"/>
        <v>76.89</v>
      </c>
      <c r="N54" s="27">
        <f t="shared" si="3"/>
        <v>0.0008899305556</v>
      </c>
    </row>
    <row r="55">
      <c r="A55" s="77">
        <v>45814.0</v>
      </c>
      <c r="B55" s="4" t="s">
        <v>297</v>
      </c>
      <c r="C55" s="4" t="s">
        <v>223</v>
      </c>
      <c r="D55" s="4" t="s">
        <v>224</v>
      </c>
      <c r="E55" s="4" t="s">
        <v>229</v>
      </c>
      <c r="F55" s="80">
        <f t="shared" si="1"/>
        <v>0.00272869213</v>
      </c>
      <c r="G55" s="4" t="s">
        <v>177</v>
      </c>
      <c r="H55" s="4" t="s">
        <v>231</v>
      </c>
      <c r="I55" s="4" t="s">
        <v>226</v>
      </c>
      <c r="J55" s="81">
        <f>IFERROR(__xludf.DUMMYFUNCTION("FILTER('賽道紀錄'!E:E, '賽道紀錄'!A:A=B55, '賽道紀錄'!B:B=C55)-F55"),-2.3922453703703692E-4)</f>
        <v>-0.000239224537</v>
      </c>
      <c r="K55" s="4"/>
      <c r="L55" s="4" t="s">
        <v>298</v>
      </c>
      <c r="M55" s="82">
        <f t="shared" si="2"/>
        <v>235.759</v>
      </c>
      <c r="N55" s="27">
        <f t="shared" si="3"/>
        <v>0.00272869213</v>
      </c>
    </row>
    <row r="56">
      <c r="A56" s="77">
        <v>45814.0</v>
      </c>
      <c r="B56" s="4" t="s">
        <v>297</v>
      </c>
      <c r="C56" s="4" t="s">
        <v>223</v>
      </c>
      <c r="D56" s="4" t="s">
        <v>224</v>
      </c>
      <c r="E56" s="4" t="s">
        <v>205</v>
      </c>
      <c r="F56" s="80">
        <f t="shared" si="1"/>
        <v>0.002828321759</v>
      </c>
      <c r="G56" s="4" t="s">
        <v>133</v>
      </c>
      <c r="H56" s="4" t="s">
        <v>231</v>
      </c>
      <c r="I56" s="4" t="s">
        <v>226</v>
      </c>
      <c r="J56" s="81">
        <f>IFERROR(__xludf.DUMMYFUNCTION("FILTER('賽道紀錄'!E:E, '賽道紀錄'!A:A=B56, '賽道紀錄'!B:B=C56)-F56"),-3.3885416666666656E-4)</f>
        <v>-0.0003388541667</v>
      </c>
      <c r="K56" s="4"/>
      <c r="L56" s="4" t="s">
        <v>299</v>
      </c>
      <c r="M56" s="82">
        <f t="shared" si="2"/>
        <v>244.367</v>
      </c>
      <c r="N56" s="27">
        <f t="shared" si="3"/>
        <v>0.002828321759</v>
      </c>
    </row>
    <row r="57">
      <c r="A57" s="77">
        <v>45811.0</v>
      </c>
      <c r="B57" s="4" t="s">
        <v>297</v>
      </c>
      <c r="C57" s="4" t="s">
        <v>223</v>
      </c>
      <c r="D57" s="4" t="s">
        <v>224</v>
      </c>
      <c r="E57" s="4" t="s">
        <v>205</v>
      </c>
      <c r="F57" s="80">
        <f t="shared" si="1"/>
        <v>0.002646030093</v>
      </c>
      <c r="G57" s="4" t="s">
        <v>177</v>
      </c>
      <c r="H57" s="4" t="s">
        <v>231</v>
      </c>
      <c r="I57" s="4" t="s">
        <v>226</v>
      </c>
      <c r="J57" s="81">
        <f>IFERROR(__xludf.DUMMYFUNCTION("FILTER('賽道紀錄'!E:E, '賽道紀錄'!A:A=B57, '賽道紀錄'!B:B=C57)-F57"),-1.5656250000000002E-4)</f>
        <v>-0.0001565625</v>
      </c>
      <c r="K57" s="4"/>
      <c r="L57" s="4" t="s">
        <v>300</v>
      </c>
      <c r="M57" s="82">
        <f t="shared" si="2"/>
        <v>228.617</v>
      </c>
      <c r="N57" s="27">
        <f t="shared" si="3"/>
        <v>0.002646030093</v>
      </c>
    </row>
    <row r="58">
      <c r="A58" s="77">
        <v>45811.0</v>
      </c>
      <c r="B58" s="4" t="s">
        <v>297</v>
      </c>
      <c r="C58" s="4" t="s">
        <v>223</v>
      </c>
      <c r="D58" s="4" t="s">
        <v>224</v>
      </c>
      <c r="E58" s="4" t="s">
        <v>208</v>
      </c>
      <c r="F58" s="80">
        <f t="shared" si="1"/>
        <v>0.002716203704</v>
      </c>
      <c r="G58" s="4" t="s">
        <v>177</v>
      </c>
      <c r="H58" s="4" t="s">
        <v>225</v>
      </c>
      <c r="I58" s="4" t="s">
        <v>226</v>
      </c>
      <c r="J58" s="81">
        <f>IFERROR(__xludf.DUMMYFUNCTION("FILTER('賽道紀錄'!E:E, '賽道紀錄'!A:A=B58, '賽道紀錄'!B:B=C58)-F58"),-2.2673611111111115E-4)</f>
        <v>-0.0002267361111</v>
      </c>
      <c r="K58" s="4"/>
      <c r="L58" s="4" t="s">
        <v>301</v>
      </c>
      <c r="M58" s="82">
        <f t="shared" si="2"/>
        <v>234.68</v>
      </c>
      <c r="N58" s="27">
        <f t="shared" si="3"/>
        <v>0.002716203704</v>
      </c>
    </row>
    <row r="59">
      <c r="A59" s="77">
        <v>45811.0</v>
      </c>
      <c r="B59" s="4" t="s">
        <v>297</v>
      </c>
      <c r="C59" s="4" t="s">
        <v>223</v>
      </c>
      <c r="D59" s="4" t="s">
        <v>224</v>
      </c>
      <c r="E59" s="4" t="s">
        <v>206</v>
      </c>
      <c r="F59" s="80">
        <f t="shared" si="1"/>
        <v>0.002776041667</v>
      </c>
      <c r="G59" s="4" t="s">
        <v>123</v>
      </c>
      <c r="H59" s="4" t="s">
        <v>231</v>
      </c>
      <c r="I59" s="4" t="s">
        <v>226</v>
      </c>
      <c r="J59" s="81">
        <f>IFERROR(__xludf.DUMMYFUNCTION("FILTER('賽道紀錄'!E:E, '賽道紀錄'!A:A=B59, '賽道紀錄'!B:B=C59)-F59"),-2.865740740740741E-4)</f>
        <v>-0.0002865740741</v>
      </c>
      <c r="K59" s="4"/>
      <c r="L59" s="4" t="s">
        <v>302</v>
      </c>
      <c r="M59" s="82">
        <f t="shared" si="2"/>
        <v>239.85</v>
      </c>
      <c r="N59" s="27">
        <f t="shared" si="3"/>
        <v>0.002776041667</v>
      </c>
      <c r="Q59" s="4" t="s">
        <v>303</v>
      </c>
    </row>
    <row r="60">
      <c r="A60" s="77">
        <v>45811.0</v>
      </c>
      <c r="B60" s="4" t="s">
        <v>297</v>
      </c>
      <c r="C60" s="4" t="s">
        <v>223</v>
      </c>
      <c r="D60" s="4" t="s">
        <v>224</v>
      </c>
      <c r="E60" s="4" t="s">
        <v>304</v>
      </c>
      <c r="F60" s="80">
        <f t="shared" si="1"/>
        <v>0.002881527778</v>
      </c>
      <c r="G60" s="4" t="s">
        <v>125</v>
      </c>
      <c r="H60" s="4" t="s">
        <v>231</v>
      </c>
      <c r="I60" s="4" t="s">
        <v>226</v>
      </c>
      <c r="J60" s="81">
        <f>IFERROR(__xludf.DUMMYFUNCTION("FILTER('賽道紀錄'!E:E, '賽道紀錄'!A:A=B60, '賽道紀錄'!B:B=C60)-F60"),-3.920601851851854E-4)</f>
        <v>-0.0003920601852</v>
      </c>
      <c r="K60" s="4"/>
      <c r="L60" s="4" t="s">
        <v>305</v>
      </c>
      <c r="M60" s="82">
        <f t="shared" si="2"/>
        <v>248.964</v>
      </c>
      <c r="N60" s="27">
        <f t="shared" si="3"/>
        <v>0.002881527778</v>
      </c>
    </row>
    <row r="61">
      <c r="A61" s="77">
        <v>45811.0</v>
      </c>
      <c r="B61" s="4" t="s">
        <v>297</v>
      </c>
      <c r="C61" s="4" t="s">
        <v>223</v>
      </c>
      <c r="D61" s="4" t="s">
        <v>224</v>
      </c>
      <c r="E61" s="4" t="s">
        <v>233</v>
      </c>
      <c r="F61" s="80">
        <f t="shared" si="1"/>
        <v>0.003471412037</v>
      </c>
      <c r="G61" s="4" t="s">
        <v>195</v>
      </c>
      <c r="H61" s="4" t="s">
        <v>231</v>
      </c>
      <c r="I61" s="4" t="s">
        <v>226</v>
      </c>
      <c r="J61" s="81">
        <f>IFERROR(__xludf.DUMMYFUNCTION("FILTER('賽道紀錄'!E:E, '賽道紀錄'!A:A=B61, '賽道紀錄'!B:B=C61)-F61"),-9.819444444444446E-4)</f>
        <v>-0.0009819444444</v>
      </c>
      <c r="K61" s="4"/>
      <c r="L61" s="4" t="s">
        <v>306</v>
      </c>
      <c r="M61" s="82">
        <f t="shared" si="2"/>
        <v>299.93</v>
      </c>
      <c r="N61" s="27">
        <f t="shared" si="3"/>
        <v>0.003471412037</v>
      </c>
    </row>
    <row r="62">
      <c r="A62" s="77">
        <v>45807.0</v>
      </c>
      <c r="B62" s="4" t="s">
        <v>297</v>
      </c>
      <c r="C62" s="4" t="s">
        <v>223</v>
      </c>
      <c r="D62" s="4" t="s">
        <v>224</v>
      </c>
      <c r="E62" s="4" t="s">
        <v>205</v>
      </c>
      <c r="F62" s="80">
        <f t="shared" si="1"/>
        <v>0.003045613426</v>
      </c>
      <c r="G62" s="4" t="s">
        <v>133</v>
      </c>
      <c r="H62" s="4" t="s">
        <v>231</v>
      </c>
      <c r="I62" s="4" t="s">
        <v>226</v>
      </c>
      <c r="J62" s="81">
        <f>IFERROR(__xludf.DUMMYFUNCTION("FILTER('賽道紀錄'!E:E, '賽道紀錄'!A:A=B62, '賽道紀錄'!B:B=C62)-F62"),-5.561458333333334E-4)</f>
        <v>-0.0005561458333</v>
      </c>
      <c r="K62" s="70"/>
      <c r="L62" s="70" t="s">
        <v>307</v>
      </c>
      <c r="M62" s="82">
        <f t="shared" si="2"/>
        <v>263.141</v>
      </c>
      <c r="N62" s="27">
        <f t="shared" si="3"/>
        <v>0.003045613426</v>
      </c>
    </row>
    <row r="63">
      <c r="A63" s="77">
        <v>45817.0</v>
      </c>
      <c r="B63" s="4" t="s">
        <v>308</v>
      </c>
      <c r="C63" s="4" t="s">
        <v>223</v>
      </c>
      <c r="D63" s="4" t="s">
        <v>224</v>
      </c>
      <c r="E63" s="4" t="s">
        <v>206</v>
      </c>
      <c r="F63" s="80">
        <f t="shared" si="1"/>
        <v>0.002426122685</v>
      </c>
      <c r="G63" s="4" t="s">
        <v>161</v>
      </c>
      <c r="H63" s="4" t="s">
        <v>231</v>
      </c>
      <c r="I63" s="4" t="s">
        <v>226</v>
      </c>
      <c r="J63" s="81">
        <f>IFERROR(__xludf.DUMMYFUNCTION("FILTER('賽道紀錄'!E:E, '賽道紀錄'!A:A=B63, '賽道紀錄'!B:B=C63)-F63"),0.0)</f>
        <v>0</v>
      </c>
      <c r="K63" s="4"/>
      <c r="L63" s="4" t="s">
        <v>309</v>
      </c>
      <c r="M63" s="82">
        <f t="shared" si="2"/>
        <v>209.617</v>
      </c>
      <c r="N63" s="27">
        <f t="shared" si="3"/>
        <v>0.002426122685</v>
      </c>
    </row>
    <row r="64">
      <c r="A64" s="77">
        <v>45817.0</v>
      </c>
      <c r="B64" s="4" t="s">
        <v>308</v>
      </c>
      <c r="C64" s="4" t="s">
        <v>242</v>
      </c>
      <c r="D64" s="4" t="s">
        <v>224</v>
      </c>
      <c r="E64" s="4" t="s">
        <v>206</v>
      </c>
      <c r="F64" s="80">
        <f t="shared" si="1"/>
        <v>0.002460648148</v>
      </c>
      <c r="G64" s="4" t="s">
        <v>161</v>
      </c>
      <c r="H64" s="4" t="s">
        <v>231</v>
      </c>
      <c r="I64" s="4" t="s">
        <v>226</v>
      </c>
      <c r="J64" s="81">
        <f>IFERROR(__xludf.DUMMYFUNCTION("FILTER('賽道紀錄'!E:E, '賽道紀錄'!A:A=B64, '賽道紀錄'!B:B=C64)-F64"),0.0)</f>
        <v>0</v>
      </c>
      <c r="K64" s="4"/>
      <c r="L64" s="4" t="s">
        <v>310</v>
      </c>
      <c r="M64" s="82">
        <f t="shared" si="2"/>
        <v>212.6</v>
      </c>
      <c r="N64" s="27">
        <f t="shared" si="3"/>
        <v>0.002460648148</v>
      </c>
    </row>
    <row r="65">
      <c r="A65" s="77">
        <v>45807.0</v>
      </c>
      <c r="B65" s="4" t="s">
        <v>308</v>
      </c>
      <c r="C65" s="4" t="s">
        <v>223</v>
      </c>
      <c r="D65" s="4" t="s">
        <v>311</v>
      </c>
      <c r="E65" s="4" t="s">
        <v>312</v>
      </c>
      <c r="F65" s="80">
        <f t="shared" si="1"/>
        <v>0.007811539352</v>
      </c>
      <c r="G65" s="4" t="s">
        <v>144</v>
      </c>
      <c r="H65" s="4" t="s">
        <v>231</v>
      </c>
      <c r="I65" s="4" t="s">
        <v>313</v>
      </c>
      <c r="J65" s="81">
        <f>IFERROR(__xludf.DUMMYFUNCTION("FILTER('賽道紀錄'!E:E, '賽道紀錄'!A:A=B65, '賽道紀錄'!B:B=C65)-F65"),-0.005385416666666667)</f>
        <v>-0.005385416667</v>
      </c>
      <c r="K65" s="4"/>
      <c r="L65" s="4" t="s">
        <v>314</v>
      </c>
      <c r="M65" s="82">
        <f t="shared" si="2"/>
        <v>674.917</v>
      </c>
      <c r="N65" s="27">
        <f t="shared" si="3"/>
        <v>0.007811539352</v>
      </c>
    </row>
    <row r="66">
      <c r="A66" s="77">
        <v>45807.0</v>
      </c>
      <c r="B66" s="4" t="s">
        <v>308</v>
      </c>
      <c r="C66" s="4" t="s">
        <v>223</v>
      </c>
      <c r="D66" s="4" t="s">
        <v>311</v>
      </c>
      <c r="E66" s="4" t="s">
        <v>315</v>
      </c>
      <c r="F66" s="80">
        <f t="shared" si="1"/>
        <v>0.002528541667</v>
      </c>
      <c r="G66" s="4" t="s">
        <v>188</v>
      </c>
      <c r="H66" s="4" t="s">
        <v>225</v>
      </c>
      <c r="I66" s="4" t="s">
        <v>313</v>
      </c>
      <c r="J66" s="81">
        <f>IFERROR(__xludf.DUMMYFUNCTION("FILTER('賽道紀錄'!E:E, '賽道紀錄'!A:A=B66, '賽道紀錄'!B:B=C66)-F66"),-1.0241898148148154E-4)</f>
        <v>-0.0001024189815</v>
      </c>
      <c r="K66" s="4"/>
      <c r="L66" s="4" t="s">
        <v>316</v>
      </c>
      <c r="M66" s="82">
        <f t="shared" si="2"/>
        <v>218.466</v>
      </c>
      <c r="N66" s="27">
        <f t="shared" si="3"/>
        <v>0.002528541667</v>
      </c>
    </row>
    <row r="67">
      <c r="A67" s="77">
        <v>45807.0</v>
      </c>
      <c r="B67" s="4" t="s">
        <v>308</v>
      </c>
      <c r="C67" s="4" t="s">
        <v>223</v>
      </c>
      <c r="D67" s="4" t="s">
        <v>311</v>
      </c>
      <c r="E67" s="4" t="s">
        <v>206</v>
      </c>
      <c r="F67" s="80">
        <f t="shared" si="1"/>
        <v>0.002971076389</v>
      </c>
      <c r="G67" s="4" t="s">
        <v>317</v>
      </c>
      <c r="H67" s="4" t="s">
        <v>231</v>
      </c>
      <c r="I67" s="4" t="s">
        <v>313</v>
      </c>
      <c r="J67" s="81">
        <f>IFERROR(__xludf.DUMMYFUNCTION("FILTER('賽道紀錄'!E:E, '賽道紀錄'!A:A=B67, '賽道紀錄'!B:B=C67)-F67"),-5.449537037037042E-4)</f>
        <v>-0.0005449537037</v>
      </c>
      <c r="K67" s="4"/>
      <c r="L67" s="4" t="s">
        <v>318</v>
      </c>
      <c r="M67" s="82">
        <f t="shared" si="2"/>
        <v>256.701</v>
      </c>
      <c r="N67" s="27">
        <f t="shared" si="3"/>
        <v>0.002971076389</v>
      </c>
    </row>
    <row r="68">
      <c r="A68" s="77">
        <v>45807.0</v>
      </c>
      <c r="B68" s="4" t="s">
        <v>308</v>
      </c>
      <c r="C68" s="4" t="s">
        <v>223</v>
      </c>
      <c r="D68" s="4" t="s">
        <v>311</v>
      </c>
      <c r="E68" s="4" t="s">
        <v>205</v>
      </c>
      <c r="F68" s="80">
        <f t="shared" si="1"/>
        <v>0.003194247685</v>
      </c>
      <c r="G68" s="4" t="s">
        <v>132</v>
      </c>
      <c r="H68" s="4" t="s">
        <v>231</v>
      </c>
      <c r="I68" s="4" t="s">
        <v>313</v>
      </c>
      <c r="J68" s="81">
        <f>IFERROR(__xludf.DUMMYFUNCTION("FILTER('賽道紀錄'!E:E, '賽道紀錄'!A:A=B68, '賽道紀錄'!B:B=C68)-F68"),-7.681250000000001E-4)</f>
        <v>-0.000768125</v>
      </c>
      <c r="K68" s="4"/>
      <c r="L68" s="4" t="s">
        <v>319</v>
      </c>
      <c r="M68" s="82">
        <f t="shared" si="2"/>
        <v>275.983</v>
      </c>
      <c r="N68" s="27">
        <f t="shared" si="3"/>
        <v>0.003194247685</v>
      </c>
    </row>
    <row r="69">
      <c r="A69" s="77">
        <v>45807.0</v>
      </c>
      <c r="B69" s="4" t="s">
        <v>308</v>
      </c>
      <c r="C69" s="4" t="s">
        <v>223</v>
      </c>
      <c r="D69" s="4" t="s">
        <v>311</v>
      </c>
      <c r="E69" s="4" t="s">
        <v>209</v>
      </c>
      <c r="F69" s="80">
        <f t="shared" si="1"/>
        <v>0.003294756944</v>
      </c>
      <c r="G69" s="4" t="s">
        <v>173</v>
      </c>
      <c r="H69" s="4" t="s">
        <v>225</v>
      </c>
      <c r="I69" s="4" t="s">
        <v>313</v>
      </c>
      <c r="J69" s="81">
        <f>IFERROR(__xludf.DUMMYFUNCTION("FILTER('賽道紀錄'!E:E, '賽道紀錄'!A:A=B69, '賽道紀錄'!B:B=C69)-F69"),-8.686342592592587E-4)</f>
        <v>-0.0008686342593</v>
      </c>
      <c r="K69" s="4"/>
      <c r="L69" s="4" t="s">
        <v>320</v>
      </c>
      <c r="M69" s="82">
        <f t="shared" si="2"/>
        <v>284.667</v>
      </c>
      <c r="N69" s="27">
        <f t="shared" si="3"/>
        <v>0.003294756944</v>
      </c>
    </row>
    <row r="70">
      <c r="A70" s="77">
        <v>45807.0</v>
      </c>
      <c r="B70" s="4" t="s">
        <v>308</v>
      </c>
      <c r="C70" s="4" t="s">
        <v>223</v>
      </c>
      <c r="D70" s="4" t="s">
        <v>311</v>
      </c>
      <c r="E70" s="4" t="s">
        <v>304</v>
      </c>
      <c r="F70" s="80">
        <f t="shared" si="1"/>
        <v>0.003328981481</v>
      </c>
      <c r="G70" s="4" t="s">
        <v>188</v>
      </c>
      <c r="H70" s="4" t="s">
        <v>231</v>
      </c>
      <c r="I70" s="4" t="s">
        <v>313</v>
      </c>
      <c r="J70" s="81">
        <f>IFERROR(__xludf.DUMMYFUNCTION("FILTER('賽道紀錄'!E:E, '賽道紀錄'!A:A=B70, '賽道紀錄'!B:B=C70)-F70"),-9.028587962962966E-4)</f>
        <v>-0.0009028587963</v>
      </c>
      <c r="K70" s="4"/>
      <c r="L70" s="4" t="s">
        <v>321</v>
      </c>
      <c r="M70" s="82">
        <f t="shared" si="2"/>
        <v>287.624</v>
      </c>
      <c r="N70" s="27">
        <f t="shared" si="3"/>
        <v>0.003328981481</v>
      </c>
    </row>
    <row r="71">
      <c r="A71" s="77">
        <v>45811.0</v>
      </c>
      <c r="B71" s="4" t="s">
        <v>322</v>
      </c>
      <c r="C71" s="4" t="s">
        <v>242</v>
      </c>
      <c r="D71" s="4" t="s">
        <v>224</v>
      </c>
      <c r="E71" s="4" t="s">
        <v>206</v>
      </c>
      <c r="F71" s="80">
        <f t="shared" si="1"/>
        <v>0.002331412037</v>
      </c>
      <c r="G71" s="4" t="s">
        <v>128</v>
      </c>
      <c r="H71" s="4" t="s">
        <v>231</v>
      </c>
      <c r="I71" s="4" t="s">
        <v>226</v>
      </c>
      <c r="J71" s="81">
        <f>IFERROR(__xludf.DUMMYFUNCTION("FILTER('賽道紀錄'!E:E, '賽道紀錄'!A:A=B71, '賽道紀錄'!B:B=C71)-F71"),0.0)</f>
        <v>0</v>
      </c>
      <c r="K71" s="4"/>
      <c r="L71" s="4" t="s">
        <v>323</v>
      </c>
      <c r="M71" s="82">
        <f t="shared" si="2"/>
        <v>201.434</v>
      </c>
      <c r="N71" s="27">
        <f t="shared" si="3"/>
        <v>0.002331412037</v>
      </c>
    </row>
    <row r="72">
      <c r="A72" s="77">
        <v>45811.0</v>
      </c>
      <c r="B72" s="4" t="s">
        <v>322</v>
      </c>
      <c r="C72" s="4" t="s">
        <v>223</v>
      </c>
      <c r="D72" s="4" t="s">
        <v>224</v>
      </c>
      <c r="E72" s="4" t="s">
        <v>206</v>
      </c>
      <c r="F72" s="80">
        <f t="shared" si="1"/>
        <v>0.002590277778</v>
      </c>
      <c r="G72" s="4" t="s">
        <v>128</v>
      </c>
      <c r="H72" s="4" t="s">
        <v>231</v>
      </c>
      <c r="I72" s="4" t="s">
        <v>226</v>
      </c>
      <c r="J72" s="81">
        <f>IFERROR(__xludf.DUMMYFUNCTION("FILTER('賽道紀錄'!E:E, '賽道紀錄'!A:A=B72, '賽道紀錄'!B:B=C72)-F72"),0.0)</f>
        <v>0</v>
      </c>
      <c r="K72" s="4"/>
      <c r="L72" s="4" t="s">
        <v>324</v>
      </c>
      <c r="M72" s="82">
        <f t="shared" si="2"/>
        <v>223.8</v>
      </c>
      <c r="N72" s="27">
        <f t="shared" si="3"/>
        <v>0.002590277778</v>
      </c>
    </row>
    <row r="73">
      <c r="A73" s="84">
        <v>45827.0</v>
      </c>
      <c r="B73" s="83" t="s">
        <v>325</v>
      </c>
      <c r="C73" s="83" t="s">
        <v>223</v>
      </c>
      <c r="D73" s="83" t="s">
        <v>224</v>
      </c>
      <c r="E73" s="4" t="s">
        <v>206</v>
      </c>
      <c r="F73" s="80">
        <f t="shared" si="1"/>
        <v>0.002351666667</v>
      </c>
      <c r="G73" s="4" t="s">
        <v>190</v>
      </c>
      <c r="H73" s="4" t="s">
        <v>231</v>
      </c>
      <c r="I73" s="4" t="s">
        <v>226</v>
      </c>
      <c r="J73" s="81">
        <f>IFERROR(__xludf.DUMMYFUNCTION("FILTER('賽道紀錄'!E:E, '賽道紀錄'!A:A=B73, '賽道紀錄'!B:B=C73)-F73"),-1.793402777777774E-4)</f>
        <v>-0.0001793402778</v>
      </c>
      <c r="K73" s="4"/>
      <c r="L73" s="4" t="s">
        <v>326</v>
      </c>
      <c r="M73" s="82">
        <f t="shared" si="2"/>
        <v>203.184</v>
      </c>
      <c r="N73" s="27">
        <f t="shared" si="3"/>
        <v>0.002351666667</v>
      </c>
    </row>
    <row r="74">
      <c r="A74" s="84">
        <v>45827.0</v>
      </c>
      <c r="B74" s="83" t="s">
        <v>325</v>
      </c>
      <c r="C74" s="70" t="s">
        <v>242</v>
      </c>
      <c r="D74" s="83" t="s">
        <v>224</v>
      </c>
      <c r="E74" s="4" t="s">
        <v>206</v>
      </c>
      <c r="F74" s="80">
        <f t="shared" si="1"/>
        <v>0.002485740741</v>
      </c>
      <c r="G74" s="4" t="s">
        <v>190</v>
      </c>
      <c r="H74" s="4" t="s">
        <v>231</v>
      </c>
      <c r="I74" s="4" t="s">
        <v>226</v>
      </c>
      <c r="J74" s="81">
        <f>IFERROR(__xludf.DUMMYFUNCTION("FILTER('賽道紀錄'!E:E, '賽道紀錄'!A:A=B74, '賽道紀錄'!B:B=C74)-F74"),-2.1215277777777552E-5)</f>
        <v>-0.00002121527778</v>
      </c>
      <c r="K74" s="4"/>
      <c r="L74" s="4" t="s">
        <v>327</v>
      </c>
      <c r="M74" s="82">
        <f t="shared" si="2"/>
        <v>214.768</v>
      </c>
      <c r="N74" s="27">
        <f t="shared" si="3"/>
        <v>0.002485740741</v>
      </c>
    </row>
    <row r="75">
      <c r="A75" s="77">
        <v>45825.0</v>
      </c>
      <c r="B75" s="4" t="s">
        <v>325</v>
      </c>
      <c r="C75" s="4" t="s">
        <v>223</v>
      </c>
      <c r="D75" s="4" t="s">
        <v>224</v>
      </c>
      <c r="E75" s="4" t="s">
        <v>209</v>
      </c>
      <c r="F75" s="80">
        <f t="shared" si="1"/>
        <v>0.002172326389</v>
      </c>
      <c r="G75" s="4" t="s">
        <v>126</v>
      </c>
      <c r="H75" s="4" t="s">
        <v>225</v>
      </c>
      <c r="I75" s="4" t="s">
        <v>226</v>
      </c>
      <c r="J75" s="81">
        <f>IFERROR(__xludf.DUMMYFUNCTION("FILTER('賽道紀錄'!E:E, '賽道紀錄'!A:A=B75, '賽道紀錄'!B:B=C75)-F75"),0.0)</f>
        <v>0</v>
      </c>
      <c r="K75" s="4"/>
      <c r="L75" s="4" t="s">
        <v>328</v>
      </c>
      <c r="M75" s="82">
        <f t="shared" si="2"/>
        <v>187.689</v>
      </c>
      <c r="N75" s="27">
        <f t="shared" si="3"/>
        <v>0.002172326389</v>
      </c>
    </row>
    <row r="76">
      <c r="A76" s="77">
        <v>45822.0</v>
      </c>
      <c r="B76" s="4" t="s">
        <v>325</v>
      </c>
      <c r="C76" s="4" t="s">
        <v>223</v>
      </c>
      <c r="D76" s="4" t="s">
        <v>224</v>
      </c>
      <c r="E76" s="4" t="s">
        <v>245</v>
      </c>
      <c r="F76" s="80">
        <f t="shared" si="1"/>
        <v>0.002262349537</v>
      </c>
      <c r="G76" s="4" t="s">
        <v>171</v>
      </c>
      <c r="H76" s="4" t="s">
        <v>231</v>
      </c>
      <c r="I76" s="4" t="s">
        <v>226</v>
      </c>
      <c r="J76" s="81">
        <f>IFERROR(__xludf.DUMMYFUNCTION("FILTER('賽道紀錄'!E:E, '賽道紀錄'!A:A=B76, '賽道紀錄'!B:B=C76)-F76"),-9.00231481481481E-5)</f>
        <v>-0.00009002314815</v>
      </c>
      <c r="K76" s="4"/>
      <c r="L76" s="4" t="s">
        <v>329</v>
      </c>
      <c r="M76" s="82">
        <f t="shared" si="2"/>
        <v>195.467</v>
      </c>
      <c r="N76" s="27">
        <f t="shared" si="3"/>
        <v>0.002262349537</v>
      </c>
    </row>
    <row r="77">
      <c r="A77" s="77">
        <v>45816.0</v>
      </c>
      <c r="B77" s="4" t="s">
        <v>325</v>
      </c>
      <c r="C77" s="4" t="s">
        <v>223</v>
      </c>
      <c r="D77" s="4" t="s">
        <v>224</v>
      </c>
      <c r="E77" s="83" t="s">
        <v>330</v>
      </c>
      <c r="F77" s="80">
        <f t="shared" si="1"/>
        <v>0.002233321759</v>
      </c>
      <c r="G77" s="4" t="s">
        <v>153</v>
      </c>
      <c r="H77" s="4" t="s">
        <v>225</v>
      </c>
      <c r="I77" s="4" t="s">
        <v>226</v>
      </c>
      <c r="J77" s="81">
        <f>IFERROR(__xludf.DUMMYFUNCTION("FILTER('賽道紀錄'!E:E, '賽道紀錄'!A:A=B77, '賽道紀錄'!B:B=C77)-F77"),-6.099537037037011E-5)</f>
        <v>-0.00006099537037</v>
      </c>
      <c r="K77" s="85"/>
      <c r="L77" s="85" t="s">
        <v>331</v>
      </c>
      <c r="M77" s="82">
        <f t="shared" si="2"/>
        <v>192.959</v>
      </c>
      <c r="N77" s="27">
        <f t="shared" si="3"/>
        <v>0.002233321759</v>
      </c>
    </row>
    <row r="78">
      <c r="A78" s="77">
        <v>45816.0</v>
      </c>
      <c r="B78" s="4" t="s">
        <v>325</v>
      </c>
      <c r="C78" s="4" t="s">
        <v>223</v>
      </c>
      <c r="D78" s="4" t="s">
        <v>224</v>
      </c>
      <c r="E78" s="4" t="s">
        <v>208</v>
      </c>
      <c r="F78" s="80">
        <f t="shared" si="1"/>
        <v>0.002251967593</v>
      </c>
      <c r="G78" s="4" t="s">
        <v>194</v>
      </c>
      <c r="H78" s="4" t="s">
        <v>225</v>
      </c>
      <c r="I78" s="4" t="s">
        <v>226</v>
      </c>
      <c r="J78" s="81">
        <f>IFERROR(__xludf.DUMMYFUNCTION("FILTER('賽道紀錄'!E:E, '賽道紀錄'!A:A=B78, '賽道紀錄'!B:B=C78)-F78"),-7.96412037037033E-5)</f>
        <v>-0.0000796412037</v>
      </c>
      <c r="K78" s="4"/>
      <c r="L78" s="4" t="s">
        <v>332</v>
      </c>
      <c r="M78" s="82">
        <f t="shared" si="2"/>
        <v>194.57</v>
      </c>
      <c r="N78" s="27">
        <f t="shared" si="3"/>
        <v>0.002251967593</v>
      </c>
    </row>
    <row r="79">
      <c r="A79" s="77">
        <v>45816.0</v>
      </c>
      <c r="B79" s="4" t="s">
        <v>325</v>
      </c>
      <c r="C79" s="4" t="s">
        <v>223</v>
      </c>
      <c r="D79" s="4" t="s">
        <v>224</v>
      </c>
      <c r="E79" s="4" t="s">
        <v>245</v>
      </c>
      <c r="F79" s="80">
        <f t="shared" si="1"/>
        <v>0.002291863426</v>
      </c>
      <c r="G79" s="4" t="s">
        <v>124</v>
      </c>
      <c r="H79" s="4" t="s">
        <v>231</v>
      </c>
      <c r="I79" s="4" t="s">
        <v>226</v>
      </c>
      <c r="J79" s="81">
        <f>IFERROR(__xludf.DUMMYFUNCTION("FILTER('賽道紀錄'!E:E, '賽道紀錄'!A:A=B79, '賽道紀錄'!B:B=C79)-F79"),-1.1953703703703692E-4)</f>
        <v>-0.000119537037</v>
      </c>
      <c r="K79" s="4"/>
      <c r="L79" s="4" t="s">
        <v>333</v>
      </c>
      <c r="M79" s="82">
        <f t="shared" si="2"/>
        <v>198.017</v>
      </c>
      <c r="N79" s="27">
        <f t="shared" si="3"/>
        <v>0.002291863426</v>
      </c>
    </row>
    <row r="80">
      <c r="A80" s="77">
        <v>45816.0</v>
      </c>
      <c r="B80" s="4" t="s">
        <v>325</v>
      </c>
      <c r="C80" s="4" t="s">
        <v>223</v>
      </c>
      <c r="D80" s="4" t="s">
        <v>224</v>
      </c>
      <c r="E80" s="4" t="s">
        <v>334</v>
      </c>
      <c r="F80" s="80">
        <f t="shared" si="1"/>
        <v>0.002304583333</v>
      </c>
      <c r="G80" s="4" t="s">
        <v>171</v>
      </c>
      <c r="H80" s="4" t="s">
        <v>231</v>
      </c>
      <c r="I80" s="4" t="s">
        <v>226</v>
      </c>
      <c r="J80" s="81">
        <f>IFERROR(__xludf.DUMMYFUNCTION("FILTER('賽道紀錄'!E:E, '賽道紀錄'!A:A=B80, '賽道紀錄'!B:B=C80)-F80"),-1.322569444444444E-4)</f>
        <v>-0.0001322569444</v>
      </c>
      <c r="K80" s="4"/>
      <c r="L80" s="4" t="s">
        <v>335</v>
      </c>
      <c r="M80" s="82">
        <f t="shared" si="2"/>
        <v>199.116</v>
      </c>
      <c r="N80" s="27">
        <f t="shared" si="3"/>
        <v>0.002304583333</v>
      </c>
    </row>
    <row r="81">
      <c r="A81" s="77">
        <v>45816.0</v>
      </c>
      <c r="B81" s="4" t="s">
        <v>325</v>
      </c>
      <c r="C81" s="4" t="s">
        <v>223</v>
      </c>
      <c r="D81" s="4" t="s">
        <v>224</v>
      </c>
      <c r="E81" s="4" t="s">
        <v>205</v>
      </c>
      <c r="F81" s="80">
        <f t="shared" si="1"/>
        <v>0.002342395833</v>
      </c>
      <c r="G81" s="4" t="s">
        <v>171</v>
      </c>
      <c r="H81" s="4" t="s">
        <v>231</v>
      </c>
      <c r="I81" s="4" t="s">
        <v>226</v>
      </c>
      <c r="J81" s="81">
        <f>IFERROR(__xludf.DUMMYFUNCTION("FILTER('賽道紀錄'!E:E, '賽道紀錄'!A:A=B81, '賽道紀錄'!B:B=C81)-F81"),-1.7006944444444448E-4)</f>
        <v>-0.0001700694444</v>
      </c>
      <c r="K81" s="4"/>
      <c r="L81" s="4" t="s">
        <v>336</v>
      </c>
      <c r="M81" s="82">
        <f t="shared" si="2"/>
        <v>202.383</v>
      </c>
      <c r="N81" s="27">
        <f t="shared" si="3"/>
        <v>0.002342395833</v>
      </c>
    </row>
    <row r="82">
      <c r="A82" s="77">
        <v>45816.0</v>
      </c>
      <c r="B82" s="4" t="s">
        <v>325</v>
      </c>
      <c r="C82" s="4" t="s">
        <v>223</v>
      </c>
      <c r="D82" s="4" t="s">
        <v>224</v>
      </c>
      <c r="E82" s="4" t="s">
        <v>337</v>
      </c>
      <c r="F82" s="80">
        <f t="shared" si="1"/>
        <v>0.002347453704</v>
      </c>
      <c r="G82" s="4" t="s">
        <v>153</v>
      </c>
      <c r="H82" s="4" t="s">
        <v>225</v>
      </c>
      <c r="I82" s="4" t="s">
        <v>226</v>
      </c>
      <c r="J82" s="81">
        <f>IFERROR(__xludf.DUMMYFUNCTION("FILTER('賽道紀錄'!E:E, '賽道紀錄'!A:A=B82, '賽道紀錄'!B:B=C82)-F82"),-1.751273148148146E-4)</f>
        <v>-0.0001751273148</v>
      </c>
      <c r="K82" s="4"/>
      <c r="L82" s="4" t="s">
        <v>338</v>
      </c>
      <c r="M82" s="82">
        <f t="shared" si="2"/>
        <v>202.82</v>
      </c>
      <c r="N82" s="27">
        <f t="shared" si="3"/>
        <v>0.002347453704</v>
      </c>
    </row>
    <row r="83">
      <c r="A83" s="77">
        <v>45816.0</v>
      </c>
      <c r="B83" s="4" t="s">
        <v>325</v>
      </c>
      <c r="C83" s="4" t="s">
        <v>223</v>
      </c>
      <c r="D83" s="4" t="s">
        <v>224</v>
      </c>
      <c r="E83" s="4" t="s">
        <v>304</v>
      </c>
      <c r="F83" s="80">
        <f t="shared" si="1"/>
        <v>0.002362939815</v>
      </c>
      <c r="G83" s="4" t="s">
        <v>171</v>
      </c>
      <c r="H83" s="4" t="s">
        <v>231</v>
      </c>
      <c r="I83" s="4" t="s">
        <v>226</v>
      </c>
      <c r="J83" s="81">
        <f>IFERROR(__xludf.DUMMYFUNCTION("FILTER('賽道紀錄'!E:E, '賽道紀錄'!A:A=B83, '賽道紀錄'!B:B=C83)-F83"),-1.9061342592592567E-4)</f>
        <v>-0.0001906134259</v>
      </c>
      <c r="K83" s="4"/>
      <c r="L83" s="4" t="s">
        <v>339</v>
      </c>
      <c r="M83" s="82">
        <f t="shared" si="2"/>
        <v>204.158</v>
      </c>
      <c r="N83" s="27">
        <f t="shared" si="3"/>
        <v>0.002362939815</v>
      </c>
    </row>
    <row r="84">
      <c r="A84" s="77">
        <v>45816.0</v>
      </c>
      <c r="B84" s="4" t="s">
        <v>325</v>
      </c>
      <c r="C84" s="4" t="s">
        <v>223</v>
      </c>
      <c r="D84" s="4" t="s">
        <v>224</v>
      </c>
      <c r="E84" s="4" t="s">
        <v>206</v>
      </c>
      <c r="F84" s="80">
        <f t="shared" si="1"/>
        <v>0.002411655093</v>
      </c>
      <c r="G84" s="4" t="s">
        <v>190</v>
      </c>
      <c r="H84" s="4" t="s">
        <v>231</v>
      </c>
      <c r="I84" s="4" t="s">
        <v>226</v>
      </c>
      <c r="J84" s="81">
        <f>IFERROR(__xludf.DUMMYFUNCTION("FILTER('賽道紀錄'!E:E, '賽道紀錄'!A:A=B84, '賽道紀錄'!B:B=C84)-F84"),-2.393287037037034E-4)</f>
        <v>-0.0002393287037</v>
      </c>
      <c r="K84" s="4"/>
      <c r="L84" s="4" t="s">
        <v>340</v>
      </c>
      <c r="M84" s="82">
        <f t="shared" si="2"/>
        <v>208.367</v>
      </c>
      <c r="N84" s="27">
        <f t="shared" si="3"/>
        <v>0.002411655093</v>
      </c>
    </row>
    <row r="85">
      <c r="A85" s="77">
        <v>45816.0</v>
      </c>
      <c r="B85" s="4" t="s">
        <v>325</v>
      </c>
      <c r="C85" s="4" t="s">
        <v>223</v>
      </c>
      <c r="D85" s="4" t="s">
        <v>224</v>
      </c>
      <c r="E85" s="4" t="s">
        <v>229</v>
      </c>
      <c r="F85" s="80">
        <f t="shared" si="1"/>
        <v>0.002429398148</v>
      </c>
      <c r="G85" s="4" t="s">
        <v>124</v>
      </c>
      <c r="H85" s="4" t="s">
        <v>231</v>
      </c>
      <c r="I85" s="4" t="s">
        <v>226</v>
      </c>
      <c r="J85" s="81">
        <f>IFERROR(__xludf.DUMMYFUNCTION("FILTER('賽道紀錄'!E:E, '賽道紀錄'!A:A=B85, '賽道紀錄'!B:B=C85)-F85"),-2.5707175925925897E-4)</f>
        <v>-0.0002570717593</v>
      </c>
      <c r="K85" s="4"/>
      <c r="L85" s="4" t="s">
        <v>341</v>
      </c>
      <c r="M85" s="82">
        <f t="shared" si="2"/>
        <v>209.9</v>
      </c>
      <c r="N85" s="27">
        <f t="shared" si="3"/>
        <v>0.002429398148</v>
      </c>
    </row>
    <row r="86">
      <c r="A86" s="77">
        <v>45816.0</v>
      </c>
      <c r="B86" s="4" t="s">
        <v>325</v>
      </c>
      <c r="C86" s="4" t="s">
        <v>223</v>
      </c>
      <c r="D86" s="4" t="s">
        <v>224</v>
      </c>
      <c r="E86" s="4" t="s">
        <v>233</v>
      </c>
      <c r="F86" s="80">
        <f t="shared" si="1"/>
        <v>0.002436261574</v>
      </c>
      <c r="G86" s="4" t="s">
        <v>133</v>
      </c>
      <c r="H86" s="4" t="s">
        <v>231</v>
      </c>
      <c r="I86" s="4" t="s">
        <v>226</v>
      </c>
      <c r="J86" s="81">
        <f>IFERROR(__xludf.DUMMYFUNCTION("FILTER('賽道紀錄'!E:E, '賽道紀錄'!A:A=B86, '賽道紀錄'!B:B=C86)-F86"),-2.6393518518518476E-4)</f>
        <v>-0.0002639351852</v>
      </c>
      <c r="K86" s="4"/>
      <c r="L86" s="4" t="s">
        <v>342</v>
      </c>
      <c r="M86" s="82">
        <f t="shared" si="2"/>
        <v>210.493</v>
      </c>
      <c r="N86" s="27">
        <f t="shared" si="3"/>
        <v>0.002436261574</v>
      </c>
    </row>
    <row r="87">
      <c r="A87" s="77">
        <v>45816.0</v>
      </c>
      <c r="B87" s="4" t="s">
        <v>325</v>
      </c>
      <c r="C87" s="4" t="s">
        <v>223</v>
      </c>
      <c r="D87" s="4" t="s">
        <v>224</v>
      </c>
      <c r="E87" s="4" t="s">
        <v>343</v>
      </c>
      <c r="F87" s="80">
        <f t="shared" si="1"/>
        <v>0.002454375</v>
      </c>
      <c r="G87" s="4" t="s">
        <v>171</v>
      </c>
      <c r="H87" s="27"/>
      <c r="I87" s="4" t="s">
        <v>226</v>
      </c>
      <c r="J87" s="81">
        <f>IFERROR(__xludf.DUMMYFUNCTION("FILTER('賽道紀錄'!E:E, '賽道紀錄'!A:A=B87, '賽道紀錄'!B:B=C87)-F87"),-2.8204861111111095E-4)</f>
        <v>-0.0002820486111</v>
      </c>
      <c r="K87" s="4"/>
      <c r="L87" s="4" t="s">
        <v>344</v>
      </c>
      <c r="M87" s="82">
        <f t="shared" si="2"/>
        <v>212.058</v>
      </c>
      <c r="N87" s="27">
        <f t="shared" si="3"/>
        <v>0.002454375</v>
      </c>
    </row>
    <row r="88">
      <c r="A88" s="77">
        <v>45816.0</v>
      </c>
      <c r="B88" s="4" t="s">
        <v>325</v>
      </c>
      <c r="C88" s="4" t="s">
        <v>223</v>
      </c>
      <c r="D88" s="4" t="s">
        <v>224</v>
      </c>
      <c r="E88" s="4" t="s">
        <v>345</v>
      </c>
      <c r="F88" s="80">
        <f t="shared" si="1"/>
        <v>0.002474918981</v>
      </c>
      <c r="G88" s="4" t="s">
        <v>126</v>
      </c>
      <c r="H88" s="27"/>
      <c r="I88" s="4" t="s">
        <v>226</v>
      </c>
      <c r="J88" s="81">
        <f>IFERROR(__xludf.DUMMYFUNCTION("FILTER('賽道紀錄'!E:E, '賽道紀錄'!A:A=B88, '賽道紀錄'!B:B=C88)-F88"),-3.025925925925926E-4)</f>
        <v>-0.0003025925926</v>
      </c>
      <c r="K88" s="4"/>
      <c r="L88" s="4" t="s">
        <v>346</v>
      </c>
      <c r="M88" s="82">
        <f t="shared" si="2"/>
        <v>213.833</v>
      </c>
      <c r="N88" s="27">
        <f t="shared" si="3"/>
        <v>0.002474918981</v>
      </c>
    </row>
    <row r="89">
      <c r="A89" s="77">
        <v>45816.0</v>
      </c>
      <c r="B89" s="4" t="s">
        <v>325</v>
      </c>
      <c r="C89" s="4" t="s">
        <v>223</v>
      </c>
      <c r="D89" s="4" t="s">
        <v>224</v>
      </c>
      <c r="E89" s="4" t="s">
        <v>347</v>
      </c>
      <c r="F89" s="80">
        <f t="shared" si="1"/>
        <v>0.002539247685</v>
      </c>
      <c r="G89" s="4" t="s">
        <v>153</v>
      </c>
      <c r="H89" s="27"/>
      <c r="I89" s="4" t="s">
        <v>226</v>
      </c>
      <c r="J89" s="81">
        <f>IFERROR(__xludf.DUMMYFUNCTION("FILTER('賽道紀錄'!E:E, '賽道紀錄'!A:A=B89, '賽道紀錄'!B:B=C89)-F89"),-3.669212962962962E-4)</f>
        <v>-0.0003669212963</v>
      </c>
      <c r="K89" s="4"/>
      <c r="L89" s="4" t="s">
        <v>348</v>
      </c>
      <c r="M89" s="82">
        <f t="shared" si="2"/>
        <v>219.391</v>
      </c>
      <c r="N89" s="27">
        <f t="shared" si="3"/>
        <v>0.002539247685</v>
      </c>
    </row>
    <row r="90">
      <c r="A90" s="86">
        <v>45815.0</v>
      </c>
      <c r="B90" s="83" t="s">
        <v>325</v>
      </c>
      <c r="C90" s="83" t="s">
        <v>223</v>
      </c>
      <c r="D90" s="83" t="s">
        <v>224</v>
      </c>
      <c r="E90" s="4" t="s">
        <v>208</v>
      </c>
      <c r="F90" s="80">
        <f t="shared" si="1"/>
        <v>0.002261921296</v>
      </c>
      <c r="G90" s="4" t="s">
        <v>194</v>
      </c>
      <c r="H90" s="4" t="s">
        <v>225</v>
      </c>
      <c r="I90" s="4" t="s">
        <v>226</v>
      </c>
      <c r="J90" s="81">
        <f>IFERROR(__xludf.DUMMYFUNCTION("FILTER('賽道紀錄'!E:E, '賽道紀錄'!A:A=B90, '賽道紀錄'!B:B=C90)-F90"),-8.959490740740716E-5)</f>
        <v>-0.00008959490741</v>
      </c>
      <c r="K90" s="4"/>
      <c r="L90" s="4" t="s">
        <v>349</v>
      </c>
      <c r="M90" s="82">
        <f t="shared" si="2"/>
        <v>195.43</v>
      </c>
      <c r="N90" s="27">
        <f t="shared" si="3"/>
        <v>0.002261921296</v>
      </c>
    </row>
    <row r="91">
      <c r="A91" s="86">
        <v>45815.0</v>
      </c>
      <c r="B91" s="83" t="s">
        <v>325</v>
      </c>
      <c r="C91" s="83" t="s">
        <v>223</v>
      </c>
      <c r="D91" s="83" t="s">
        <v>224</v>
      </c>
      <c r="E91" s="83" t="s">
        <v>205</v>
      </c>
      <c r="F91" s="80">
        <f t="shared" si="1"/>
        <v>0.002267546296</v>
      </c>
      <c r="G91" s="4" t="s">
        <v>171</v>
      </c>
      <c r="H91" s="4" t="s">
        <v>231</v>
      </c>
      <c r="I91" s="4" t="s">
        <v>226</v>
      </c>
      <c r="J91" s="81">
        <f>IFERROR(__xludf.DUMMYFUNCTION("FILTER('賽道紀錄'!E:E, '賽道紀錄'!A:A=B91, '賽道紀錄'!B:B=C91)-F91"),-9.521990740740715E-5)</f>
        <v>-0.00009521990741</v>
      </c>
      <c r="K91" s="4"/>
      <c r="L91" s="4" t="s">
        <v>350</v>
      </c>
      <c r="M91" s="82">
        <f t="shared" si="2"/>
        <v>195.916</v>
      </c>
      <c r="N91" s="27">
        <f t="shared" si="3"/>
        <v>0.002267546296</v>
      </c>
    </row>
    <row r="92">
      <c r="A92" s="77">
        <v>45815.0</v>
      </c>
      <c r="B92" s="4" t="s">
        <v>325</v>
      </c>
      <c r="C92" s="4" t="s">
        <v>223</v>
      </c>
      <c r="D92" s="4" t="s">
        <v>224</v>
      </c>
      <c r="E92" s="4" t="s">
        <v>205</v>
      </c>
      <c r="F92" s="80">
        <f t="shared" si="1"/>
        <v>0.002282604167</v>
      </c>
      <c r="G92" s="4" t="s">
        <v>153</v>
      </c>
      <c r="H92" s="4" t="s">
        <v>231</v>
      </c>
      <c r="I92" s="4" t="s">
        <v>226</v>
      </c>
      <c r="J92" s="81">
        <f>IFERROR(__xludf.DUMMYFUNCTION("FILTER('賽道紀錄'!E:E, '賽道紀錄'!A:A=B92, '賽道紀錄'!B:B=C92)-F92"),-1.1027777777777772E-4)</f>
        <v>-0.0001102777778</v>
      </c>
      <c r="K92" s="4"/>
      <c r="L92" s="4" t="s">
        <v>351</v>
      </c>
      <c r="M92" s="82">
        <f t="shared" si="2"/>
        <v>197.217</v>
      </c>
      <c r="N92" s="27">
        <f t="shared" si="3"/>
        <v>0.002282604167</v>
      </c>
    </row>
    <row r="93">
      <c r="A93" s="86">
        <v>45815.0</v>
      </c>
      <c r="B93" s="83" t="s">
        <v>325</v>
      </c>
      <c r="C93" s="83" t="s">
        <v>223</v>
      </c>
      <c r="D93" s="83" t="s">
        <v>224</v>
      </c>
      <c r="E93" s="83" t="s">
        <v>205</v>
      </c>
      <c r="F93" s="80">
        <f t="shared" si="1"/>
        <v>0.002290902778</v>
      </c>
      <c r="G93" s="4" t="s">
        <v>126</v>
      </c>
      <c r="H93" s="4" t="s">
        <v>231</v>
      </c>
      <c r="I93" s="4" t="s">
        <v>226</v>
      </c>
      <c r="J93" s="81">
        <f>IFERROR(__xludf.DUMMYFUNCTION("FILTER('賽道紀錄'!E:E, '賽道紀錄'!A:A=B93, '賽道紀錄'!B:B=C93)-F93"),-1.1857638888888855E-4)</f>
        <v>-0.0001185763889</v>
      </c>
      <c r="K93" s="4"/>
      <c r="L93" s="4" t="s">
        <v>352</v>
      </c>
      <c r="M93" s="82">
        <f t="shared" si="2"/>
        <v>197.934</v>
      </c>
      <c r="N93" s="27">
        <f t="shared" si="3"/>
        <v>0.002290902778</v>
      </c>
    </row>
    <row r="94">
      <c r="A94" s="77">
        <v>45815.0</v>
      </c>
      <c r="B94" s="4" t="s">
        <v>325</v>
      </c>
      <c r="C94" s="4" t="s">
        <v>223</v>
      </c>
      <c r="D94" s="4" t="s">
        <v>224</v>
      </c>
      <c r="E94" s="4" t="s">
        <v>207</v>
      </c>
      <c r="F94" s="80">
        <f t="shared" si="1"/>
        <v>0.002308333333</v>
      </c>
      <c r="G94" s="4" t="s">
        <v>153</v>
      </c>
      <c r="H94" s="4" t="s">
        <v>231</v>
      </c>
      <c r="I94" s="4" t="s">
        <v>226</v>
      </c>
      <c r="J94" s="81">
        <f>IFERROR(__xludf.DUMMYFUNCTION("FILTER('賽道紀錄'!E:E, '賽道紀錄'!A:A=B94, '賽道紀錄'!B:B=C94)-F94"),-1.3600694444444424E-4)</f>
        <v>-0.0001360069444</v>
      </c>
      <c r="K94" s="4"/>
      <c r="L94" s="4" t="s">
        <v>353</v>
      </c>
      <c r="M94" s="82">
        <f t="shared" si="2"/>
        <v>199.44</v>
      </c>
      <c r="N94" s="27">
        <f t="shared" si="3"/>
        <v>0.002308333333</v>
      </c>
    </row>
    <row r="95">
      <c r="A95" s="77">
        <v>45815.0</v>
      </c>
      <c r="B95" s="4" t="s">
        <v>325</v>
      </c>
      <c r="C95" s="4" t="s">
        <v>223</v>
      </c>
      <c r="D95" s="4" t="s">
        <v>224</v>
      </c>
      <c r="E95" s="4" t="s">
        <v>334</v>
      </c>
      <c r="F95" s="80">
        <f t="shared" si="1"/>
        <v>0.002335069444</v>
      </c>
      <c r="G95" s="4" t="s">
        <v>171</v>
      </c>
      <c r="H95" s="4" t="s">
        <v>231</v>
      </c>
      <c r="I95" s="4" t="s">
        <v>226</v>
      </c>
      <c r="J95" s="81">
        <f>IFERROR(__xludf.DUMMYFUNCTION("FILTER('賽道紀錄'!E:E, '賽道紀錄'!A:A=B95, '賽道紀錄'!B:B=C95)-F95"),-1.627430555555553E-4)</f>
        <v>-0.0001627430556</v>
      </c>
      <c r="K95" s="4"/>
      <c r="L95" s="4" t="s">
        <v>354</v>
      </c>
      <c r="M95" s="82">
        <f t="shared" si="2"/>
        <v>201.75</v>
      </c>
      <c r="N95" s="27">
        <f t="shared" si="3"/>
        <v>0.002335069444</v>
      </c>
    </row>
    <row r="96">
      <c r="A96" s="86">
        <v>45815.0</v>
      </c>
      <c r="B96" s="83" t="s">
        <v>325</v>
      </c>
      <c r="C96" s="83" t="s">
        <v>223</v>
      </c>
      <c r="D96" s="83" t="s">
        <v>224</v>
      </c>
      <c r="E96" s="4" t="s">
        <v>206</v>
      </c>
      <c r="F96" s="80">
        <f t="shared" si="1"/>
        <v>0.002394479167</v>
      </c>
      <c r="G96" s="4" t="s">
        <v>190</v>
      </c>
      <c r="H96" s="4" t="s">
        <v>231</v>
      </c>
      <c r="I96" s="4" t="s">
        <v>226</v>
      </c>
      <c r="J96" s="81">
        <f>IFERROR(__xludf.DUMMYFUNCTION("FILTER('賽道紀錄'!E:E, '賽道紀錄'!A:A=B96, '賽道紀錄'!B:B=C96)-F96"),-2.221527777777777E-4)</f>
        <v>-0.0002221527778</v>
      </c>
      <c r="K96" s="4"/>
      <c r="L96" s="4" t="s">
        <v>355</v>
      </c>
      <c r="M96" s="82">
        <f t="shared" si="2"/>
        <v>206.883</v>
      </c>
      <c r="N96" s="27">
        <f t="shared" si="3"/>
        <v>0.002394479167</v>
      </c>
    </row>
    <row r="97">
      <c r="A97" s="86">
        <v>45815.0</v>
      </c>
      <c r="B97" s="83" t="s">
        <v>325</v>
      </c>
      <c r="C97" s="83" t="s">
        <v>223</v>
      </c>
      <c r="D97" s="83" t="s">
        <v>224</v>
      </c>
      <c r="E97" s="4" t="s">
        <v>233</v>
      </c>
      <c r="F97" s="80">
        <f t="shared" si="1"/>
        <v>0.002434178241</v>
      </c>
      <c r="G97" s="4" t="s">
        <v>153</v>
      </c>
      <c r="H97" s="4" t="s">
        <v>231</v>
      </c>
      <c r="I97" s="4" t="s">
        <v>226</v>
      </c>
      <c r="J97" s="81">
        <f>IFERROR(__xludf.DUMMYFUNCTION("FILTER('賽道紀錄'!E:E, '賽道紀錄'!A:A=B97, '賽道紀錄'!B:B=C97)-F97"),-2.6185185185185166E-4)</f>
        <v>-0.0002618518519</v>
      </c>
      <c r="K97" s="4"/>
      <c r="L97" s="4" t="s">
        <v>356</v>
      </c>
      <c r="M97" s="82">
        <f t="shared" si="2"/>
        <v>210.313</v>
      </c>
      <c r="N97" s="27">
        <f t="shared" si="3"/>
        <v>0.002434178241</v>
      </c>
    </row>
    <row r="98">
      <c r="A98" s="86">
        <v>45815.0</v>
      </c>
      <c r="B98" s="83" t="s">
        <v>325</v>
      </c>
      <c r="C98" s="70" t="s">
        <v>242</v>
      </c>
      <c r="D98" s="83" t="s">
        <v>224</v>
      </c>
      <c r="E98" s="83" t="s">
        <v>205</v>
      </c>
      <c r="F98" s="80">
        <f t="shared" si="1"/>
        <v>0.002464525463</v>
      </c>
      <c r="G98" s="4" t="s">
        <v>153</v>
      </c>
      <c r="H98" s="4" t="s">
        <v>231</v>
      </c>
      <c r="I98" s="4" t="s">
        <v>226</v>
      </c>
      <c r="J98" s="81">
        <f>IFERROR(__xludf.DUMMYFUNCTION("FILTER('賽道紀錄'!E:E, '賽道紀錄'!A:A=B98, '賽道紀錄'!B:B=C98)-F98"),0.0)</f>
        <v>0</v>
      </c>
      <c r="K98" s="4"/>
      <c r="L98" s="4" t="s">
        <v>357</v>
      </c>
      <c r="M98" s="82">
        <f t="shared" si="2"/>
        <v>212.935</v>
      </c>
      <c r="N98" s="27">
        <f t="shared" si="3"/>
        <v>0.002464525463</v>
      </c>
    </row>
    <row r="99">
      <c r="A99" s="86">
        <v>45815.0</v>
      </c>
      <c r="B99" s="83" t="s">
        <v>325</v>
      </c>
      <c r="C99" s="70" t="s">
        <v>242</v>
      </c>
      <c r="D99" s="83" t="s">
        <v>224</v>
      </c>
      <c r="E99" s="4" t="s">
        <v>206</v>
      </c>
      <c r="F99" s="80">
        <f t="shared" si="1"/>
        <v>0.002537233796</v>
      </c>
      <c r="G99" s="4" t="s">
        <v>190</v>
      </c>
      <c r="H99" s="4" t="s">
        <v>231</v>
      </c>
      <c r="I99" s="4" t="s">
        <v>226</v>
      </c>
      <c r="J99" s="81">
        <f>IFERROR(__xludf.DUMMYFUNCTION("FILTER('賽道紀錄'!E:E, '賽道紀錄'!A:A=B99, '賽道紀錄'!B:B=C99)-F99"),-7.270833333333348E-5)</f>
        <v>-0.00007270833333</v>
      </c>
      <c r="K99" s="4"/>
      <c r="L99" s="4" t="s">
        <v>358</v>
      </c>
      <c r="M99" s="82">
        <f t="shared" si="2"/>
        <v>219.217</v>
      </c>
      <c r="N99" s="27">
        <f t="shared" si="3"/>
        <v>0.002537233796</v>
      </c>
    </row>
    <row r="100">
      <c r="A100" s="77">
        <v>45815.0</v>
      </c>
      <c r="B100" s="4" t="s">
        <v>325</v>
      </c>
      <c r="C100" s="4" t="s">
        <v>223</v>
      </c>
      <c r="D100" s="4" t="s">
        <v>224</v>
      </c>
      <c r="E100" s="4" t="s">
        <v>345</v>
      </c>
      <c r="F100" s="80">
        <f t="shared" si="1"/>
        <v>0.002657418981</v>
      </c>
      <c r="G100" s="4" t="s">
        <v>153</v>
      </c>
      <c r="H100" s="27"/>
      <c r="I100" s="4" t="s">
        <v>226</v>
      </c>
      <c r="J100" s="81">
        <f>IFERROR(__xludf.DUMMYFUNCTION("FILTER('賽道紀錄'!E:E, '賽道紀錄'!A:A=B100, '賽道紀錄'!B:B=C100)-F100"),-4.850925925925925E-4)</f>
        <v>-0.0004850925926</v>
      </c>
      <c r="K100" s="4"/>
      <c r="L100" s="4" t="s">
        <v>359</v>
      </c>
      <c r="M100" s="82">
        <f t="shared" si="2"/>
        <v>229.601</v>
      </c>
      <c r="N100" s="27">
        <f t="shared" si="3"/>
        <v>0.002657418981</v>
      </c>
    </row>
    <row r="101">
      <c r="A101" s="77">
        <v>45815.0</v>
      </c>
      <c r="B101" s="4" t="s">
        <v>325</v>
      </c>
      <c r="C101" s="4" t="s">
        <v>223</v>
      </c>
      <c r="D101" s="4" t="s">
        <v>224</v>
      </c>
      <c r="E101" s="4" t="s">
        <v>360</v>
      </c>
      <c r="F101" s="80">
        <f t="shared" si="1"/>
        <v>0.003128854167</v>
      </c>
      <c r="G101" s="4" t="s">
        <v>171</v>
      </c>
      <c r="H101" s="27"/>
      <c r="I101" s="4" t="s">
        <v>226</v>
      </c>
      <c r="J101" s="81">
        <f>IFERROR(__xludf.DUMMYFUNCTION("FILTER('賽道紀錄'!E:E, '賽道紀錄'!A:A=B101, '賽道紀錄'!B:B=C101)-F101"),-9.565277777777779E-4)</f>
        <v>-0.0009565277778</v>
      </c>
      <c r="K101" s="4"/>
      <c r="L101" s="4" t="s">
        <v>361</v>
      </c>
      <c r="M101" s="82">
        <f t="shared" si="2"/>
        <v>270.333</v>
      </c>
      <c r="N101" s="27">
        <f t="shared" si="3"/>
        <v>0.003128854167</v>
      </c>
    </row>
    <row r="102">
      <c r="A102" s="77">
        <v>45815.0</v>
      </c>
      <c r="B102" s="4" t="s">
        <v>325</v>
      </c>
      <c r="C102" s="4" t="s">
        <v>223</v>
      </c>
      <c r="D102" s="4" t="s">
        <v>224</v>
      </c>
      <c r="E102" s="4" t="s">
        <v>362</v>
      </c>
      <c r="F102" s="80">
        <f t="shared" si="1"/>
        <v>0.003342650463</v>
      </c>
      <c r="G102" s="4" t="s">
        <v>126</v>
      </c>
      <c r="H102" s="27"/>
      <c r="I102" s="4" t="s">
        <v>226</v>
      </c>
      <c r="J102" s="81">
        <f>IFERROR(__xludf.DUMMYFUNCTION("FILTER('賽道紀錄'!E:E, '賽道紀錄'!A:A=B102, '賽道紀錄'!B:B=C102)-F102"),-0.0011703240740740736)</f>
        <v>-0.001170324074</v>
      </c>
      <c r="K102" s="4"/>
      <c r="L102" s="4" t="s">
        <v>363</v>
      </c>
      <c r="M102" s="82">
        <f t="shared" si="2"/>
        <v>288.805</v>
      </c>
      <c r="N102" s="27">
        <f t="shared" si="3"/>
        <v>0.003342650463</v>
      </c>
    </row>
    <row r="103">
      <c r="A103" s="77">
        <v>45813.0</v>
      </c>
      <c r="B103" s="4" t="s">
        <v>325</v>
      </c>
      <c r="C103" s="4" t="s">
        <v>223</v>
      </c>
      <c r="D103" s="4" t="s">
        <v>224</v>
      </c>
      <c r="E103" s="4" t="s">
        <v>209</v>
      </c>
      <c r="F103" s="80">
        <f t="shared" si="1"/>
        <v>0.002180902778</v>
      </c>
      <c r="G103" s="4" t="s">
        <v>126</v>
      </c>
      <c r="H103" s="4" t="s">
        <v>225</v>
      </c>
      <c r="I103" s="4" t="s">
        <v>226</v>
      </c>
      <c r="J103" s="81">
        <f>IFERROR(__xludf.DUMMYFUNCTION("FILTER('賽道紀錄'!E:E, '賽道紀錄'!A:A=B103, '賽道紀錄'!B:B=C103)-F103"),-8.576388888888696E-6)</f>
        <v>-0.000008576388889</v>
      </c>
      <c r="K103" s="4"/>
      <c r="L103" s="4" t="s">
        <v>364</v>
      </c>
      <c r="M103" s="82">
        <f t="shared" si="2"/>
        <v>188.43</v>
      </c>
      <c r="N103" s="27">
        <f t="shared" si="3"/>
        <v>0.002180902778</v>
      </c>
    </row>
    <row r="104">
      <c r="A104" s="77">
        <v>45813.0</v>
      </c>
      <c r="B104" s="4" t="s">
        <v>325</v>
      </c>
      <c r="C104" s="4" t="s">
        <v>223</v>
      </c>
      <c r="D104" s="4" t="s">
        <v>224</v>
      </c>
      <c r="E104" s="4" t="s">
        <v>207</v>
      </c>
      <c r="F104" s="80">
        <f t="shared" si="1"/>
        <v>0.002292905093</v>
      </c>
      <c r="G104" s="4" t="s">
        <v>185</v>
      </c>
      <c r="H104" s="4" t="s">
        <v>231</v>
      </c>
      <c r="I104" s="4" t="s">
        <v>226</v>
      </c>
      <c r="J104" s="81">
        <f>IFERROR(__xludf.DUMMYFUNCTION("FILTER('賽道紀錄'!E:E, '賽道紀錄'!A:A=B104, '賽道紀錄'!B:B=C104)-F104"),-1.2057870370370347E-4)</f>
        <v>-0.0001205787037</v>
      </c>
      <c r="K104" s="4"/>
      <c r="L104" s="4" t="s">
        <v>365</v>
      </c>
      <c r="M104" s="82">
        <f t="shared" si="2"/>
        <v>198.107</v>
      </c>
      <c r="N104" s="27">
        <f t="shared" si="3"/>
        <v>0.002292905093</v>
      </c>
    </row>
    <row r="105">
      <c r="A105" s="77">
        <v>45813.0</v>
      </c>
      <c r="B105" s="4" t="s">
        <v>325</v>
      </c>
      <c r="C105" s="4" t="s">
        <v>223</v>
      </c>
      <c r="D105" s="4" t="s">
        <v>224</v>
      </c>
      <c r="E105" s="4" t="s">
        <v>208</v>
      </c>
      <c r="F105" s="80">
        <f t="shared" si="1"/>
        <v>0.002300671296</v>
      </c>
      <c r="G105" s="4" t="s">
        <v>194</v>
      </c>
      <c r="H105" s="4" t="s">
        <v>231</v>
      </c>
      <c r="I105" s="4" t="s">
        <v>226</v>
      </c>
      <c r="J105" s="81">
        <f>IFERROR(__xludf.DUMMYFUNCTION("FILTER('賽道紀錄'!E:E, '賽道紀錄'!A:A=B105, '賽道紀錄'!B:B=C105)-F105"),-1.2834490740740731E-4)</f>
        <v>-0.0001283449074</v>
      </c>
      <c r="K105" s="4"/>
      <c r="L105" s="4" t="s">
        <v>366</v>
      </c>
      <c r="M105" s="82">
        <f t="shared" si="2"/>
        <v>198.778</v>
      </c>
      <c r="N105" s="27">
        <f t="shared" si="3"/>
        <v>0.002300671296</v>
      </c>
    </row>
    <row r="106">
      <c r="A106" s="77">
        <v>45813.0</v>
      </c>
      <c r="B106" s="4" t="s">
        <v>325</v>
      </c>
      <c r="C106" s="4" t="s">
        <v>223</v>
      </c>
      <c r="D106" s="4" t="s">
        <v>224</v>
      </c>
      <c r="E106" s="4" t="s">
        <v>229</v>
      </c>
      <c r="F106" s="80">
        <f t="shared" si="1"/>
        <v>0.002366076389</v>
      </c>
      <c r="G106" s="4" t="s">
        <v>124</v>
      </c>
      <c r="H106" s="4" t="s">
        <v>231</v>
      </c>
      <c r="I106" s="4" t="s">
        <v>226</v>
      </c>
      <c r="J106" s="81">
        <f>IFERROR(__xludf.DUMMYFUNCTION("FILTER('賽道紀錄'!E:E, '賽道紀錄'!A:A=B106, '賽道紀錄'!B:B=C106)-F106"),-1.937499999999999E-4)</f>
        <v>-0.00019375</v>
      </c>
      <c r="K106" s="4"/>
      <c r="L106" s="4" t="s">
        <v>367</v>
      </c>
      <c r="M106" s="82">
        <f t="shared" si="2"/>
        <v>204.429</v>
      </c>
      <c r="N106" s="27">
        <f t="shared" si="3"/>
        <v>0.002366076389</v>
      </c>
    </row>
    <row r="107">
      <c r="A107" s="77">
        <v>45813.0</v>
      </c>
      <c r="B107" s="4" t="s">
        <v>325</v>
      </c>
      <c r="C107" s="4" t="s">
        <v>223</v>
      </c>
      <c r="D107" s="4" t="s">
        <v>224</v>
      </c>
      <c r="E107" s="4" t="s">
        <v>205</v>
      </c>
      <c r="F107" s="80">
        <f t="shared" si="1"/>
        <v>0.00237306713</v>
      </c>
      <c r="G107" s="4" t="s">
        <v>153</v>
      </c>
      <c r="H107" s="4" t="s">
        <v>231</v>
      </c>
      <c r="I107" s="4" t="s">
        <v>226</v>
      </c>
      <c r="J107" s="81">
        <f>IFERROR(__xludf.DUMMYFUNCTION("FILTER('賽道紀錄'!E:E, '賽道紀錄'!A:A=B107, '賽道紀錄'!B:B=C107)-F107"),-2.0074074074074048E-4)</f>
        <v>-0.0002007407407</v>
      </c>
      <c r="K107" s="4"/>
      <c r="L107" s="4" t="s">
        <v>368</v>
      </c>
      <c r="M107" s="82">
        <f t="shared" si="2"/>
        <v>205.033</v>
      </c>
      <c r="N107" s="27">
        <f t="shared" si="3"/>
        <v>0.00237306713</v>
      </c>
    </row>
    <row r="108">
      <c r="A108" s="77">
        <v>45813.0</v>
      </c>
      <c r="B108" s="4" t="s">
        <v>325</v>
      </c>
      <c r="C108" s="4" t="s">
        <v>223</v>
      </c>
      <c r="D108" s="4" t="s">
        <v>224</v>
      </c>
      <c r="E108" s="4" t="s">
        <v>206</v>
      </c>
      <c r="F108" s="80">
        <f t="shared" si="1"/>
        <v>0.002418599537</v>
      </c>
      <c r="G108" s="4" t="s">
        <v>190</v>
      </c>
      <c r="H108" s="4" t="s">
        <v>231</v>
      </c>
      <c r="I108" s="4" t="s">
        <v>226</v>
      </c>
      <c r="J108" s="81">
        <f>IFERROR(__xludf.DUMMYFUNCTION("FILTER('賽道紀錄'!E:E, '賽道紀錄'!A:A=B108, '賽道紀錄'!B:B=C108)-F108"),-2.4627314814814824E-4)</f>
        <v>-0.0002462731481</v>
      </c>
      <c r="K108" s="4"/>
      <c r="L108" s="4" t="s">
        <v>369</v>
      </c>
      <c r="M108" s="82">
        <f t="shared" si="2"/>
        <v>208.967</v>
      </c>
      <c r="N108" s="27">
        <f t="shared" si="3"/>
        <v>0.002418599537</v>
      </c>
    </row>
    <row r="109">
      <c r="A109" s="77">
        <v>45812.0</v>
      </c>
      <c r="B109" s="4" t="s">
        <v>325</v>
      </c>
      <c r="C109" s="4" t="s">
        <v>223</v>
      </c>
      <c r="D109" s="4" t="s">
        <v>224</v>
      </c>
      <c r="E109" s="4" t="s">
        <v>205</v>
      </c>
      <c r="F109" s="80">
        <f t="shared" si="1"/>
        <v>0.002304780093</v>
      </c>
      <c r="G109" s="4" t="s">
        <v>153</v>
      </c>
      <c r="H109" s="4" t="s">
        <v>231</v>
      </c>
      <c r="I109" s="4" t="s">
        <v>226</v>
      </c>
      <c r="J109" s="81">
        <f>IFERROR(__xludf.DUMMYFUNCTION("FILTER('賽道紀錄'!E:E, '賽道紀錄'!A:A=B109, '賽道紀錄'!B:B=C109)-F109"),-1.3245370370370364E-4)</f>
        <v>-0.0001324537037</v>
      </c>
      <c r="K109" s="4"/>
      <c r="L109" s="4" t="s">
        <v>370</v>
      </c>
      <c r="M109" s="82">
        <f t="shared" si="2"/>
        <v>199.133</v>
      </c>
      <c r="N109" s="27">
        <f t="shared" si="3"/>
        <v>0.002304780093</v>
      </c>
    </row>
    <row r="110">
      <c r="A110" s="77">
        <v>45811.0</v>
      </c>
      <c r="B110" s="4" t="s">
        <v>325</v>
      </c>
      <c r="C110" s="4" t="s">
        <v>223</v>
      </c>
      <c r="D110" s="4" t="s">
        <v>224</v>
      </c>
      <c r="E110" s="4" t="s">
        <v>208</v>
      </c>
      <c r="F110" s="80">
        <f t="shared" si="1"/>
        <v>0.002269965278</v>
      </c>
      <c r="G110" s="4" t="s">
        <v>194</v>
      </c>
      <c r="H110" s="4" t="s">
        <v>225</v>
      </c>
      <c r="I110" s="4" t="s">
        <v>226</v>
      </c>
      <c r="J110" s="81">
        <f>IFERROR(__xludf.DUMMYFUNCTION("FILTER('賽道紀錄'!E:E, '賽道紀錄'!A:A=B110, '賽道紀錄'!B:B=C110)-F110"),-9.763888888888886E-5)</f>
        <v>-0.00009763888889</v>
      </c>
      <c r="K110" s="4"/>
      <c r="L110" s="4" t="s">
        <v>371</v>
      </c>
      <c r="M110" s="82">
        <f t="shared" si="2"/>
        <v>196.125</v>
      </c>
      <c r="N110" s="27">
        <f t="shared" si="3"/>
        <v>0.002269965278</v>
      </c>
    </row>
    <row r="111">
      <c r="A111" s="77">
        <v>45811.0</v>
      </c>
      <c r="B111" s="4" t="s">
        <v>325</v>
      </c>
      <c r="C111" s="4" t="s">
        <v>223</v>
      </c>
      <c r="D111" s="4" t="s">
        <v>224</v>
      </c>
      <c r="E111" s="4" t="s">
        <v>208</v>
      </c>
      <c r="F111" s="80">
        <f t="shared" si="1"/>
        <v>0.002288611111</v>
      </c>
      <c r="G111" s="4" t="s">
        <v>194</v>
      </c>
      <c r="H111" s="4" t="s">
        <v>225</v>
      </c>
      <c r="I111" s="4" t="s">
        <v>226</v>
      </c>
      <c r="J111" s="81">
        <f>IFERROR(__xludf.DUMMYFUNCTION("FILTER('賽道紀錄'!E:E, '賽道紀錄'!A:A=B111, '賽道紀錄'!B:B=C111)-F111"),-1.1628472222222205E-4)</f>
        <v>-0.0001162847222</v>
      </c>
      <c r="K111" s="4"/>
      <c r="L111" s="4" t="s">
        <v>372</v>
      </c>
      <c r="M111" s="82">
        <f t="shared" si="2"/>
        <v>197.736</v>
      </c>
      <c r="N111" s="27">
        <f t="shared" si="3"/>
        <v>0.002288611111</v>
      </c>
    </row>
    <row r="112">
      <c r="A112" s="77">
        <v>45811.0</v>
      </c>
      <c r="B112" s="4" t="s">
        <v>325</v>
      </c>
      <c r="C112" s="4" t="s">
        <v>223</v>
      </c>
      <c r="D112" s="4" t="s">
        <v>224</v>
      </c>
      <c r="E112" s="4" t="s">
        <v>205</v>
      </c>
      <c r="F112" s="80">
        <f t="shared" si="1"/>
        <v>0.002305543981</v>
      </c>
      <c r="G112" s="4" t="s">
        <v>153</v>
      </c>
      <c r="H112" s="4" t="s">
        <v>231</v>
      </c>
      <c r="I112" s="4" t="s">
        <v>226</v>
      </c>
      <c r="J112" s="81">
        <f>IFERROR(__xludf.DUMMYFUNCTION("FILTER('賽道紀錄'!E:E, '賽道紀錄'!A:A=B112, '賽道紀錄'!B:B=C112)-F112"),-1.3321759259259276E-4)</f>
        <v>-0.0001332175926</v>
      </c>
      <c r="K112" s="70"/>
      <c r="L112" s="70" t="s">
        <v>373</v>
      </c>
      <c r="M112" s="82">
        <f t="shared" si="2"/>
        <v>199.199</v>
      </c>
      <c r="N112" s="27">
        <f t="shared" si="3"/>
        <v>0.002305543981</v>
      </c>
    </row>
    <row r="113">
      <c r="A113" s="77">
        <v>45811.0</v>
      </c>
      <c r="B113" s="4" t="s">
        <v>325</v>
      </c>
      <c r="C113" s="4" t="s">
        <v>223</v>
      </c>
      <c r="D113" s="4" t="s">
        <v>224</v>
      </c>
      <c r="E113" s="4" t="s">
        <v>206</v>
      </c>
      <c r="F113" s="80">
        <f t="shared" si="1"/>
        <v>0.002431134259</v>
      </c>
      <c r="G113" s="4" t="s">
        <v>153</v>
      </c>
      <c r="H113" s="4" t="s">
        <v>231</v>
      </c>
      <c r="I113" s="4" t="s">
        <v>226</v>
      </c>
      <c r="J113" s="81">
        <f>IFERROR(__xludf.DUMMYFUNCTION("FILTER('賽道紀錄'!E:E, '賽道紀錄'!A:A=B113, '賽道紀錄'!B:B=C113)-F113"),-2.588078703703702E-4)</f>
        <v>-0.0002588078704</v>
      </c>
      <c r="K113" s="70"/>
      <c r="L113" s="70" t="s">
        <v>374</v>
      </c>
      <c r="M113" s="82">
        <f t="shared" si="2"/>
        <v>210.05</v>
      </c>
      <c r="N113" s="27">
        <f t="shared" si="3"/>
        <v>0.002431134259</v>
      </c>
    </row>
    <row r="114">
      <c r="A114" s="77">
        <v>45811.0</v>
      </c>
      <c r="B114" s="4" t="s">
        <v>325</v>
      </c>
      <c r="C114" s="4" t="s">
        <v>223</v>
      </c>
      <c r="D114" s="4" t="s">
        <v>224</v>
      </c>
      <c r="E114" s="4" t="s">
        <v>233</v>
      </c>
      <c r="F114" s="80">
        <f t="shared" si="1"/>
        <v>0.003010300926</v>
      </c>
      <c r="G114" s="4" t="s">
        <v>187</v>
      </c>
      <c r="H114" s="4" t="s">
        <v>231</v>
      </c>
      <c r="I114" s="4" t="s">
        <v>226</v>
      </c>
      <c r="J114" s="81">
        <f>IFERROR(__xludf.DUMMYFUNCTION("FILTER('賽道紀錄'!E:E, '賽道紀錄'!A:A=B114, '賽道紀錄'!B:B=C114)-F114"),-8.379745370370364E-4)</f>
        <v>-0.000837974537</v>
      </c>
      <c r="K114" s="4"/>
      <c r="L114" s="4" t="s">
        <v>375</v>
      </c>
      <c r="M114" s="82">
        <f t="shared" si="2"/>
        <v>260.09</v>
      </c>
      <c r="N114" s="27">
        <f t="shared" si="3"/>
        <v>0.003010300926</v>
      </c>
    </row>
    <row r="115">
      <c r="A115" s="77">
        <v>45802.0</v>
      </c>
      <c r="B115" s="4" t="s">
        <v>325</v>
      </c>
      <c r="C115" s="4" t="s">
        <v>223</v>
      </c>
      <c r="D115" s="4" t="s">
        <v>224</v>
      </c>
      <c r="E115" s="4" t="s">
        <v>207</v>
      </c>
      <c r="F115" s="80">
        <f t="shared" si="1"/>
        <v>0.002335960648</v>
      </c>
      <c r="G115" s="4" t="s">
        <v>185</v>
      </c>
      <c r="H115" s="4" t="s">
        <v>231</v>
      </c>
      <c r="I115" s="4" t="s">
        <v>226</v>
      </c>
      <c r="J115" s="81">
        <f>IFERROR(__xludf.DUMMYFUNCTION("FILTER('賽道紀錄'!E:E, '賽道紀錄'!A:A=B115, '賽道紀錄'!B:B=C115)-F115"),-1.636342592592592E-4)</f>
        <v>-0.0001636342593</v>
      </c>
      <c r="K115" s="4"/>
      <c r="L115" s="4" t="s">
        <v>376</v>
      </c>
      <c r="M115" s="82">
        <f t="shared" si="2"/>
        <v>201.827</v>
      </c>
      <c r="N115" s="27">
        <f t="shared" si="3"/>
        <v>0.002335960648</v>
      </c>
    </row>
    <row r="116">
      <c r="A116" s="77">
        <v>45802.0</v>
      </c>
      <c r="B116" s="4" t="s">
        <v>325</v>
      </c>
      <c r="C116" s="4" t="s">
        <v>223</v>
      </c>
      <c r="D116" s="4" t="s">
        <v>224</v>
      </c>
      <c r="E116" s="4" t="s">
        <v>229</v>
      </c>
      <c r="F116" s="80">
        <f t="shared" si="1"/>
        <v>0.002411990741</v>
      </c>
      <c r="G116" s="4" t="s">
        <v>124</v>
      </c>
      <c r="H116" s="4" t="s">
        <v>231</v>
      </c>
      <c r="I116" s="4" t="s">
        <v>226</v>
      </c>
      <c r="J116" s="81">
        <f>IFERROR(__xludf.DUMMYFUNCTION("FILTER('賽道紀錄'!E:E, '賽道紀錄'!A:A=B116, '賽道紀錄'!B:B=C116)-F116"),-2.3966435185185158E-4)</f>
        <v>-0.0002396643519</v>
      </c>
      <c r="K116" s="4"/>
      <c r="L116" s="4" t="s">
        <v>377</v>
      </c>
      <c r="M116" s="82">
        <f t="shared" si="2"/>
        <v>208.396</v>
      </c>
      <c r="N116" s="27">
        <f t="shared" si="3"/>
        <v>0.002411990741</v>
      </c>
    </row>
    <row r="117">
      <c r="A117" s="77">
        <v>45802.0</v>
      </c>
      <c r="B117" s="4" t="s">
        <v>325</v>
      </c>
      <c r="C117" s="4" t="s">
        <v>223</v>
      </c>
      <c r="D117" s="4" t="s">
        <v>224</v>
      </c>
      <c r="E117" s="4" t="s">
        <v>205</v>
      </c>
      <c r="F117" s="80">
        <f t="shared" si="1"/>
        <v>0.002451585648</v>
      </c>
      <c r="G117" s="4" t="s">
        <v>153</v>
      </c>
      <c r="H117" s="4" t="s">
        <v>231</v>
      </c>
      <c r="I117" s="4" t="s">
        <v>226</v>
      </c>
      <c r="J117" s="81">
        <f>IFERROR(__xludf.DUMMYFUNCTION("FILTER('賽道紀錄'!E:E, '賽道紀錄'!A:A=B117, '賽道紀錄'!B:B=C117)-F117"),-2.792592592592595E-4)</f>
        <v>-0.0002792592593</v>
      </c>
      <c r="K117" s="4"/>
      <c r="L117" s="4" t="s">
        <v>378</v>
      </c>
      <c r="M117" s="82">
        <f t="shared" si="2"/>
        <v>211.817</v>
      </c>
      <c r="N117" s="27">
        <f t="shared" si="3"/>
        <v>0.002451585648</v>
      </c>
    </row>
    <row r="118">
      <c r="A118" s="77">
        <v>45802.0</v>
      </c>
      <c r="B118" s="4" t="s">
        <v>325</v>
      </c>
      <c r="C118" s="4" t="s">
        <v>223</v>
      </c>
      <c r="D118" s="4" t="s">
        <v>224</v>
      </c>
      <c r="E118" s="4" t="s">
        <v>235</v>
      </c>
      <c r="F118" s="80">
        <f t="shared" si="1"/>
        <v>0.002670717593</v>
      </c>
      <c r="G118" s="4" t="s">
        <v>190</v>
      </c>
      <c r="H118" s="4" t="s">
        <v>231</v>
      </c>
      <c r="I118" s="4" t="s">
        <v>226</v>
      </c>
      <c r="J118" s="81">
        <f>IFERROR(__xludf.DUMMYFUNCTION("FILTER('賽道紀錄'!E:E, '賽道紀錄'!A:A=B118, '賽道紀錄'!B:B=C118)-F118"),-4.983912037037036E-4)</f>
        <v>-0.0004983912037</v>
      </c>
      <c r="K118" s="4"/>
      <c r="L118" s="4" t="s">
        <v>379</v>
      </c>
      <c r="M118" s="82">
        <f t="shared" si="2"/>
        <v>230.75</v>
      </c>
      <c r="N118" s="27">
        <f t="shared" si="3"/>
        <v>0.002670717593</v>
      </c>
    </row>
    <row r="119">
      <c r="A119" s="77">
        <v>45819.0</v>
      </c>
      <c r="B119" s="4" t="s">
        <v>380</v>
      </c>
      <c r="C119" s="4" t="s">
        <v>381</v>
      </c>
      <c r="D119" s="4" t="s">
        <v>224</v>
      </c>
      <c r="E119" s="4" t="s">
        <v>205</v>
      </c>
      <c r="F119" s="80">
        <f t="shared" si="1"/>
        <v>0.002271030093</v>
      </c>
      <c r="G119" s="4" t="s">
        <v>175</v>
      </c>
      <c r="H119" s="4" t="s">
        <v>231</v>
      </c>
      <c r="I119" s="4" t="s">
        <v>226</v>
      </c>
      <c r="J119" s="81">
        <f>IFERROR(__xludf.DUMMYFUNCTION("FILTER('賽道紀錄'!E:E, '賽道紀錄'!A:A=B119, '賽道紀錄'!B:B=C119)-F119"),-5.740740740740619E-6)</f>
        <v>-0.000005740740741</v>
      </c>
      <c r="K119" s="4"/>
      <c r="L119" s="4" t="s">
        <v>382</v>
      </c>
      <c r="M119" s="82">
        <f t="shared" si="2"/>
        <v>196.217</v>
      </c>
      <c r="N119" s="27">
        <f t="shared" si="3"/>
        <v>0.002271030093</v>
      </c>
    </row>
    <row r="120">
      <c r="A120" s="77">
        <v>45819.0</v>
      </c>
      <c r="B120" s="4" t="s">
        <v>380</v>
      </c>
      <c r="C120" s="4" t="s">
        <v>383</v>
      </c>
      <c r="D120" s="4" t="s">
        <v>224</v>
      </c>
      <c r="E120" s="4" t="s">
        <v>205</v>
      </c>
      <c r="F120" s="80">
        <f t="shared" si="1"/>
        <v>0.002396030093</v>
      </c>
      <c r="G120" s="4" t="s">
        <v>126</v>
      </c>
      <c r="H120" s="4" t="s">
        <v>231</v>
      </c>
      <c r="I120" s="4" t="s">
        <v>226</v>
      </c>
      <c r="J120" s="81">
        <f>IFERROR(__xludf.DUMMYFUNCTION("FILTER('賽道紀錄'!E:E, '賽道紀錄'!A:A=B120, '賽道紀錄'!B:B=C120)-F120"),-1.1797453703703666E-4)</f>
        <v>-0.000117974537</v>
      </c>
      <c r="K120" s="4"/>
      <c r="L120" s="4" t="s">
        <v>384</v>
      </c>
      <c r="M120" s="82">
        <f t="shared" si="2"/>
        <v>207.017</v>
      </c>
      <c r="N120" s="27">
        <f t="shared" si="3"/>
        <v>0.002396030093</v>
      </c>
    </row>
    <row r="121">
      <c r="A121" s="77">
        <v>45819.0</v>
      </c>
      <c r="B121" s="4" t="s">
        <v>380</v>
      </c>
      <c r="C121" s="4" t="s">
        <v>381</v>
      </c>
      <c r="D121" s="4" t="s">
        <v>224</v>
      </c>
      <c r="E121" s="4" t="s">
        <v>205</v>
      </c>
      <c r="F121" s="80">
        <f t="shared" si="1"/>
        <v>0.002563460648</v>
      </c>
      <c r="G121" s="4" t="s">
        <v>194</v>
      </c>
      <c r="H121" s="4" t="s">
        <v>231</v>
      </c>
      <c r="I121" s="4" t="s">
        <v>226</v>
      </c>
      <c r="J121" s="81">
        <f>IFERROR(__xludf.DUMMYFUNCTION("FILTER('賽道紀錄'!E:E, '賽道紀錄'!A:A=B121, '賽道紀錄'!B:B=C121)-F121"),-2.981712962962964E-4)</f>
        <v>-0.0002981712963</v>
      </c>
      <c r="K121" s="4"/>
      <c r="L121" s="4" t="s">
        <v>385</v>
      </c>
      <c r="M121" s="82">
        <f t="shared" si="2"/>
        <v>221.483</v>
      </c>
      <c r="N121" s="27">
        <f t="shared" si="3"/>
        <v>0.002563460648</v>
      </c>
    </row>
    <row r="122">
      <c r="A122" s="77">
        <v>45819.0</v>
      </c>
      <c r="B122" s="4" t="s">
        <v>380</v>
      </c>
      <c r="C122" s="4" t="s">
        <v>383</v>
      </c>
      <c r="D122" s="4" t="s">
        <v>224</v>
      </c>
      <c r="E122" s="4" t="s">
        <v>205</v>
      </c>
      <c r="F122" s="80">
        <f t="shared" si="1"/>
        <v>0.002621331019</v>
      </c>
      <c r="G122" s="4" t="s">
        <v>182</v>
      </c>
      <c r="H122" s="4" t="s">
        <v>231</v>
      </c>
      <c r="I122" s="4" t="s">
        <v>226</v>
      </c>
      <c r="J122" s="81">
        <f>IFERROR(__xludf.DUMMYFUNCTION("FILTER('賽道紀錄'!E:E, '賽道紀錄'!A:A=B122, '賽道紀錄'!B:B=C122)-F122"),-3.432754629629632E-4)</f>
        <v>-0.000343275463</v>
      </c>
      <c r="K122" s="4"/>
      <c r="L122" s="4" t="s">
        <v>386</v>
      </c>
      <c r="M122" s="82">
        <f t="shared" si="2"/>
        <v>226.483</v>
      </c>
      <c r="N122" s="27">
        <f t="shared" si="3"/>
        <v>0.002621331019</v>
      </c>
    </row>
    <row r="123">
      <c r="A123" s="77">
        <v>45811.0</v>
      </c>
      <c r="B123" s="4" t="s">
        <v>380</v>
      </c>
      <c r="C123" s="4" t="s">
        <v>381</v>
      </c>
      <c r="D123" s="4" t="s">
        <v>224</v>
      </c>
      <c r="E123" s="4" t="s">
        <v>206</v>
      </c>
      <c r="F123" s="80">
        <f t="shared" si="1"/>
        <v>0.002429976852</v>
      </c>
      <c r="G123" s="4" t="s">
        <v>126</v>
      </c>
      <c r="H123" s="4" t="s">
        <v>231</v>
      </c>
      <c r="I123" s="4" t="s">
        <v>226</v>
      </c>
      <c r="J123" s="81">
        <f>IFERROR(__xludf.DUMMYFUNCTION("FILTER('賽道紀錄'!E:E, '賽道紀錄'!A:A=B123, '賽道紀錄'!B:B=C123)-F123"),-1.646874999999999E-4)</f>
        <v>-0.0001646875</v>
      </c>
      <c r="K123" s="4"/>
      <c r="L123" s="4" t="s">
        <v>387</v>
      </c>
      <c r="M123" s="82">
        <f t="shared" si="2"/>
        <v>209.95</v>
      </c>
      <c r="N123" s="27">
        <f t="shared" si="3"/>
        <v>0.002429976852</v>
      </c>
    </row>
    <row r="124">
      <c r="A124" s="77">
        <v>45811.0</v>
      </c>
      <c r="B124" s="4" t="s">
        <v>380</v>
      </c>
      <c r="C124" s="4" t="s">
        <v>383</v>
      </c>
      <c r="D124" s="4" t="s">
        <v>224</v>
      </c>
      <c r="E124" s="4" t="s">
        <v>206</v>
      </c>
      <c r="F124" s="80">
        <f t="shared" si="1"/>
        <v>0.002462384259</v>
      </c>
      <c r="G124" s="4" t="s">
        <v>126</v>
      </c>
      <c r="H124" s="4" t="s">
        <v>231</v>
      </c>
      <c r="I124" s="4" t="s">
        <v>226</v>
      </c>
      <c r="J124" s="81">
        <f>IFERROR(__xludf.DUMMYFUNCTION("FILTER('賽道紀錄'!E:E, '賽道紀錄'!A:A=B124, '賽道紀錄'!B:B=C124)-F124"),-1.8432870370370348E-4)</f>
        <v>-0.0001843287037</v>
      </c>
      <c r="K124" s="4"/>
      <c r="L124" s="4" t="s">
        <v>388</v>
      </c>
      <c r="M124" s="82">
        <f t="shared" si="2"/>
        <v>212.75</v>
      </c>
      <c r="N124" s="27">
        <f t="shared" si="3"/>
        <v>0.002462384259</v>
      </c>
    </row>
    <row r="125">
      <c r="A125" s="77">
        <v>45806.0</v>
      </c>
      <c r="B125" s="4" t="s">
        <v>389</v>
      </c>
      <c r="C125" s="4" t="s">
        <v>223</v>
      </c>
      <c r="D125" s="4" t="s">
        <v>311</v>
      </c>
      <c r="E125" s="4" t="s">
        <v>205</v>
      </c>
      <c r="F125" s="80">
        <f t="shared" si="1"/>
        <v>0.00341087963</v>
      </c>
      <c r="G125" s="4" t="s">
        <v>173</v>
      </c>
      <c r="H125" s="4" t="s">
        <v>231</v>
      </c>
      <c r="I125" s="4" t="s">
        <v>313</v>
      </c>
      <c r="J125" s="81">
        <f>IFERROR(__xludf.DUMMYFUNCTION("FILTER('賽道紀錄'!E:E, '賽道紀錄'!A:A=B125, '賽道紀錄'!B:B=C125)-F125"),0.0035335648148148145)</f>
        <v>0.003533564815</v>
      </c>
      <c r="K125" s="4"/>
      <c r="L125" s="4" t="s">
        <v>390</v>
      </c>
      <c r="M125" s="82">
        <f t="shared" si="2"/>
        <v>294.7</v>
      </c>
      <c r="N125" s="27">
        <f t="shared" si="3"/>
        <v>0.00341087963</v>
      </c>
    </row>
    <row r="126">
      <c r="A126" s="77">
        <v>45811.0</v>
      </c>
      <c r="B126" s="4" t="s">
        <v>391</v>
      </c>
      <c r="D126" s="4" t="s">
        <v>224</v>
      </c>
      <c r="E126" s="4" t="s">
        <v>206</v>
      </c>
      <c r="F126" s="80">
        <f t="shared" si="1"/>
        <v>0.002435960648</v>
      </c>
      <c r="G126" s="4" t="s">
        <v>159</v>
      </c>
      <c r="H126" s="4" t="s">
        <v>231</v>
      </c>
      <c r="I126" s="4" t="s">
        <v>226</v>
      </c>
      <c r="J126" s="81">
        <f>IFERROR(__xludf.DUMMYFUNCTION("FILTER('賽道紀錄'!E:E, '賽道紀錄'!A:A=B126, '賽道紀錄'!B:B=C126)-F126"),0.0)</f>
        <v>0</v>
      </c>
      <c r="K126" s="4"/>
      <c r="L126" s="4" t="s">
        <v>392</v>
      </c>
      <c r="M126" s="82">
        <f t="shared" si="2"/>
        <v>210.467</v>
      </c>
      <c r="N126" s="27">
        <f t="shared" si="3"/>
        <v>0.002435960648</v>
      </c>
    </row>
    <row r="127">
      <c r="A127" s="77">
        <v>45817.0</v>
      </c>
      <c r="B127" s="4" t="s">
        <v>393</v>
      </c>
      <c r="C127" s="4" t="s">
        <v>223</v>
      </c>
      <c r="D127" s="4" t="s">
        <v>224</v>
      </c>
      <c r="E127" s="4" t="s">
        <v>229</v>
      </c>
      <c r="F127" s="80">
        <f t="shared" si="1"/>
        <v>0.002434027778</v>
      </c>
      <c r="G127" s="4" t="s">
        <v>123</v>
      </c>
      <c r="H127" s="4" t="s">
        <v>231</v>
      </c>
      <c r="I127" s="4" t="s">
        <v>226</v>
      </c>
      <c r="J127" s="81">
        <f>IFERROR(__xludf.DUMMYFUNCTION("FILTER('賽道紀錄'!E:E, '賽道紀錄'!A:A=B127, '賽道紀錄'!B:B=C127)-F127"),-3.047453703703719E-5)</f>
        <v>-0.00003047453704</v>
      </c>
      <c r="K127" s="4"/>
      <c r="L127" s="4" t="s">
        <v>394</v>
      </c>
      <c r="M127" s="82">
        <f t="shared" si="2"/>
        <v>210.3</v>
      </c>
      <c r="N127" s="27">
        <f t="shared" si="3"/>
        <v>0.002434027778</v>
      </c>
    </row>
    <row r="128">
      <c r="A128" s="77">
        <v>45817.0</v>
      </c>
      <c r="B128" s="4" t="s">
        <v>393</v>
      </c>
      <c r="C128" s="4" t="s">
        <v>223</v>
      </c>
      <c r="D128" s="4" t="s">
        <v>224</v>
      </c>
      <c r="E128" s="4" t="s">
        <v>205</v>
      </c>
      <c r="F128" s="80">
        <f t="shared" si="1"/>
        <v>0.002505590278</v>
      </c>
      <c r="G128" s="4" t="s">
        <v>123</v>
      </c>
      <c r="H128" s="4" t="s">
        <v>231</v>
      </c>
      <c r="I128" s="4" t="s">
        <v>226</v>
      </c>
      <c r="J128" s="81">
        <f>IFERROR(__xludf.DUMMYFUNCTION("FILTER('賽道紀錄'!E:E, '賽道紀錄'!A:A=B128, '賽道紀錄'!B:B=C128)-F128"),-1.020370370370372E-4)</f>
        <v>-0.000102037037</v>
      </c>
      <c r="K128" s="4"/>
      <c r="L128" s="4" t="s">
        <v>395</v>
      </c>
      <c r="M128" s="82">
        <f t="shared" si="2"/>
        <v>216.483</v>
      </c>
      <c r="N128" s="27">
        <f t="shared" si="3"/>
        <v>0.002505590278</v>
      </c>
    </row>
    <row r="129">
      <c r="A129" s="77">
        <v>45817.0</v>
      </c>
      <c r="B129" s="4" t="s">
        <v>393</v>
      </c>
      <c r="C129" s="4" t="s">
        <v>223</v>
      </c>
      <c r="D129" s="4" t="s">
        <v>224</v>
      </c>
      <c r="E129" s="4" t="s">
        <v>205</v>
      </c>
      <c r="F129" s="80">
        <f t="shared" si="1"/>
        <v>0.002537615741</v>
      </c>
      <c r="G129" s="4" t="s">
        <v>199</v>
      </c>
      <c r="H129" s="4" t="s">
        <v>231</v>
      </c>
      <c r="I129" s="4" t="s">
        <v>226</v>
      </c>
      <c r="J129" s="81">
        <f>IFERROR(__xludf.DUMMYFUNCTION("FILTER('賽道紀錄'!E:E, '賽道紀錄'!A:A=B129, '賽道紀錄'!B:B=C129)-F129"),-1.3406250000000007E-4)</f>
        <v>-0.0001340625</v>
      </c>
      <c r="K129" s="4"/>
      <c r="L129" s="4" t="s">
        <v>396</v>
      </c>
      <c r="M129" s="82">
        <f t="shared" si="2"/>
        <v>219.25</v>
      </c>
      <c r="N129" s="27">
        <f t="shared" si="3"/>
        <v>0.002537615741</v>
      </c>
    </row>
    <row r="130">
      <c r="A130" s="77">
        <v>45817.0</v>
      </c>
      <c r="B130" s="4" t="s">
        <v>393</v>
      </c>
      <c r="C130" s="4" t="s">
        <v>223</v>
      </c>
      <c r="D130" s="4" t="s">
        <v>224</v>
      </c>
      <c r="E130" s="4" t="s">
        <v>205</v>
      </c>
      <c r="F130" s="80">
        <f t="shared" si="1"/>
        <v>0.002544178241</v>
      </c>
      <c r="G130" s="4" t="s">
        <v>124</v>
      </c>
      <c r="H130" s="4" t="s">
        <v>231</v>
      </c>
      <c r="I130" s="4" t="s">
        <v>226</v>
      </c>
      <c r="J130" s="81">
        <f>IFERROR(__xludf.DUMMYFUNCTION("FILTER('賽道紀錄'!E:E, '賽道紀錄'!A:A=B130, '賽道紀錄'!B:B=C130)-F130"),-1.4062500000000012E-4)</f>
        <v>-0.000140625</v>
      </c>
      <c r="K130" s="4"/>
      <c r="L130" s="4" t="s">
        <v>397</v>
      </c>
      <c r="M130" s="82">
        <f t="shared" si="2"/>
        <v>219.817</v>
      </c>
      <c r="N130" s="27">
        <f t="shared" si="3"/>
        <v>0.002544178241</v>
      </c>
    </row>
    <row r="131">
      <c r="A131" s="77">
        <v>45830.0</v>
      </c>
      <c r="B131" s="4" t="s">
        <v>398</v>
      </c>
      <c r="C131" s="4" t="s">
        <v>381</v>
      </c>
      <c r="D131" s="83" t="s">
        <v>224</v>
      </c>
      <c r="E131" s="4" t="s">
        <v>235</v>
      </c>
      <c r="F131" s="80">
        <f t="shared" si="1"/>
        <v>0.003146215278</v>
      </c>
      <c r="G131" s="4" t="s">
        <v>169</v>
      </c>
      <c r="H131" s="4" t="s">
        <v>231</v>
      </c>
      <c r="I131" s="4" t="s">
        <v>226</v>
      </c>
      <c r="J131" s="81">
        <f>IFERROR(__xludf.DUMMYFUNCTION("FILTER('賽道紀錄'!E:E, '賽道紀錄'!A:A=B131, '賽道紀錄'!B:B=C131)-F131"),-5.358680555555555E-4)</f>
        <v>-0.0005358680556</v>
      </c>
      <c r="K131" s="4"/>
      <c r="L131" s="4" t="s">
        <v>399</v>
      </c>
      <c r="M131" s="82">
        <f t="shared" si="2"/>
        <v>271.833</v>
      </c>
      <c r="N131" s="27">
        <f t="shared" si="3"/>
        <v>0.003146215278</v>
      </c>
    </row>
    <row r="132">
      <c r="A132" s="77">
        <v>45807.0</v>
      </c>
      <c r="B132" s="4" t="s">
        <v>398</v>
      </c>
      <c r="C132" s="4" t="s">
        <v>381</v>
      </c>
      <c r="D132" s="4" t="s">
        <v>224</v>
      </c>
      <c r="E132" s="4" t="s">
        <v>206</v>
      </c>
      <c r="F132" s="80">
        <f t="shared" si="1"/>
        <v>0.002931134259</v>
      </c>
      <c r="G132" s="4" t="s">
        <v>169</v>
      </c>
      <c r="H132" s="4" t="s">
        <v>231</v>
      </c>
      <c r="I132" s="4" t="s">
        <v>226</v>
      </c>
      <c r="J132" s="81">
        <f>IFERROR(__xludf.DUMMYFUNCTION("FILTER('賽道紀錄'!E:E, '賽道紀錄'!A:A=B132, '賽道紀錄'!B:B=C132)-F132"),-3.207870370370374E-4)</f>
        <v>-0.000320787037</v>
      </c>
      <c r="K132" s="4"/>
      <c r="L132" s="4" t="s">
        <v>400</v>
      </c>
      <c r="M132" s="82">
        <f t="shared" si="2"/>
        <v>253.25</v>
      </c>
      <c r="N132" s="27">
        <f t="shared" si="3"/>
        <v>0.002931134259</v>
      </c>
    </row>
    <row r="133">
      <c r="A133" s="77">
        <v>45807.0</v>
      </c>
      <c r="B133" s="4" t="s">
        <v>398</v>
      </c>
      <c r="C133" s="4" t="s">
        <v>381</v>
      </c>
      <c r="D133" s="4" t="s">
        <v>224</v>
      </c>
      <c r="E133" s="4" t="s">
        <v>205</v>
      </c>
      <c r="F133" s="80">
        <f t="shared" si="1"/>
        <v>0.002969328704</v>
      </c>
      <c r="G133" s="4" t="s">
        <v>176</v>
      </c>
      <c r="H133" s="4" t="s">
        <v>231</v>
      </c>
      <c r="I133" s="4" t="s">
        <v>226</v>
      </c>
      <c r="J133" s="81">
        <f>IFERROR(__xludf.DUMMYFUNCTION("FILTER('賽道紀錄'!E:E, '賽道紀錄'!A:A=B133, '賽道紀錄'!B:B=C133)-F133"),-3.589814814814814E-4)</f>
        <v>-0.0003589814815</v>
      </c>
      <c r="K133" s="4"/>
      <c r="L133" s="4" t="s">
        <v>401</v>
      </c>
      <c r="M133" s="82">
        <f t="shared" si="2"/>
        <v>256.55</v>
      </c>
      <c r="N133" s="27">
        <f t="shared" si="3"/>
        <v>0.002969328704</v>
      </c>
    </row>
    <row r="134">
      <c r="A134" s="77">
        <v>45807.0</v>
      </c>
      <c r="B134" s="4" t="s">
        <v>398</v>
      </c>
      <c r="C134" s="4" t="s">
        <v>383</v>
      </c>
      <c r="D134" s="4" t="s">
        <v>224</v>
      </c>
      <c r="E134" s="4" t="s">
        <v>206</v>
      </c>
      <c r="F134" s="80">
        <f t="shared" si="1"/>
        <v>0.002969907407</v>
      </c>
      <c r="G134" s="4" t="s">
        <v>169</v>
      </c>
      <c r="H134" s="4" t="s">
        <v>231</v>
      </c>
      <c r="I134" s="4" t="s">
        <v>226</v>
      </c>
      <c r="J134" s="81">
        <f>IFERROR(__xludf.DUMMYFUNCTION("FILTER('賽道紀錄'!E:E, '賽道紀錄'!A:A=B134, '賽道紀錄'!B:B=C134)-F134"),-1.4140046296296296E-4)</f>
        <v>-0.000141400463</v>
      </c>
      <c r="K134" s="4"/>
      <c r="L134" s="4" t="s">
        <v>402</v>
      </c>
      <c r="M134" s="82">
        <f t="shared" si="2"/>
        <v>256.6</v>
      </c>
      <c r="N134" s="27">
        <f t="shared" si="3"/>
        <v>0.002969907407</v>
      </c>
    </row>
    <row r="135">
      <c r="A135" s="77">
        <v>45807.0</v>
      </c>
      <c r="B135" s="4" t="s">
        <v>398</v>
      </c>
      <c r="C135" s="4" t="s">
        <v>381</v>
      </c>
      <c r="D135" s="4" t="s">
        <v>224</v>
      </c>
      <c r="E135" s="4" t="s">
        <v>206</v>
      </c>
      <c r="F135" s="80">
        <f t="shared" si="1"/>
        <v>0.002985532407</v>
      </c>
      <c r="G135" s="4" t="s">
        <v>169</v>
      </c>
      <c r="H135" s="4" t="s">
        <v>231</v>
      </c>
      <c r="I135" s="4" t="s">
        <v>226</v>
      </c>
      <c r="J135" s="81">
        <f>IFERROR(__xludf.DUMMYFUNCTION("FILTER('賽道紀錄'!E:E, '賽道紀錄'!A:A=B135, '賽道紀錄'!B:B=C135)-F135"),-3.75185185185185E-4)</f>
        <v>-0.0003751851852</v>
      </c>
      <c r="K135" s="4"/>
      <c r="L135" s="4" t="s">
        <v>403</v>
      </c>
      <c r="M135" s="82">
        <f t="shared" si="2"/>
        <v>257.95</v>
      </c>
      <c r="N135" s="27">
        <f t="shared" si="3"/>
        <v>0.002985532407</v>
      </c>
    </row>
    <row r="136">
      <c r="A136" s="77">
        <v>45807.0</v>
      </c>
      <c r="B136" s="4" t="s">
        <v>398</v>
      </c>
      <c r="C136" s="4" t="s">
        <v>381</v>
      </c>
      <c r="D136" s="4" t="s">
        <v>224</v>
      </c>
      <c r="E136" s="4" t="s">
        <v>205</v>
      </c>
      <c r="F136" s="80">
        <f t="shared" si="1"/>
        <v>0.003122881944</v>
      </c>
      <c r="G136" s="4" t="s">
        <v>181</v>
      </c>
      <c r="H136" s="4" t="s">
        <v>231</v>
      </c>
      <c r="I136" s="4" t="s">
        <v>226</v>
      </c>
      <c r="J136" s="81">
        <f>IFERROR(__xludf.DUMMYFUNCTION("FILTER('賽道紀錄'!E:E, '賽道紀錄'!A:A=B136, '賽道紀錄'!B:B=C136)-F136"),-5.12534722222222E-4)</f>
        <v>-0.0005125347222</v>
      </c>
      <c r="K136" s="4"/>
      <c r="L136" s="4" t="s">
        <v>404</v>
      </c>
      <c r="M136" s="82">
        <f t="shared" si="2"/>
        <v>269.817</v>
      </c>
      <c r="N136" s="27">
        <f t="shared" si="3"/>
        <v>0.003122881944</v>
      </c>
    </row>
    <row r="137">
      <c r="A137" s="77">
        <v>45807.0</v>
      </c>
      <c r="B137" s="4" t="s">
        <v>398</v>
      </c>
      <c r="C137" s="4" t="s">
        <v>383</v>
      </c>
      <c r="D137" s="4" t="s">
        <v>224</v>
      </c>
      <c r="E137" s="4" t="s">
        <v>233</v>
      </c>
      <c r="F137" s="80">
        <f t="shared" si="1"/>
        <v>0.003983738426</v>
      </c>
      <c r="G137" s="4" t="s">
        <v>191</v>
      </c>
      <c r="H137" s="4" t="s">
        <v>231</v>
      </c>
      <c r="I137" s="4" t="s">
        <v>226</v>
      </c>
      <c r="J137" s="81">
        <f>IFERROR(__xludf.DUMMYFUNCTION("FILTER('賽道紀錄'!E:E, '賽道紀錄'!A:A=B137, '賽道紀錄'!B:B=C137)-F137"),-0.0011552314814814815)</f>
        <v>-0.001155231481</v>
      </c>
      <c r="K137" s="4"/>
      <c r="L137" s="4" t="s">
        <v>405</v>
      </c>
      <c r="M137" s="82">
        <f t="shared" si="2"/>
        <v>344.195</v>
      </c>
      <c r="N137" s="27">
        <f t="shared" si="3"/>
        <v>0.003983738426</v>
      </c>
    </row>
    <row r="138">
      <c r="A138" s="77">
        <v>45806.0</v>
      </c>
      <c r="B138" s="4" t="s">
        <v>398</v>
      </c>
      <c r="C138" s="4" t="s">
        <v>381</v>
      </c>
      <c r="D138" s="4" t="s">
        <v>224</v>
      </c>
      <c r="E138" s="4" t="s">
        <v>205</v>
      </c>
      <c r="F138" s="80">
        <f t="shared" si="1"/>
        <v>0.003113622685</v>
      </c>
      <c r="G138" s="4" t="s">
        <v>169</v>
      </c>
      <c r="H138" s="4" t="s">
        <v>231</v>
      </c>
      <c r="I138" s="4" t="s">
        <v>226</v>
      </c>
      <c r="J138" s="81">
        <f>IFERROR(__xludf.DUMMYFUNCTION("FILTER('賽道紀錄'!E:E, '賽道紀錄'!A:A=B138, '賽道紀錄'!B:B=C138)-F138"),-5.032754629629627E-4)</f>
        <v>-0.000503275463</v>
      </c>
      <c r="K138" s="4"/>
      <c r="L138" s="4" t="s">
        <v>406</v>
      </c>
      <c r="M138" s="82">
        <f t="shared" si="2"/>
        <v>269.017</v>
      </c>
      <c r="N138" s="27">
        <f t="shared" si="3"/>
        <v>0.003113622685</v>
      </c>
    </row>
    <row r="139">
      <c r="A139" s="77">
        <v>45806.0</v>
      </c>
      <c r="B139" s="4" t="s">
        <v>398</v>
      </c>
      <c r="C139" s="4" t="s">
        <v>383</v>
      </c>
      <c r="D139" s="4" t="s">
        <v>224</v>
      </c>
      <c r="E139" s="4" t="s">
        <v>205</v>
      </c>
      <c r="F139" s="80">
        <f t="shared" si="1"/>
        <v>0.00319193287</v>
      </c>
      <c r="G139" s="4" t="s">
        <v>166</v>
      </c>
      <c r="H139" s="4" t="s">
        <v>231</v>
      </c>
      <c r="I139" s="4" t="s">
        <v>226</v>
      </c>
      <c r="J139" s="81">
        <f>IFERROR(__xludf.DUMMYFUNCTION("FILTER('賽道紀錄'!E:E, '賽道紀錄'!A:A=B139, '賽道紀錄'!B:B=C139)-F139"),-3.634259259259259E-4)</f>
        <v>-0.0003634259259</v>
      </c>
      <c r="K139" s="4"/>
      <c r="L139" s="4" t="s">
        <v>407</v>
      </c>
      <c r="M139" s="82">
        <f t="shared" si="2"/>
        <v>275.783</v>
      </c>
      <c r="N139" s="27">
        <f t="shared" si="3"/>
        <v>0.00319193287</v>
      </c>
    </row>
    <row r="140">
      <c r="A140" s="77">
        <v>45806.0</v>
      </c>
      <c r="B140" s="4" t="s">
        <v>398</v>
      </c>
      <c r="C140" s="4" t="s">
        <v>383</v>
      </c>
      <c r="D140" s="4" t="s">
        <v>224</v>
      </c>
      <c r="E140" s="4" t="s">
        <v>235</v>
      </c>
      <c r="F140" s="80">
        <f t="shared" si="1"/>
        <v>0.003304976852</v>
      </c>
      <c r="G140" s="4" t="s">
        <v>169</v>
      </c>
      <c r="H140" s="4" t="s">
        <v>231</v>
      </c>
      <c r="I140" s="4" t="s">
        <v>226</v>
      </c>
      <c r="J140" s="81">
        <f>IFERROR(__xludf.DUMMYFUNCTION("FILTER('賽道紀錄'!E:E, '賽道紀錄'!A:A=B140, '賽道紀錄'!B:B=C140)-F140"),-4.764699074074072E-4)</f>
        <v>-0.0004764699074</v>
      </c>
      <c r="K140" s="4"/>
      <c r="L140" s="4" t="s">
        <v>408</v>
      </c>
      <c r="M140" s="82">
        <f t="shared" si="2"/>
        <v>285.55</v>
      </c>
      <c r="N140" s="27">
        <f t="shared" si="3"/>
        <v>0.003304976852</v>
      </c>
    </row>
    <row r="141">
      <c r="A141" s="77">
        <v>45806.0</v>
      </c>
      <c r="B141" s="4" t="s">
        <v>398</v>
      </c>
      <c r="C141" s="4" t="s">
        <v>381</v>
      </c>
      <c r="D141" s="4" t="s">
        <v>224</v>
      </c>
      <c r="E141" s="4" t="s">
        <v>235</v>
      </c>
      <c r="F141" s="80">
        <f t="shared" si="1"/>
        <v>0.003452546296</v>
      </c>
      <c r="G141" s="4" t="s">
        <v>169</v>
      </c>
      <c r="H141" s="4" t="s">
        <v>231</v>
      </c>
      <c r="I141" s="4" t="s">
        <v>226</v>
      </c>
      <c r="J141" s="81">
        <f>IFERROR(__xludf.DUMMYFUNCTION("FILTER('賽道紀錄'!E:E, '賽道紀錄'!A:A=B141, '賽道紀錄'!B:B=C141)-F141"),-8.421990740740738E-4)</f>
        <v>-0.0008421990741</v>
      </c>
      <c r="K141" s="4"/>
      <c r="L141" s="4" t="s">
        <v>409</v>
      </c>
      <c r="M141" s="82">
        <f t="shared" si="2"/>
        <v>298.3</v>
      </c>
      <c r="N141" s="27">
        <f t="shared" si="3"/>
        <v>0.003452546296</v>
      </c>
    </row>
    <row r="142">
      <c r="A142" s="84">
        <v>45810.0</v>
      </c>
      <c r="B142" s="83" t="s">
        <v>410</v>
      </c>
      <c r="C142" s="83" t="s">
        <v>223</v>
      </c>
      <c r="D142" s="83" t="s">
        <v>205</v>
      </c>
      <c r="E142" s="4" t="s">
        <v>229</v>
      </c>
      <c r="F142" s="80">
        <f t="shared" si="1"/>
        <v>0.004801944444</v>
      </c>
      <c r="G142" s="4" t="s">
        <v>125</v>
      </c>
      <c r="H142" s="4" t="s">
        <v>231</v>
      </c>
      <c r="I142" s="4" t="s">
        <v>313</v>
      </c>
      <c r="J142" s="81">
        <f>IFERROR(__xludf.DUMMYFUNCTION("FILTER('賽道紀錄'!E:E, '賽道紀錄'!A:A=B142, '賽道紀錄'!B:B=C142)-F142"),-9.30914351851852E-4)</f>
        <v>-0.0009309143519</v>
      </c>
      <c r="K142" s="4"/>
      <c r="L142" s="4" t="s">
        <v>411</v>
      </c>
      <c r="M142" s="82">
        <f t="shared" si="2"/>
        <v>414.888</v>
      </c>
      <c r="N142" s="27">
        <f t="shared" si="3"/>
        <v>0.004801944444</v>
      </c>
    </row>
    <row r="143">
      <c r="A143" s="84">
        <v>45810.0</v>
      </c>
      <c r="B143" s="83" t="s">
        <v>410</v>
      </c>
      <c r="C143" s="83" t="s">
        <v>223</v>
      </c>
      <c r="D143" s="83" t="s">
        <v>205</v>
      </c>
      <c r="E143" s="4" t="s">
        <v>412</v>
      </c>
      <c r="F143" s="80">
        <f t="shared" si="1"/>
        <v>0.004922835648</v>
      </c>
      <c r="G143" s="4" t="s">
        <v>125</v>
      </c>
      <c r="H143" s="4" t="s">
        <v>225</v>
      </c>
      <c r="I143" s="4" t="s">
        <v>313</v>
      </c>
      <c r="J143" s="81">
        <f>IFERROR(__xludf.DUMMYFUNCTION("FILTER('賽道紀錄'!E:E, '賽道紀錄'!A:A=B143, '賽道紀錄'!B:B=C143)-F143"),-0.0010518055555555558)</f>
        <v>-0.001051805556</v>
      </c>
      <c r="K143" s="4"/>
      <c r="L143" s="4" t="s">
        <v>413</v>
      </c>
      <c r="M143" s="82">
        <f t="shared" si="2"/>
        <v>425.333</v>
      </c>
      <c r="N143" s="27">
        <f t="shared" si="3"/>
        <v>0.004922835648</v>
      </c>
    </row>
    <row r="144">
      <c r="A144" s="84">
        <v>45810.0</v>
      </c>
      <c r="B144" s="83" t="s">
        <v>410</v>
      </c>
      <c r="C144" s="83" t="s">
        <v>223</v>
      </c>
      <c r="D144" s="83" t="s">
        <v>205</v>
      </c>
      <c r="E144" s="83" t="s">
        <v>205</v>
      </c>
      <c r="F144" s="80">
        <f t="shared" si="1"/>
        <v>0.005152199074</v>
      </c>
      <c r="G144" s="4" t="s">
        <v>125</v>
      </c>
      <c r="H144" s="87" t="s">
        <v>231</v>
      </c>
      <c r="I144" s="70" t="s">
        <v>313</v>
      </c>
      <c r="J144" s="81">
        <f>IFERROR(__xludf.DUMMYFUNCTION("FILTER('賽道紀錄'!E:E, '賽道紀錄'!A:A=B144, '賽道紀錄'!B:B=C144)-F144"),-0.0012811689814814812)</f>
        <v>-0.001281168981</v>
      </c>
      <c r="K144" s="4"/>
      <c r="L144" s="4" t="s">
        <v>414</v>
      </c>
      <c r="M144" s="82">
        <f t="shared" si="2"/>
        <v>445.15</v>
      </c>
      <c r="N144" s="27">
        <f t="shared" si="3"/>
        <v>0.005152199074</v>
      </c>
    </row>
    <row r="145">
      <c r="A145" s="77">
        <v>45807.0</v>
      </c>
      <c r="B145" s="4" t="s">
        <v>410</v>
      </c>
      <c r="C145" s="4" t="s">
        <v>223</v>
      </c>
      <c r="D145" s="4" t="s">
        <v>205</v>
      </c>
      <c r="E145" s="4" t="s">
        <v>205</v>
      </c>
      <c r="F145" s="80">
        <f t="shared" si="1"/>
        <v>0.005522766204</v>
      </c>
      <c r="G145" s="4" t="s">
        <v>125</v>
      </c>
      <c r="H145" s="4" t="s">
        <v>231</v>
      </c>
      <c r="I145" s="4" t="s">
        <v>313</v>
      </c>
      <c r="J145" s="81">
        <f>IFERROR(__xludf.DUMMYFUNCTION("FILTER('賽道紀錄'!E:E, '賽道紀錄'!A:A=B145, '賽道紀錄'!B:B=C145)-F145"),-0.0016517361111111116)</f>
        <v>-0.001651736111</v>
      </c>
      <c r="K145" s="4"/>
      <c r="L145" s="4" t="s">
        <v>415</v>
      </c>
      <c r="M145" s="82">
        <f t="shared" si="2"/>
        <v>477.167</v>
      </c>
      <c r="N145" s="27">
        <f t="shared" si="3"/>
        <v>0.005522766204</v>
      </c>
    </row>
    <row r="146">
      <c r="A146" s="77">
        <v>45774.0</v>
      </c>
      <c r="B146" s="4" t="s">
        <v>410</v>
      </c>
      <c r="C146" s="4" t="s">
        <v>223</v>
      </c>
      <c r="D146" s="4" t="s">
        <v>205</v>
      </c>
      <c r="E146" s="4" t="s">
        <v>205</v>
      </c>
      <c r="F146" s="80">
        <f t="shared" si="1"/>
        <v>0.005396793981</v>
      </c>
      <c r="G146" s="4" t="s">
        <v>174</v>
      </c>
      <c r="H146" s="4" t="s">
        <v>231</v>
      </c>
      <c r="I146" s="4" t="s">
        <v>313</v>
      </c>
      <c r="J146" s="81">
        <f>IFERROR(__xludf.DUMMYFUNCTION("FILTER('賽道紀錄'!E:E, '賽道紀錄'!A:A=B146, '賽道紀錄'!B:B=C146)-F146"),-0.0015257638888888899)</f>
        <v>-0.001525763889</v>
      </c>
      <c r="K146" s="78"/>
      <c r="L146" s="78" t="s">
        <v>416</v>
      </c>
      <c r="M146" s="82">
        <f t="shared" si="2"/>
        <v>466.283</v>
      </c>
      <c r="N146" s="27">
        <f t="shared" si="3"/>
        <v>0.005396793981</v>
      </c>
    </row>
    <row r="147">
      <c r="A147" s="77">
        <v>45774.0</v>
      </c>
      <c r="B147" s="4" t="s">
        <v>410</v>
      </c>
      <c r="C147" s="4" t="s">
        <v>223</v>
      </c>
      <c r="D147" s="4" t="s">
        <v>205</v>
      </c>
      <c r="E147" s="4" t="s">
        <v>209</v>
      </c>
      <c r="F147" s="80">
        <f t="shared" si="1"/>
        <v>0.004538715278</v>
      </c>
      <c r="G147" s="4" t="s">
        <v>174</v>
      </c>
      <c r="H147" s="4" t="s">
        <v>225</v>
      </c>
      <c r="I147" s="4" t="s">
        <v>313</v>
      </c>
      <c r="J147" s="81">
        <f>IFERROR(__xludf.DUMMYFUNCTION("FILTER('賽道紀錄'!E:E, '賽道紀錄'!A:A=B147, '賽道紀錄'!B:B=C147)-F147"),-6.676851851851852E-4)</f>
        <v>-0.0006676851852</v>
      </c>
      <c r="K147" s="4"/>
      <c r="L147" s="4" t="s">
        <v>417</v>
      </c>
      <c r="M147" s="82">
        <f t="shared" si="2"/>
        <v>392.145</v>
      </c>
      <c r="N147" s="27">
        <f t="shared" si="3"/>
        <v>0.004538715278</v>
      </c>
    </row>
    <row r="148">
      <c r="A148" s="77">
        <v>45825.0</v>
      </c>
      <c r="B148" s="4" t="s">
        <v>418</v>
      </c>
      <c r="C148" s="4" t="s">
        <v>419</v>
      </c>
      <c r="D148" s="4" t="s">
        <v>224</v>
      </c>
      <c r="E148" s="4" t="s">
        <v>205</v>
      </c>
      <c r="F148" s="80">
        <f t="shared" si="1"/>
        <v>0.002981284722</v>
      </c>
      <c r="G148" s="4" t="s">
        <v>196</v>
      </c>
      <c r="H148" s="4" t="s">
        <v>231</v>
      </c>
      <c r="I148" s="4" t="s">
        <v>226</v>
      </c>
      <c r="J148" s="81">
        <f>IFERROR(__xludf.DUMMYFUNCTION("FILTER('賽道紀錄'!E:E, '賽道紀錄'!A:A=B148, '賽道紀錄'!B:B=C148)-F148"),-7.320601851851854E-4)</f>
        <v>-0.0007320601852</v>
      </c>
      <c r="K148" s="4"/>
      <c r="L148" s="4" t="s">
        <v>420</v>
      </c>
      <c r="M148" s="82">
        <f t="shared" si="2"/>
        <v>257.583</v>
      </c>
      <c r="N148" s="27">
        <f t="shared" si="3"/>
        <v>0.002981284722</v>
      </c>
    </row>
    <row r="149">
      <c r="A149" s="77">
        <v>45822.0</v>
      </c>
      <c r="B149" s="4" t="s">
        <v>418</v>
      </c>
      <c r="C149" s="4" t="s">
        <v>421</v>
      </c>
      <c r="D149" s="4" t="s">
        <v>224</v>
      </c>
      <c r="E149" s="4" t="s">
        <v>205</v>
      </c>
      <c r="F149" s="80">
        <f t="shared" si="1"/>
        <v>0.001793599537</v>
      </c>
      <c r="G149" s="4" t="s">
        <v>123</v>
      </c>
      <c r="H149" s="4" t="s">
        <v>231</v>
      </c>
      <c r="I149" s="4" t="s">
        <v>226</v>
      </c>
      <c r="J149" s="81">
        <f>IFERROR(__xludf.DUMMYFUNCTION("FILTER('賽道紀錄'!E:E, '賽道紀錄'!A:A=B149, '賽道紀錄'!B:B=C149)-F149"),0.0)</f>
        <v>0</v>
      </c>
      <c r="K149" s="4"/>
      <c r="L149" s="4" t="s">
        <v>422</v>
      </c>
      <c r="M149" s="82">
        <f t="shared" si="2"/>
        <v>154.967</v>
      </c>
      <c r="N149" s="27">
        <f t="shared" si="3"/>
        <v>0.001793599537</v>
      </c>
    </row>
    <row r="150">
      <c r="A150" s="77">
        <v>45822.0</v>
      </c>
      <c r="B150" s="4" t="s">
        <v>418</v>
      </c>
      <c r="C150" s="4" t="s">
        <v>419</v>
      </c>
      <c r="D150" s="4" t="s">
        <v>224</v>
      </c>
      <c r="E150" s="4" t="s">
        <v>209</v>
      </c>
      <c r="F150" s="80">
        <f t="shared" si="1"/>
        <v>0.002249224537</v>
      </c>
      <c r="G150" s="4" t="s">
        <v>156</v>
      </c>
      <c r="H150" s="4" t="s">
        <v>225</v>
      </c>
      <c r="I150" s="4" t="s">
        <v>226</v>
      </c>
      <c r="J150" s="81">
        <f>IFERROR(__xludf.DUMMYFUNCTION("FILTER('賽道紀錄'!E:E, '賽道紀錄'!A:A=B150, '賽道紀錄'!B:B=C150)-F150"),0.0)</f>
        <v>0</v>
      </c>
      <c r="K150" s="4"/>
      <c r="L150" s="4" t="s">
        <v>423</v>
      </c>
      <c r="M150" s="82">
        <f t="shared" si="2"/>
        <v>194.333</v>
      </c>
      <c r="N150" s="27">
        <f t="shared" si="3"/>
        <v>0.002249224537</v>
      </c>
    </row>
    <row r="151">
      <c r="A151" s="77">
        <v>45822.0</v>
      </c>
      <c r="B151" s="4" t="s">
        <v>418</v>
      </c>
      <c r="C151" s="4" t="s">
        <v>419</v>
      </c>
      <c r="D151" s="4" t="s">
        <v>224</v>
      </c>
      <c r="E151" s="4" t="s">
        <v>412</v>
      </c>
      <c r="F151" s="80">
        <f t="shared" si="1"/>
        <v>0.002383101852</v>
      </c>
      <c r="G151" s="4" t="s">
        <v>123</v>
      </c>
      <c r="H151" s="4" t="s">
        <v>225</v>
      </c>
      <c r="I151" s="4" t="s">
        <v>226</v>
      </c>
      <c r="J151" s="81">
        <f>IFERROR(__xludf.DUMMYFUNCTION("FILTER('賽道紀錄'!E:E, '賽道紀錄'!A:A=B151, '賽道紀錄'!B:B=C151)-F151"),-1.3387731481481497E-4)</f>
        <v>-0.0001338773148</v>
      </c>
      <c r="K151" s="4"/>
      <c r="L151" s="4" t="s">
        <v>424</v>
      </c>
      <c r="M151" s="82">
        <f t="shared" si="2"/>
        <v>205.9</v>
      </c>
      <c r="N151" s="27">
        <f t="shared" si="3"/>
        <v>0.002383101852</v>
      </c>
    </row>
    <row r="152">
      <c r="A152" s="77">
        <v>45822.0</v>
      </c>
      <c r="B152" s="4" t="s">
        <v>418</v>
      </c>
      <c r="C152" s="4" t="s">
        <v>419</v>
      </c>
      <c r="D152" s="4" t="s">
        <v>224</v>
      </c>
      <c r="E152" s="4" t="s">
        <v>205</v>
      </c>
      <c r="F152" s="80">
        <f t="shared" si="1"/>
        <v>0.00254474537</v>
      </c>
      <c r="G152" s="4" t="s">
        <v>148</v>
      </c>
      <c r="H152" s="4" t="s">
        <v>231</v>
      </c>
      <c r="I152" s="4" t="s">
        <v>226</v>
      </c>
      <c r="J152" s="81">
        <f>IFERROR(__xludf.DUMMYFUNCTION("FILTER('賽道紀錄'!E:E, '賽道紀錄'!A:A=B152, '賽道紀錄'!B:B=C152)-F152"),-2.955208333333334E-4)</f>
        <v>-0.0002955208333</v>
      </c>
      <c r="K152" s="4"/>
      <c r="L152" s="4" t="s">
        <v>425</v>
      </c>
      <c r="M152" s="82">
        <f t="shared" si="2"/>
        <v>219.866</v>
      </c>
      <c r="N152" s="27">
        <f t="shared" si="3"/>
        <v>0.00254474537</v>
      </c>
    </row>
    <row r="153">
      <c r="A153" s="77">
        <v>45822.0</v>
      </c>
      <c r="B153" s="4" t="s">
        <v>418</v>
      </c>
      <c r="C153" s="4" t="s">
        <v>419</v>
      </c>
      <c r="D153" s="4" t="s">
        <v>224</v>
      </c>
      <c r="E153" s="4" t="s">
        <v>205</v>
      </c>
      <c r="F153" s="80">
        <f t="shared" si="1"/>
        <v>0.002765046296</v>
      </c>
      <c r="G153" s="4" t="s">
        <v>426</v>
      </c>
      <c r="H153" s="4" t="s">
        <v>231</v>
      </c>
      <c r="I153" s="4" t="s">
        <v>226</v>
      </c>
      <c r="J153" s="81">
        <f>IFERROR(__xludf.DUMMYFUNCTION("FILTER('賽道紀錄'!E:E, '賽道紀錄'!A:A=B153, '賽道紀錄'!B:B=C153)-F153"),-5.158217592592593E-4)</f>
        <v>-0.0005158217593</v>
      </c>
      <c r="K153" s="4"/>
      <c r="L153" s="4" t="s">
        <v>427</v>
      </c>
      <c r="M153" s="82">
        <f t="shared" si="2"/>
        <v>238.9</v>
      </c>
      <c r="N153" s="27">
        <f t="shared" si="3"/>
        <v>0.002765046296</v>
      </c>
    </row>
    <row r="154">
      <c r="A154" s="77">
        <v>45818.0</v>
      </c>
      <c r="B154" s="4" t="s">
        <v>418</v>
      </c>
      <c r="C154" s="4" t="s">
        <v>421</v>
      </c>
      <c r="D154" s="4" t="s">
        <v>224</v>
      </c>
      <c r="E154" s="4" t="s">
        <v>205</v>
      </c>
      <c r="F154" s="80">
        <f t="shared" si="1"/>
        <v>0.002055555556</v>
      </c>
      <c r="G154" s="4" t="s">
        <v>196</v>
      </c>
      <c r="H154" s="4" t="s">
        <v>231</v>
      </c>
      <c r="I154" s="4" t="s">
        <v>226</v>
      </c>
      <c r="J154" s="81">
        <f>IFERROR(__xludf.DUMMYFUNCTION("FILTER('賽道紀錄'!E:E, '賽道紀錄'!A:A=B154, '賽道紀錄'!B:B=C154)-F154"),-2.6195601851851857E-4)</f>
        <v>-0.0002619560185</v>
      </c>
      <c r="K154" s="4"/>
      <c r="L154" s="4" t="s">
        <v>428</v>
      </c>
      <c r="M154" s="82">
        <f t="shared" si="2"/>
        <v>177.6</v>
      </c>
      <c r="N154" s="27">
        <f t="shared" si="3"/>
        <v>0.002055555556</v>
      </c>
    </row>
    <row r="155">
      <c r="A155" s="77">
        <v>45818.0</v>
      </c>
      <c r="B155" s="4" t="s">
        <v>418</v>
      </c>
      <c r="C155" s="4" t="s">
        <v>429</v>
      </c>
      <c r="D155" s="4" t="s">
        <v>224</v>
      </c>
      <c r="E155" s="4" t="s">
        <v>205</v>
      </c>
      <c r="F155" s="80">
        <f t="shared" si="1"/>
        <v>0.002137858796</v>
      </c>
      <c r="G155" s="4" t="s">
        <v>194</v>
      </c>
      <c r="H155" s="4" t="s">
        <v>231</v>
      </c>
      <c r="I155" s="4" t="s">
        <v>226</v>
      </c>
      <c r="J155" s="81">
        <f>IFERROR(__xludf.DUMMYFUNCTION("FILTER('賽道紀錄'!E:E, '賽道紀錄'!A:A=B155, '賽道紀錄'!B:B=C155)-F155"),0.0)</f>
        <v>0</v>
      </c>
      <c r="K155" s="4"/>
      <c r="L155" s="4" t="s">
        <v>430</v>
      </c>
      <c r="M155" s="82">
        <f t="shared" si="2"/>
        <v>184.711</v>
      </c>
      <c r="N155" s="27">
        <f t="shared" si="3"/>
        <v>0.002137858796</v>
      </c>
    </row>
    <row r="156">
      <c r="A156" s="77">
        <v>45818.0</v>
      </c>
      <c r="B156" s="4" t="s">
        <v>418</v>
      </c>
      <c r="C156" s="4" t="s">
        <v>429</v>
      </c>
      <c r="D156" s="4" t="s">
        <v>224</v>
      </c>
      <c r="E156" s="4" t="s">
        <v>205</v>
      </c>
      <c r="F156" s="80">
        <f t="shared" si="1"/>
        <v>0.002173229167</v>
      </c>
      <c r="G156" s="4" t="s">
        <v>148</v>
      </c>
      <c r="H156" s="4" t="s">
        <v>231</v>
      </c>
      <c r="I156" s="4" t="s">
        <v>226</v>
      </c>
      <c r="J156" s="81">
        <f>IFERROR(__xludf.DUMMYFUNCTION("FILTER('賽道紀錄'!E:E, '賽道紀錄'!A:A=B156, '賽道紀錄'!B:B=C156)-F156"),-3.537037037037007E-5)</f>
        <v>-0.00003537037037</v>
      </c>
      <c r="K156" s="4"/>
      <c r="L156" s="4" t="s">
        <v>431</v>
      </c>
      <c r="M156" s="82">
        <f t="shared" si="2"/>
        <v>187.767</v>
      </c>
      <c r="N156" s="27">
        <f t="shared" si="3"/>
        <v>0.002173229167</v>
      </c>
    </row>
    <row r="157">
      <c r="A157" s="77">
        <v>45818.0</v>
      </c>
      <c r="B157" s="4" t="s">
        <v>418</v>
      </c>
      <c r="C157" s="4" t="s">
        <v>432</v>
      </c>
      <c r="D157" s="4" t="s">
        <v>224</v>
      </c>
      <c r="E157" s="4" t="s">
        <v>205</v>
      </c>
      <c r="F157" s="80">
        <f t="shared" si="1"/>
        <v>0.002911076389</v>
      </c>
      <c r="G157" s="4" t="s">
        <v>148</v>
      </c>
      <c r="H157" s="4" t="s">
        <v>231</v>
      </c>
      <c r="I157" s="4" t="s">
        <v>226</v>
      </c>
      <c r="J157" s="81">
        <f>IFERROR(__xludf.DUMMYFUNCTION("FILTER('賽道紀錄'!E:E, '賽道紀錄'!A:A=B157, '賽道紀錄'!B:B=C157)-F157"),0.0)</f>
        <v>0</v>
      </c>
      <c r="K157" s="4"/>
      <c r="L157" s="4" t="s">
        <v>433</v>
      </c>
      <c r="M157" s="82">
        <f t="shared" si="2"/>
        <v>251.517</v>
      </c>
      <c r="N157" s="27">
        <f t="shared" si="3"/>
        <v>0.002911076389</v>
      </c>
    </row>
    <row r="158">
      <c r="A158" s="84">
        <v>45810.0</v>
      </c>
      <c r="B158" s="4" t="s">
        <v>418</v>
      </c>
      <c r="C158" s="4" t="s">
        <v>419</v>
      </c>
      <c r="D158" s="4" t="s">
        <v>224</v>
      </c>
      <c r="E158" s="4" t="s">
        <v>205</v>
      </c>
      <c r="F158" s="80">
        <f t="shared" si="1"/>
        <v>0.002643518519</v>
      </c>
      <c r="G158" s="4" t="s">
        <v>123</v>
      </c>
      <c r="H158" s="4" t="s">
        <v>231</v>
      </c>
      <c r="I158" s="4" t="s">
        <v>226</v>
      </c>
      <c r="J158" s="81">
        <f>IFERROR(__xludf.DUMMYFUNCTION("FILTER('賽道紀錄'!E:E, '賽道紀錄'!A:A=B158, '賽道紀錄'!B:B=C158)-F158"),-3.942939814814816E-4)</f>
        <v>-0.0003942939815</v>
      </c>
      <c r="K158" s="4"/>
      <c r="L158" s="4" t="s">
        <v>434</v>
      </c>
      <c r="M158" s="82">
        <f t="shared" si="2"/>
        <v>228.4</v>
      </c>
      <c r="N158" s="27">
        <f t="shared" si="3"/>
        <v>0.002643518519</v>
      </c>
    </row>
    <row r="159">
      <c r="A159" s="77">
        <v>45807.0</v>
      </c>
      <c r="B159" s="4" t="s">
        <v>435</v>
      </c>
      <c r="C159" s="4" t="s">
        <v>223</v>
      </c>
      <c r="D159" s="4" t="s">
        <v>224</v>
      </c>
      <c r="E159" s="4" t="s">
        <v>205</v>
      </c>
      <c r="F159" s="80">
        <f t="shared" si="1"/>
        <v>0.003009259259</v>
      </c>
      <c r="G159" s="4" t="s">
        <v>317</v>
      </c>
      <c r="H159" s="4" t="s">
        <v>231</v>
      </c>
      <c r="I159" s="4" t="s">
        <v>226</v>
      </c>
      <c r="J159" s="81">
        <f>IFERROR(__xludf.DUMMYFUNCTION("FILTER('賽道紀錄'!E:E, '賽道紀錄'!A:A=B159, '賽道紀錄'!B:B=C159)-F159"),-5.520833333333328E-4)</f>
        <v>-0.0005520833333</v>
      </c>
      <c r="K159" s="4"/>
      <c r="L159" s="4" t="s">
        <v>436</v>
      </c>
      <c r="M159" s="82">
        <f t="shared" si="2"/>
        <v>260</v>
      </c>
      <c r="N159" s="27">
        <f t="shared" si="3"/>
        <v>0.003009259259</v>
      </c>
    </row>
    <row r="160">
      <c r="A160" s="77">
        <v>45807.0</v>
      </c>
      <c r="B160" s="4" t="s">
        <v>435</v>
      </c>
      <c r="C160" s="4" t="s">
        <v>223</v>
      </c>
      <c r="D160" s="4" t="s">
        <v>224</v>
      </c>
      <c r="E160" s="4" t="s">
        <v>206</v>
      </c>
      <c r="F160" s="80">
        <f t="shared" si="1"/>
        <v>0.003416087963</v>
      </c>
      <c r="G160" s="4" t="s">
        <v>317</v>
      </c>
      <c r="H160" s="4" t="s">
        <v>231</v>
      </c>
      <c r="I160" s="4" t="s">
        <v>226</v>
      </c>
      <c r="J160" s="81">
        <f>IFERROR(__xludf.DUMMYFUNCTION("FILTER('賽道紀錄'!E:E, '賽道紀錄'!A:A=B160, '賽道紀錄'!B:B=C160)-F160"),-9.589120370370368E-4)</f>
        <v>-0.000958912037</v>
      </c>
      <c r="K160" s="4"/>
      <c r="L160" s="4" t="s">
        <v>437</v>
      </c>
      <c r="M160" s="82">
        <f t="shared" si="2"/>
        <v>295.15</v>
      </c>
      <c r="N160" s="27">
        <f t="shared" si="3"/>
        <v>0.003416087963</v>
      </c>
    </row>
    <row r="161">
      <c r="A161" s="77">
        <v>45814.0</v>
      </c>
      <c r="B161" s="4" t="s">
        <v>438</v>
      </c>
      <c r="C161" s="4" t="s">
        <v>223</v>
      </c>
      <c r="D161" s="4" t="s">
        <v>224</v>
      </c>
      <c r="E161" s="4" t="s">
        <v>205</v>
      </c>
      <c r="F161" s="80">
        <f t="shared" si="1"/>
        <v>0.001505787037</v>
      </c>
      <c r="G161" s="4" t="s">
        <v>149</v>
      </c>
      <c r="H161" s="4" t="s">
        <v>231</v>
      </c>
      <c r="I161" s="4" t="s">
        <v>226</v>
      </c>
      <c r="J161" s="81">
        <f>IFERROR(__xludf.DUMMYFUNCTION("FILTER('賽道紀錄'!E:E, '賽道紀錄'!A:A=B161, '賽道紀錄'!B:B=C161)-F161"),0.0)</f>
        <v>0</v>
      </c>
      <c r="K161" s="4"/>
      <c r="L161" s="4" t="s">
        <v>439</v>
      </c>
      <c r="M161" s="82">
        <f t="shared" si="2"/>
        <v>130.1</v>
      </c>
      <c r="N161" s="27">
        <f t="shared" si="3"/>
        <v>0.001505787037</v>
      </c>
    </row>
    <row r="162">
      <c r="A162" s="77">
        <v>45814.0</v>
      </c>
      <c r="B162" s="4" t="s">
        <v>438</v>
      </c>
      <c r="C162" s="4" t="s">
        <v>242</v>
      </c>
      <c r="D162" s="4" t="s">
        <v>224</v>
      </c>
      <c r="E162" s="4" t="s">
        <v>205</v>
      </c>
      <c r="F162" s="80">
        <f t="shared" si="1"/>
        <v>0.001754247685</v>
      </c>
      <c r="G162" s="4" t="s">
        <v>149</v>
      </c>
      <c r="H162" s="4" t="s">
        <v>231</v>
      </c>
      <c r="I162" s="4" t="s">
        <v>226</v>
      </c>
      <c r="J162" s="81">
        <f>IFERROR(__xludf.DUMMYFUNCTION("FILTER('賽道紀錄'!E:E, '賽道紀錄'!A:A=B162, '賽道紀錄'!B:B=C162)-F162"),0.0)</f>
        <v>0</v>
      </c>
      <c r="K162" s="4"/>
      <c r="L162" s="4" t="s">
        <v>440</v>
      </c>
      <c r="M162" s="82">
        <f t="shared" si="2"/>
        <v>151.567</v>
      </c>
      <c r="N162" s="27">
        <f t="shared" si="3"/>
        <v>0.001754247685</v>
      </c>
    </row>
    <row r="163">
      <c r="A163" s="77">
        <v>45814.0</v>
      </c>
      <c r="B163" s="4" t="s">
        <v>438</v>
      </c>
      <c r="C163" s="4" t="s">
        <v>441</v>
      </c>
      <c r="D163" s="4" t="s">
        <v>224</v>
      </c>
      <c r="E163" s="4" t="s">
        <v>205</v>
      </c>
      <c r="F163" s="80">
        <f t="shared" si="1"/>
        <v>0.00256693287</v>
      </c>
      <c r="G163" s="4" t="s">
        <v>149</v>
      </c>
      <c r="H163" s="4" t="s">
        <v>231</v>
      </c>
      <c r="I163" s="4" t="s">
        <v>226</v>
      </c>
      <c r="J163" s="81">
        <f>IFERROR(__xludf.DUMMYFUNCTION("FILTER('賽道紀錄'!E:E, '賽道紀錄'!A:A=B163, '賽道紀錄'!B:B=C163)-F163"),0.0)</f>
        <v>0</v>
      </c>
      <c r="K163" s="4"/>
      <c r="L163" s="4" t="s">
        <v>442</v>
      </c>
      <c r="M163" s="82">
        <f t="shared" si="2"/>
        <v>221.783</v>
      </c>
      <c r="N163" s="27">
        <f t="shared" si="3"/>
        <v>0.00256693287</v>
      </c>
    </row>
    <row r="164">
      <c r="A164" s="77">
        <v>45814.0</v>
      </c>
      <c r="B164" s="4" t="s">
        <v>438</v>
      </c>
      <c r="C164" s="4" t="s">
        <v>443</v>
      </c>
      <c r="D164" s="4" t="s">
        <v>224</v>
      </c>
      <c r="E164" s="4" t="s">
        <v>205</v>
      </c>
      <c r="F164" s="80">
        <f t="shared" si="1"/>
        <v>0.002718935185</v>
      </c>
      <c r="G164" s="4" t="s">
        <v>149</v>
      </c>
      <c r="H164" s="4" t="s">
        <v>231</v>
      </c>
      <c r="I164" s="4" t="s">
        <v>226</v>
      </c>
      <c r="J164" s="81">
        <f>IFERROR(__xludf.DUMMYFUNCTION("FILTER('賽道紀錄'!E:E, '賽道紀錄'!A:A=B164, '賽道紀錄'!B:B=C164)-F164"),0.0)</f>
        <v>0</v>
      </c>
      <c r="K164" s="4"/>
      <c r="L164" s="4" t="s">
        <v>444</v>
      </c>
      <c r="M164" s="82">
        <f t="shared" si="2"/>
        <v>234.916</v>
      </c>
      <c r="N164" s="27">
        <f t="shared" si="3"/>
        <v>0.002718935185</v>
      </c>
    </row>
    <row r="165">
      <c r="A165" s="84">
        <v>45824.0</v>
      </c>
      <c r="B165" s="70" t="s">
        <v>445</v>
      </c>
      <c r="C165" s="83" t="s">
        <v>446</v>
      </c>
      <c r="D165" s="83" t="s">
        <v>224</v>
      </c>
      <c r="E165" s="4" t="s">
        <v>209</v>
      </c>
      <c r="F165" s="80">
        <f t="shared" si="1"/>
        <v>0.002404456019</v>
      </c>
      <c r="G165" s="70" t="s">
        <v>123</v>
      </c>
      <c r="H165" s="83" t="s">
        <v>225</v>
      </c>
      <c r="I165" s="87" t="s">
        <v>226</v>
      </c>
      <c r="J165" s="81">
        <f>IFERROR(__xludf.DUMMYFUNCTION("FILTER('賽道紀錄'!E:E, '賽道紀錄'!A:A=B165, '賽道紀錄'!B:B=C165)-F165"),-2.4062500000000212E-5)</f>
        <v>-0.0000240625</v>
      </c>
      <c r="K165" s="70"/>
      <c r="L165" s="70" t="s">
        <v>447</v>
      </c>
      <c r="M165" s="82">
        <f t="shared" si="2"/>
        <v>207.745</v>
      </c>
      <c r="N165" s="27">
        <f t="shared" si="3"/>
        <v>0.002404456019</v>
      </c>
    </row>
    <row r="166">
      <c r="A166" s="84">
        <v>45824.0</v>
      </c>
      <c r="B166" s="70" t="s">
        <v>445</v>
      </c>
      <c r="C166" s="83" t="s">
        <v>446</v>
      </c>
      <c r="D166" s="83" t="s">
        <v>224</v>
      </c>
      <c r="E166" s="4" t="s">
        <v>208</v>
      </c>
      <c r="F166" s="80">
        <f t="shared" si="1"/>
        <v>0.002590023148</v>
      </c>
      <c r="G166" s="70" t="s">
        <v>197</v>
      </c>
      <c r="H166" s="83" t="s">
        <v>225</v>
      </c>
      <c r="I166" s="4" t="s">
        <v>226</v>
      </c>
      <c r="J166" s="81">
        <f>IFERROR(__xludf.DUMMYFUNCTION("FILTER('賽道紀錄'!E:E, '賽道紀錄'!A:A=B166, '賽道紀錄'!B:B=C166)-F166"),-2.0962962962962992E-4)</f>
        <v>-0.0002096296296</v>
      </c>
      <c r="K166" s="4"/>
      <c r="L166" s="4" t="s">
        <v>448</v>
      </c>
      <c r="M166" s="82">
        <f t="shared" si="2"/>
        <v>223.778</v>
      </c>
      <c r="N166" s="27">
        <f t="shared" si="3"/>
        <v>0.002590023148</v>
      </c>
    </row>
    <row r="167">
      <c r="A167" s="84">
        <v>45824.0</v>
      </c>
      <c r="B167" s="70" t="s">
        <v>445</v>
      </c>
      <c r="C167" s="83" t="s">
        <v>446</v>
      </c>
      <c r="D167" s="83" t="s">
        <v>224</v>
      </c>
      <c r="E167" s="4" t="s">
        <v>206</v>
      </c>
      <c r="F167" s="80">
        <f t="shared" si="1"/>
        <v>0.002672650463</v>
      </c>
      <c r="G167" s="70" t="s">
        <v>178</v>
      </c>
      <c r="H167" s="70" t="s">
        <v>231</v>
      </c>
      <c r="I167" s="4" t="s">
        <v>226</v>
      </c>
      <c r="J167" s="81">
        <f>IFERROR(__xludf.DUMMYFUNCTION("FILTER('賽道紀錄'!E:E, '賽道紀錄'!A:A=B167, '賽道紀錄'!B:B=C167)-F167"),-2.922569444444448E-4)</f>
        <v>-0.0002922569444</v>
      </c>
      <c r="K167" s="4"/>
      <c r="L167" s="4" t="s">
        <v>449</v>
      </c>
      <c r="M167" s="82">
        <f t="shared" si="2"/>
        <v>230.917</v>
      </c>
      <c r="N167" s="27">
        <f t="shared" si="3"/>
        <v>0.002672650463</v>
      </c>
    </row>
    <row r="168">
      <c r="A168" s="84">
        <v>45824.0</v>
      </c>
      <c r="B168" s="70" t="s">
        <v>445</v>
      </c>
      <c r="C168" s="83" t="s">
        <v>446</v>
      </c>
      <c r="D168" s="83" t="s">
        <v>224</v>
      </c>
      <c r="E168" s="4" t="s">
        <v>205</v>
      </c>
      <c r="F168" s="80">
        <f t="shared" si="1"/>
        <v>0.002809027778</v>
      </c>
      <c r="G168" s="70" t="s">
        <v>145</v>
      </c>
      <c r="H168" s="70" t="s">
        <v>231</v>
      </c>
      <c r="I168" s="87" t="s">
        <v>226</v>
      </c>
      <c r="J168" s="81">
        <f>IFERROR(__xludf.DUMMYFUNCTION("FILTER('賽道紀錄'!E:E, '賽道紀錄'!A:A=B168, '賽道紀錄'!B:B=C168)-F168"),-4.286342592592597E-4)</f>
        <v>-0.0004286342593</v>
      </c>
      <c r="K168" s="70"/>
      <c r="L168" s="70" t="s">
        <v>450</v>
      </c>
      <c r="M168" s="82">
        <f t="shared" si="2"/>
        <v>242.7</v>
      </c>
      <c r="N168" s="27">
        <f t="shared" si="3"/>
        <v>0.002809027778</v>
      </c>
    </row>
    <row r="169">
      <c r="A169" s="77">
        <v>45823.0</v>
      </c>
      <c r="B169" s="4" t="s">
        <v>445</v>
      </c>
      <c r="C169" s="4" t="s">
        <v>446</v>
      </c>
      <c r="D169" s="4" t="s">
        <v>224</v>
      </c>
      <c r="E169" s="4" t="s">
        <v>209</v>
      </c>
      <c r="F169" s="80">
        <f t="shared" si="1"/>
        <v>0.002411134259</v>
      </c>
      <c r="G169" s="4" t="s">
        <v>123</v>
      </c>
      <c r="H169" s="4" t="s">
        <v>225</v>
      </c>
      <c r="I169" s="4" t="s">
        <v>226</v>
      </c>
      <c r="J169" s="81">
        <f>IFERROR(__xludf.DUMMYFUNCTION("FILTER('賽道紀錄'!E:E, '賽道紀錄'!A:A=B169, '賽道紀錄'!B:B=C169)-F169"),-3.07407407407409E-5)</f>
        <v>-0.00003074074074</v>
      </c>
      <c r="K169" s="4"/>
      <c r="L169" s="4" t="s">
        <v>451</v>
      </c>
      <c r="M169" s="82">
        <f t="shared" si="2"/>
        <v>208.322</v>
      </c>
      <c r="N169" s="27">
        <f t="shared" si="3"/>
        <v>0.002411134259</v>
      </c>
    </row>
    <row r="170">
      <c r="A170" s="77">
        <v>45823.0</v>
      </c>
      <c r="B170" s="4" t="s">
        <v>445</v>
      </c>
      <c r="C170" s="4" t="s">
        <v>446</v>
      </c>
      <c r="D170" s="4" t="s">
        <v>224</v>
      </c>
      <c r="E170" s="4" t="s">
        <v>208</v>
      </c>
      <c r="F170" s="80">
        <f t="shared" si="1"/>
        <v>0.002527164352</v>
      </c>
      <c r="G170" s="4" t="s">
        <v>197</v>
      </c>
      <c r="H170" s="4" t="s">
        <v>225</v>
      </c>
      <c r="I170" s="4" t="s">
        <v>226</v>
      </c>
      <c r="J170" s="81">
        <f>IFERROR(__xludf.DUMMYFUNCTION("FILTER('賽道紀錄'!E:E, '賽道紀錄'!A:A=B170, '賽道紀錄'!B:B=C170)-F170"),-1.4677083333333382E-4)</f>
        <v>-0.0001467708333</v>
      </c>
      <c r="K170" s="4"/>
      <c r="L170" s="4" t="s">
        <v>452</v>
      </c>
      <c r="M170" s="82">
        <f t="shared" si="2"/>
        <v>218.347</v>
      </c>
      <c r="N170" s="27">
        <f t="shared" si="3"/>
        <v>0.002527164352</v>
      </c>
    </row>
    <row r="171">
      <c r="A171" s="77">
        <v>45823.0</v>
      </c>
      <c r="B171" s="4" t="s">
        <v>445</v>
      </c>
      <c r="C171" s="4" t="s">
        <v>446</v>
      </c>
      <c r="D171" s="4" t="s">
        <v>224</v>
      </c>
      <c r="E171" s="4" t="s">
        <v>453</v>
      </c>
      <c r="F171" s="80">
        <f t="shared" si="1"/>
        <v>0.002570266204</v>
      </c>
      <c r="G171" s="4" t="s">
        <v>123</v>
      </c>
      <c r="H171" s="4" t="s">
        <v>225</v>
      </c>
      <c r="I171" s="4" t="s">
        <v>226</v>
      </c>
      <c r="J171" s="81">
        <f>IFERROR(__xludf.DUMMYFUNCTION("FILTER('賽道紀錄'!E:E, '賽道紀錄'!A:A=B171, '賽道紀錄'!B:B=C171)-F171"),-1.8987268518518528E-4)</f>
        <v>-0.0001898726852</v>
      </c>
      <c r="K171" s="4"/>
      <c r="L171" s="4" t="s">
        <v>454</v>
      </c>
      <c r="M171" s="82">
        <f t="shared" si="2"/>
        <v>222.071</v>
      </c>
      <c r="N171" s="27">
        <f t="shared" si="3"/>
        <v>0.002570266204</v>
      </c>
    </row>
    <row r="172">
      <c r="A172" s="77">
        <v>45823.0</v>
      </c>
      <c r="B172" s="4" t="s">
        <v>445</v>
      </c>
      <c r="C172" s="4" t="s">
        <v>446</v>
      </c>
      <c r="D172" s="4" t="s">
        <v>224</v>
      </c>
      <c r="E172" s="4" t="s">
        <v>207</v>
      </c>
      <c r="F172" s="80">
        <f t="shared" si="1"/>
        <v>0.002604479167</v>
      </c>
      <c r="G172" s="4" t="s">
        <v>455</v>
      </c>
      <c r="H172" s="4" t="s">
        <v>225</v>
      </c>
      <c r="I172" s="4" t="s">
        <v>226</v>
      </c>
      <c r="J172" s="81">
        <f>IFERROR(__xludf.DUMMYFUNCTION("FILTER('賽道紀錄'!E:E, '賽道紀錄'!A:A=B172, '賽道紀錄'!B:B=C172)-F172"),-2.2408564814814817E-4)</f>
        <v>-0.0002240856481</v>
      </c>
      <c r="K172" s="4"/>
      <c r="L172" s="4" t="s">
        <v>456</v>
      </c>
      <c r="M172" s="82">
        <f t="shared" si="2"/>
        <v>225.027</v>
      </c>
      <c r="N172" s="27">
        <f t="shared" si="3"/>
        <v>0.002604479167</v>
      </c>
    </row>
    <row r="173">
      <c r="A173" s="77">
        <v>45823.0</v>
      </c>
      <c r="B173" s="4" t="s">
        <v>445</v>
      </c>
      <c r="C173" s="4" t="s">
        <v>446</v>
      </c>
      <c r="D173" s="4" t="s">
        <v>224</v>
      </c>
      <c r="E173" s="4" t="s">
        <v>206</v>
      </c>
      <c r="F173" s="80">
        <f t="shared" si="1"/>
        <v>0.002646412037</v>
      </c>
      <c r="G173" s="4" t="s">
        <v>169</v>
      </c>
      <c r="H173" s="4" t="s">
        <v>231</v>
      </c>
      <c r="I173" s="4" t="s">
        <v>226</v>
      </c>
      <c r="J173" s="81">
        <f>IFERROR(__xludf.DUMMYFUNCTION("FILTER('賽道紀錄'!E:E, '賽道紀錄'!A:A=B173, '賽道紀錄'!B:B=C173)-F173"),-2.6601851851851873E-4)</f>
        <v>-0.0002660185185</v>
      </c>
      <c r="K173" s="4"/>
      <c r="L173" s="4" t="s">
        <v>457</v>
      </c>
      <c r="M173" s="82">
        <f t="shared" si="2"/>
        <v>228.65</v>
      </c>
      <c r="N173" s="27">
        <f t="shared" si="3"/>
        <v>0.002646412037</v>
      </c>
    </row>
    <row r="174">
      <c r="A174" s="77">
        <v>45823.0</v>
      </c>
      <c r="B174" s="4" t="s">
        <v>445</v>
      </c>
      <c r="C174" s="4" t="s">
        <v>446</v>
      </c>
      <c r="D174" s="4" t="s">
        <v>224</v>
      </c>
      <c r="E174" s="4" t="s">
        <v>205</v>
      </c>
      <c r="F174" s="80">
        <f t="shared" si="1"/>
        <v>0.002691168981</v>
      </c>
      <c r="G174" s="4" t="s">
        <v>123</v>
      </c>
      <c r="H174" s="4" t="s">
        <v>231</v>
      </c>
      <c r="I174" s="4" t="s">
        <v>226</v>
      </c>
      <c r="J174" s="81">
        <f>IFERROR(__xludf.DUMMYFUNCTION("FILTER('賽道紀錄'!E:E, '賽道紀錄'!A:A=B174, '賽道紀錄'!B:B=C174)-F174"),-3.107754629629632E-4)</f>
        <v>-0.000310775463</v>
      </c>
      <c r="K174" s="4"/>
      <c r="L174" s="4" t="s">
        <v>458</v>
      </c>
      <c r="M174" s="82">
        <f t="shared" si="2"/>
        <v>232.517</v>
      </c>
      <c r="N174" s="27">
        <f t="shared" si="3"/>
        <v>0.002691168981</v>
      </c>
    </row>
    <row r="175">
      <c r="A175" s="77">
        <v>45817.0</v>
      </c>
      <c r="B175" s="4" t="s">
        <v>445</v>
      </c>
      <c r="C175" s="4" t="s">
        <v>223</v>
      </c>
      <c r="D175" s="4" t="s">
        <v>224</v>
      </c>
      <c r="E175" s="4" t="s">
        <v>205</v>
      </c>
      <c r="F175" s="80">
        <f t="shared" si="1"/>
        <v>0.001339502315</v>
      </c>
      <c r="G175" s="4" t="s">
        <v>123</v>
      </c>
      <c r="H175" s="4" t="s">
        <v>231</v>
      </c>
      <c r="I175" s="4" t="s">
        <v>226</v>
      </c>
      <c r="J175" s="81">
        <f>IFERROR(__xludf.DUMMYFUNCTION("FILTER('賽道紀錄'!E:E, '賽道紀錄'!A:A=B175, '賽道紀錄'!B:B=C175)-F175"),-2.0862268518518517E-4)</f>
        <v>-0.0002086226852</v>
      </c>
      <c r="K175" s="4"/>
      <c r="L175" s="4" t="s">
        <v>459</v>
      </c>
      <c r="M175" s="82">
        <f t="shared" si="2"/>
        <v>115.733</v>
      </c>
      <c r="N175" s="27">
        <f t="shared" si="3"/>
        <v>0.001339502315</v>
      </c>
    </row>
    <row r="176">
      <c r="A176" s="77">
        <v>45817.0</v>
      </c>
      <c r="B176" s="4" t="s">
        <v>445</v>
      </c>
      <c r="C176" s="4" t="s">
        <v>242</v>
      </c>
      <c r="D176" s="4" t="s">
        <v>224</v>
      </c>
      <c r="E176" s="4" t="s">
        <v>205</v>
      </c>
      <c r="F176" s="80">
        <f t="shared" si="1"/>
        <v>0.001409918981</v>
      </c>
      <c r="G176" s="4" t="s">
        <v>123</v>
      </c>
      <c r="H176" s="4" t="s">
        <v>231</v>
      </c>
      <c r="I176" s="4" t="s">
        <v>226</v>
      </c>
      <c r="J176" s="81">
        <f>IFERROR(__xludf.DUMMYFUNCTION("FILTER('賽道紀錄'!E:E, '賽道紀錄'!A:A=B176, '賽道紀錄'!B:B=C176)-F176"),-1.9386574074074076E-4)</f>
        <v>-0.0001938657407</v>
      </c>
      <c r="K176" s="4"/>
      <c r="L176" s="4" t="s">
        <v>460</v>
      </c>
      <c r="M176" s="82">
        <f t="shared" si="2"/>
        <v>121.817</v>
      </c>
      <c r="N176" s="27">
        <f t="shared" si="3"/>
        <v>0.001409918981</v>
      </c>
    </row>
    <row r="177">
      <c r="A177" s="77">
        <v>45817.0</v>
      </c>
      <c r="B177" s="4" t="s">
        <v>445</v>
      </c>
      <c r="C177" s="4" t="s">
        <v>441</v>
      </c>
      <c r="D177" s="4" t="s">
        <v>224</v>
      </c>
      <c r="E177" s="4" t="s">
        <v>205</v>
      </c>
      <c r="F177" s="80">
        <f t="shared" si="1"/>
        <v>0.002692326389</v>
      </c>
      <c r="G177" s="4" t="s">
        <v>123</v>
      </c>
      <c r="H177" s="4" t="s">
        <v>231</v>
      </c>
      <c r="I177" s="4" t="s">
        <v>226</v>
      </c>
      <c r="J177" s="81">
        <f>IFERROR(__xludf.DUMMYFUNCTION("FILTER('賽道紀錄'!E:E, '賽道紀錄'!A:A=B177, '賽道紀錄'!B:B=C177)-F177"),-1.58958333333333E-4)</f>
        <v>-0.0001589583333</v>
      </c>
      <c r="K177" s="4"/>
      <c r="L177" s="4" t="s">
        <v>461</v>
      </c>
      <c r="M177" s="82">
        <f t="shared" si="2"/>
        <v>232.617</v>
      </c>
      <c r="N177" s="27">
        <f t="shared" si="3"/>
        <v>0.002692326389</v>
      </c>
    </row>
    <row r="178">
      <c r="A178" s="77">
        <v>45817.0</v>
      </c>
      <c r="B178" s="4" t="s">
        <v>445</v>
      </c>
      <c r="C178" s="4" t="s">
        <v>443</v>
      </c>
      <c r="D178" s="4" t="s">
        <v>224</v>
      </c>
      <c r="E178" s="4" t="s">
        <v>205</v>
      </c>
      <c r="F178" s="80">
        <f t="shared" si="1"/>
        <v>0.002872881944</v>
      </c>
      <c r="G178" s="4" t="s">
        <v>123</v>
      </c>
      <c r="H178" s="4" t="s">
        <v>231</v>
      </c>
      <c r="I178" s="4" t="s">
        <v>226</v>
      </c>
      <c r="J178" s="81">
        <f>IFERROR(__xludf.DUMMYFUNCTION("FILTER('賽道紀錄'!E:E, '賽道紀錄'!A:A=B178, '賽道紀錄'!B:B=C178)-F178"),-5.611226851851858E-4)</f>
        <v>-0.0005611226852</v>
      </c>
      <c r="K178" s="4"/>
      <c r="L178" s="4" t="s">
        <v>462</v>
      </c>
      <c r="M178" s="82">
        <f t="shared" si="2"/>
        <v>248.217</v>
      </c>
      <c r="N178" s="27">
        <f t="shared" si="3"/>
        <v>0.002872881944</v>
      </c>
    </row>
    <row r="179">
      <c r="A179" s="77">
        <v>45817.0</v>
      </c>
      <c r="B179" s="4" t="s">
        <v>463</v>
      </c>
      <c r="C179" s="4" t="s">
        <v>441</v>
      </c>
      <c r="D179" s="4" t="s">
        <v>224</v>
      </c>
      <c r="E179" s="4" t="s">
        <v>206</v>
      </c>
      <c r="F179" s="80">
        <f t="shared" si="1"/>
        <v>0.002798414352</v>
      </c>
      <c r="G179" s="4" t="s">
        <v>145</v>
      </c>
      <c r="H179" s="4" t="s">
        <v>231</v>
      </c>
      <c r="I179" s="4" t="s">
        <v>226</v>
      </c>
      <c r="J179" s="81">
        <f>IFERROR(__xludf.DUMMYFUNCTION("FILTER('賽道紀錄'!E:E, '賽道紀錄'!A:A=B179, '賽道紀錄'!B:B=C179)-F179"),0.0)</f>
        <v>0</v>
      </c>
      <c r="K179" s="4"/>
      <c r="L179" s="4" t="s">
        <v>464</v>
      </c>
      <c r="M179" s="82">
        <f t="shared" si="2"/>
        <v>241.783</v>
      </c>
      <c r="N179" s="27">
        <f t="shared" si="3"/>
        <v>0.002798414352</v>
      </c>
    </row>
    <row r="180">
      <c r="A180" s="77">
        <v>45817.0</v>
      </c>
      <c r="B180" s="4" t="s">
        <v>463</v>
      </c>
      <c r="C180" s="4" t="s">
        <v>443</v>
      </c>
      <c r="D180" s="4" t="s">
        <v>224</v>
      </c>
      <c r="E180" s="4" t="s">
        <v>206</v>
      </c>
      <c r="F180" s="80">
        <f t="shared" si="1"/>
        <v>0.002837997685</v>
      </c>
      <c r="G180" s="4" t="s">
        <v>145</v>
      </c>
      <c r="H180" s="4" t="s">
        <v>231</v>
      </c>
      <c r="I180" s="4" t="s">
        <v>226</v>
      </c>
      <c r="J180" s="81">
        <f>IFERROR(__xludf.DUMMYFUNCTION("FILTER('賽道紀錄'!E:E, '賽道紀錄'!A:A=B180, '賽道紀錄'!B:B=C180)-F180"),0.0)</f>
        <v>0</v>
      </c>
      <c r="K180" s="4"/>
      <c r="L180" s="4" t="s">
        <v>465</v>
      </c>
      <c r="M180" s="82">
        <f t="shared" si="2"/>
        <v>245.203</v>
      </c>
      <c r="N180" s="27">
        <f t="shared" si="3"/>
        <v>0.002837997685</v>
      </c>
    </row>
    <row r="181">
      <c r="A181" s="77">
        <v>45802.0</v>
      </c>
      <c r="B181" s="4" t="s">
        <v>466</v>
      </c>
      <c r="C181" s="4" t="s">
        <v>381</v>
      </c>
      <c r="D181" s="4" t="s">
        <v>224</v>
      </c>
      <c r="E181" s="4" t="s">
        <v>209</v>
      </c>
      <c r="F181" s="80">
        <f t="shared" si="1"/>
        <v>0.002320474537</v>
      </c>
      <c r="G181" s="4" t="s">
        <v>168</v>
      </c>
      <c r="H181" s="4" t="s">
        <v>225</v>
      </c>
      <c r="I181" s="4" t="s">
        <v>226</v>
      </c>
      <c r="J181" s="81">
        <f>IFERROR(__xludf.DUMMYFUNCTION("FILTER('賽道紀錄'!E:E, '賽道紀錄'!A:A=B181, '賽道紀錄'!B:B=C181)-F181"),-1.0379629629629628E-4)</f>
        <v>-0.0001037962963</v>
      </c>
      <c r="K181" s="4"/>
      <c r="L181" s="4" t="s">
        <v>467</v>
      </c>
      <c r="M181" s="82">
        <f t="shared" si="2"/>
        <v>200.489</v>
      </c>
      <c r="N181" s="27">
        <f t="shared" si="3"/>
        <v>0.002320474537</v>
      </c>
    </row>
    <row r="182">
      <c r="A182" s="77">
        <v>45802.0</v>
      </c>
      <c r="B182" s="4" t="s">
        <v>466</v>
      </c>
      <c r="C182" s="4" t="s">
        <v>381</v>
      </c>
      <c r="D182" s="4" t="s">
        <v>224</v>
      </c>
      <c r="E182" s="4" t="s">
        <v>207</v>
      </c>
      <c r="F182" s="80">
        <f t="shared" si="1"/>
        <v>0.002427928241</v>
      </c>
      <c r="G182" s="4" t="s">
        <v>171</v>
      </c>
      <c r="H182" s="4" t="s">
        <v>225</v>
      </c>
      <c r="I182" s="4" t="s">
        <v>226</v>
      </c>
      <c r="J182" s="81">
        <f>IFERROR(__xludf.DUMMYFUNCTION("FILTER('賽道紀錄'!E:E, '賽道紀錄'!A:A=B182, '賽道紀錄'!B:B=C182)-F182"),-2.1124999999999963E-4)</f>
        <v>-0.00021125</v>
      </c>
      <c r="K182" s="4"/>
      <c r="L182" s="4" t="s">
        <v>468</v>
      </c>
      <c r="M182" s="82">
        <f t="shared" si="2"/>
        <v>209.773</v>
      </c>
      <c r="N182" s="27">
        <f t="shared" si="3"/>
        <v>0.002427928241</v>
      </c>
    </row>
    <row r="183">
      <c r="A183" s="77">
        <v>45802.0</v>
      </c>
      <c r="B183" s="4" t="s">
        <v>466</v>
      </c>
      <c r="C183" s="4" t="s">
        <v>381</v>
      </c>
      <c r="D183" s="4" t="s">
        <v>224</v>
      </c>
      <c r="E183" s="4" t="s">
        <v>229</v>
      </c>
      <c r="F183" s="80">
        <f t="shared" si="1"/>
        <v>0.002513946759</v>
      </c>
      <c r="G183" s="4" t="s">
        <v>124</v>
      </c>
      <c r="H183" s="4" t="s">
        <v>231</v>
      </c>
      <c r="I183" s="4" t="s">
        <v>226</v>
      </c>
      <c r="J183" s="81">
        <f>IFERROR(__xludf.DUMMYFUNCTION("FILTER('賽道紀錄'!E:E, '賽道紀錄'!A:A=B183, '賽道紀錄'!B:B=C183)-F183"),-2.9726851851851876E-4)</f>
        <v>-0.0002972685185</v>
      </c>
      <c r="K183" s="4"/>
      <c r="L183" s="4" t="s">
        <v>469</v>
      </c>
      <c r="M183" s="82">
        <f t="shared" si="2"/>
        <v>217.205</v>
      </c>
      <c r="N183" s="27">
        <f t="shared" si="3"/>
        <v>0.002513946759</v>
      </c>
    </row>
    <row r="184">
      <c r="A184" s="77">
        <v>45802.0</v>
      </c>
      <c r="B184" s="4" t="s">
        <v>466</v>
      </c>
      <c r="C184" s="4" t="s">
        <v>381</v>
      </c>
      <c r="D184" s="4" t="s">
        <v>224</v>
      </c>
      <c r="E184" s="4" t="s">
        <v>205</v>
      </c>
      <c r="F184" s="80">
        <f t="shared" si="1"/>
        <v>0.002602627315</v>
      </c>
      <c r="G184" s="4" t="s">
        <v>158</v>
      </c>
      <c r="H184" s="4" t="s">
        <v>231</v>
      </c>
      <c r="I184" s="4" t="s">
        <v>226</v>
      </c>
      <c r="J184" s="81">
        <f>IFERROR(__xludf.DUMMYFUNCTION("FILTER('賽道紀錄'!E:E, '賽道紀錄'!A:A=B184, '賽道紀錄'!B:B=C184)-F184"),-3.859490740740737E-4)</f>
        <v>-0.0003859490741</v>
      </c>
      <c r="K184" s="4"/>
      <c r="L184" s="4" t="s">
        <v>470</v>
      </c>
      <c r="M184" s="82">
        <f t="shared" si="2"/>
        <v>224.867</v>
      </c>
      <c r="N184" s="27">
        <f t="shared" si="3"/>
        <v>0.002602627315</v>
      </c>
    </row>
    <row r="185">
      <c r="A185" s="77">
        <v>45802.0</v>
      </c>
      <c r="B185" s="4" t="s">
        <v>466</v>
      </c>
      <c r="C185" s="4" t="s">
        <v>381</v>
      </c>
      <c r="D185" s="4" t="s">
        <v>224</v>
      </c>
      <c r="E185" s="4" t="s">
        <v>233</v>
      </c>
      <c r="F185" s="80">
        <f t="shared" si="1"/>
        <v>0.002647326389</v>
      </c>
      <c r="G185" s="4" t="s">
        <v>171</v>
      </c>
      <c r="H185" s="4" t="s">
        <v>231</v>
      </c>
      <c r="I185" s="4" t="s">
        <v>226</v>
      </c>
      <c r="J185" s="81">
        <f>IFERROR(__xludf.DUMMYFUNCTION("FILTER('賽道紀錄'!E:E, '賽道紀錄'!A:A=B185, '賽道紀錄'!B:B=C185)-F185"),-4.306481481481479E-4)</f>
        <v>-0.0004306481481</v>
      </c>
      <c r="K185" s="4"/>
      <c r="L185" s="4" t="s">
        <v>471</v>
      </c>
      <c r="M185" s="82">
        <f t="shared" si="2"/>
        <v>228.729</v>
      </c>
      <c r="N185" s="27">
        <f t="shared" si="3"/>
        <v>0.002647326389</v>
      </c>
    </row>
    <row r="186">
      <c r="A186" s="77">
        <v>45802.0</v>
      </c>
      <c r="B186" s="4" t="s">
        <v>466</v>
      </c>
      <c r="C186" s="4" t="s">
        <v>381</v>
      </c>
      <c r="D186" s="4" t="s">
        <v>224</v>
      </c>
      <c r="E186" s="4" t="s">
        <v>235</v>
      </c>
      <c r="F186" s="80">
        <f t="shared" si="1"/>
        <v>0.002955243056</v>
      </c>
      <c r="G186" s="4" t="s">
        <v>161</v>
      </c>
      <c r="H186" s="4" t="s">
        <v>231</v>
      </c>
      <c r="I186" s="4" t="s">
        <v>226</v>
      </c>
      <c r="J186" s="81">
        <f>IFERROR(__xludf.DUMMYFUNCTION("FILTER('賽道紀錄'!E:E, '賽道紀錄'!A:A=B186, '賽道紀錄'!B:B=C186)-F186"),-7.385648148148143E-4)</f>
        <v>-0.0007385648148</v>
      </c>
      <c r="K186" s="4"/>
      <c r="L186" s="4" t="s">
        <v>472</v>
      </c>
      <c r="M186" s="82">
        <f t="shared" si="2"/>
        <v>255.333</v>
      </c>
      <c r="N186" s="27">
        <f t="shared" si="3"/>
        <v>0.002955243056</v>
      </c>
    </row>
    <row r="187">
      <c r="A187" s="77">
        <v>45821.0</v>
      </c>
      <c r="B187" s="4" t="s">
        <v>473</v>
      </c>
      <c r="C187" s="4" t="s">
        <v>383</v>
      </c>
      <c r="D187" s="4" t="s">
        <v>224</v>
      </c>
      <c r="E187" s="4" t="s">
        <v>205</v>
      </c>
      <c r="F187" s="80">
        <f t="shared" si="1"/>
        <v>0.002538194444</v>
      </c>
      <c r="G187" s="4" t="s">
        <v>159</v>
      </c>
      <c r="H187" s="4" t="s">
        <v>231</v>
      </c>
      <c r="I187" s="4" t="s">
        <v>226</v>
      </c>
      <c r="J187" s="81">
        <f>IFERROR(__xludf.DUMMYFUNCTION("FILTER('賽道紀錄'!E:E, '賽道紀錄'!A:A=B187, '賽道紀錄'!B:B=C187)-F187"),0.0)</f>
        <v>0</v>
      </c>
      <c r="K187" s="4"/>
      <c r="L187" s="4" t="s">
        <v>474</v>
      </c>
      <c r="M187" s="82">
        <f t="shared" si="2"/>
        <v>219.3</v>
      </c>
      <c r="N187" s="27">
        <f t="shared" si="3"/>
        <v>0.002538194444</v>
      </c>
    </row>
    <row r="188">
      <c r="A188" s="77">
        <v>45821.0</v>
      </c>
      <c r="B188" s="4" t="s">
        <v>473</v>
      </c>
      <c r="C188" s="4" t="s">
        <v>381</v>
      </c>
      <c r="D188" s="4" t="s">
        <v>224</v>
      </c>
      <c r="E188" s="4" t="s">
        <v>205</v>
      </c>
      <c r="F188" s="80">
        <f t="shared" si="1"/>
        <v>0.002572719907</v>
      </c>
      <c r="G188" s="4" t="s">
        <v>171</v>
      </c>
      <c r="H188" s="4" t="s">
        <v>231</v>
      </c>
      <c r="I188" s="4" t="s">
        <v>226</v>
      </c>
      <c r="J188" s="81">
        <f>IFERROR(__xludf.DUMMYFUNCTION("FILTER('賽道紀錄'!E:E, '賽道紀錄'!A:A=B188, '賽道紀錄'!B:B=C188)-F188"),-5.401620370370326E-5)</f>
        <v>-0.0000540162037</v>
      </c>
      <c r="K188" s="4"/>
      <c r="L188" s="4" t="s">
        <v>475</v>
      </c>
      <c r="M188" s="82">
        <f t="shared" si="2"/>
        <v>222.283</v>
      </c>
      <c r="N188" s="27">
        <f t="shared" si="3"/>
        <v>0.002572719907</v>
      </c>
    </row>
    <row r="189">
      <c r="A189" s="77">
        <v>45816.0</v>
      </c>
      <c r="B189" s="4" t="s">
        <v>473</v>
      </c>
      <c r="C189" s="4" t="s">
        <v>383</v>
      </c>
      <c r="D189" s="4" t="s">
        <v>224</v>
      </c>
      <c r="E189" s="4" t="s">
        <v>206</v>
      </c>
      <c r="F189" s="80">
        <f t="shared" si="1"/>
        <v>0.002608414352</v>
      </c>
      <c r="G189" s="4" t="s">
        <v>190</v>
      </c>
      <c r="H189" s="4" t="s">
        <v>231</v>
      </c>
      <c r="I189" s="4" t="s">
        <v>226</v>
      </c>
      <c r="J189" s="81">
        <f>IFERROR(__xludf.DUMMYFUNCTION("FILTER('賽道紀錄'!E:E, '賽道紀錄'!A:A=B189, '賽道紀錄'!B:B=C189)-F189"),-7.02199074074073E-5)</f>
        <v>-0.00007021990741</v>
      </c>
      <c r="K189" s="4"/>
      <c r="L189" s="4" t="s">
        <v>476</v>
      </c>
      <c r="M189" s="82">
        <f t="shared" si="2"/>
        <v>225.367</v>
      </c>
      <c r="N189" s="27">
        <f t="shared" si="3"/>
        <v>0.002608414352</v>
      </c>
    </row>
    <row r="190">
      <c r="A190" s="77">
        <v>45816.0</v>
      </c>
      <c r="B190" s="4" t="s">
        <v>473</v>
      </c>
      <c r="C190" s="4" t="s">
        <v>381</v>
      </c>
      <c r="D190" s="4" t="s">
        <v>224</v>
      </c>
      <c r="E190" s="4" t="s">
        <v>206</v>
      </c>
      <c r="F190" s="80">
        <f t="shared" si="1"/>
        <v>0.002636574074</v>
      </c>
      <c r="G190" s="4" t="s">
        <v>190</v>
      </c>
      <c r="H190" s="4" t="s">
        <v>231</v>
      </c>
      <c r="I190" s="4" t="s">
        <v>226</v>
      </c>
      <c r="J190" s="81">
        <f>IFERROR(__xludf.DUMMYFUNCTION("FILTER('賽道紀錄'!E:E, '賽道紀錄'!A:A=B190, '賽道紀錄'!B:B=C190)-F190"),-1.1787037037037018E-4)</f>
        <v>-0.0001178703704</v>
      </c>
      <c r="K190" s="4"/>
      <c r="L190" s="4" t="s">
        <v>477</v>
      </c>
      <c r="M190" s="82">
        <f t="shared" si="2"/>
        <v>227.8</v>
      </c>
      <c r="N190" s="27">
        <f t="shared" si="3"/>
        <v>0.002636574074</v>
      </c>
    </row>
    <row r="191">
      <c r="A191" s="77"/>
      <c r="B191" s="4" t="s">
        <v>237</v>
      </c>
      <c r="C191" s="4" t="s">
        <v>242</v>
      </c>
      <c r="D191" s="4" t="s">
        <v>224</v>
      </c>
      <c r="E191" s="4" t="s">
        <v>275</v>
      </c>
      <c r="F191" s="80">
        <f t="shared" si="1"/>
        <v>0.002718668981</v>
      </c>
      <c r="G191" s="5" t="s">
        <v>176</v>
      </c>
      <c r="H191" s="4" t="s">
        <v>231</v>
      </c>
      <c r="I191" s="4" t="s">
        <v>226</v>
      </c>
      <c r="J191" s="81">
        <f>IFERROR(__xludf.DUMMYFUNCTION("FILTER('賽道紀錄'!E:E, '賽道紀錄'!A:A=B191, '賽道紀錄'!B:B=C191)-F191"),-1.0775462962962952E-4)</f>
        <v>-0.0001077546296</v>
      </c>
      <c r="K191" s="4"/>
      <c r="L191" s="4" t="s">
        <v>478</v>
      </c>
      <c r="M191" s="82">
        <f t="shared" si="2"/>
        <v>234.893</v>
      </c>
      <c r="N191" s="27">
        <f t="shared" si="3"/>
        <v>0.002718668981</v>
      </c>
    </row>
    <row r="192">
      <c r="A192" s="77">
        <v>45832.0</v>
      </c>
      <c r="B192" s="83" t="s">
        <v>237</v>
      </c>
      <c r="C192" s="83" t="s">
        <v>242</v>
      </c>
      <c r="D192" s="83" t="s">
        <v>224</v>
      </c>
      <c r="E192" s="4" t="s">
        <v>205</v>
      </c>
      <c r="F192" s="88">
        <f t="shared" si="1"/>
        <v>0.003138506944</v>
      </c>
      <c r="G192" s="70" t="s">
        <v>175</v>
      </c>
      <c r="H192" s="83" t="s">
        <v>231</v>
      </c>
      <c r="I192" s="83" t="s">
        <v>226</v>
      </c>
      <c r="J192" s="81">
        <f>IFERROR(__xludf.DUMMYFUNCTION("FILTER('賽道紀錄'!E:E, '賽道紀錄'!A:A=B192, '賽道紀錄'!B:B=C192)-F192"),-5.275925925925921E-4)</f>
        <v>-0.0005275925926</v>
      </c>
      <c r="K192" s="70"/>
      <c r="L192" s="70" t="s">
        <v>479</v>
      </c>
      <c r="M192" s="82">
        <f t="shared" si="2"/>
        <v>271.167</v>
      </c>
      <c r="N192" s="27">
        <f t="shared" si="3"/>
        <v>0.003138506944</v>
      </c>
    </row>
    <row r="193">
      <c r="A193" s="77">
        <v>45832.0</v>
      </c>
      <c r="B193" s="83" t="s">
        <v>237</v>
      </c>
      <c r="C193" s="70" t="s">
        <v>223</v>
      </c>
      <c r="D193" s="83" t="s">
        <v>224</v>
      </c>
      <c r="E193" s="4" t="s">
        <v>205</v>
      </c>
      <c r="F193" s="88">
        <f t="shared" si="1"/>
        <v>0.002626736111</v>
      </c>
      <c r="G193" s="70" t="s">
        <v>147</v>
      </c>
      <c r="H193" s="83" t="s">
        <v>231</v>
      </c>
      <c r="I193" s="83" t="s">
        <v>226</v>
      </c>
      <c r="J193" s="81">
        <f>IFERROR(__xludf.DUMMYFUNCTION("FILTER('賽道紀錄'!E:E, '賽道紀錄'!A:A=B193, '賽道紀錄'!B:B=C193)-F193"),-2.3307870370370366E-4)</f>
        <v>-0.0002330787037</v>
      </c>
      <c r="K193" s="70"/>
      <c r="L193" s="70" t="s">
        <v>480</v>
      </c>
      <c r="M193" s="82">
        <f t="shared" si="2"/>
        <v>226.95</v>
      </c>
      <c r="N193" s="27">
        <f t="shared" si="3"/>
        <v>0.002626736111</v>
      </c>
    </row>
    <row r="194">
      <c r="A194" s="77">
        <v>45832.0</v>
      </c>
      <c r="B194" s="83" t="s">
        <v>237</v>
      </c>
      <c r="C194" s="83" t="s">
        <v>242</v>
      </c>
      <c r="D194" s="83" t="s">
        <v>224</v>
      </c>
      <c r="E194" s="4" t="s">
        <v>205</v>
      </c>
      <c r="F194" s="88">
        <f t="shared" si="1"/>
        <v>0.003067326389</v>
      </c>
      <c r="G194" s="5" t="s">
        <v>176</v>
      </c>
      <c r="H194" s="83" t="s">
        <v>231</v>
      </c>
      <c r="I194" s="83" t="s">
        <v>226</v>
      </c>
      <c r="J194" s="81">
        <f>IFERROR(__xludf.DUMMYFUNCTION("FILTER('賽道紀錄'!E:E, '賽道紀錄'!A:A=B194, '賽道紀錄'!B:B=C194)-F194"),-4.5641203703703686E-4)</f>
        <v>-0.000456412037</v>
      </c>
      <c r="K194" s="70"/>
      <c r="L194" s="70" t="s">
        <v>481</v>
      </c>
      <c r="M194" s="82">
        <f t="shared" si="2"/>
        <v>265.017</v>
      </c>
      <c r="N194" s="27">
        <f t="shared" si="3"/>
        <v>0.003067326389</v>
      </c>
    </row>
    <row r="195">
      <c r="A195" s="77">
        <v>45833.0</v>
      </c>
      <c r="B195" s="83" t="s">
        <v>237</v>
      </c>
      <c r="C195" s="70" t="s">
        <v>223</v>
      </c>
      <c r="D195" s="83" t="s">
        <v>224</v>
      </c>
      <c r="E195" s="4" t="s">
        <v>205</v>
      </c>
      <c r="F195" s="88">
        <f t="shared" si="1"/>
        <v>0.002647962963</v>
      </c>
      <c r="G195" s="70" t="s">
        <v>177</v>
      </c>
      <c r="H195" s="83" t="s">
        <v>231</v>
      </c>
      <c r="I195" s="83" t="s">
        <v>226</v>
      </c>
      <c r="J195" s="81">
        <f>IFERROR(__xludf.DUMMYFUNCTION("FILTER('賽道紀錄'!E:E, '賽道紀錄'!A:A=B195, '賽道紀錄'!B:B=C195)-F195"),-2.543055555555558E-4)</f>
        <v>-0.0002543055556</v>
      </c>
      <c r="K195" s="70"/>
      <c r="L195" s="70" t="s">
        <v>482</v>
      </c>
      <c r="M195" s="82">
        <f t="shared" si="2"/>
        <v>228.784</v>
      </c>
      <c r="N195" s="27">
        <f t="shared" si="3"/>
        <v>0.002647962963</v>
      </c>
    </row>
    <row r="196">
      <c r="A196" s="77">
        <v>45833.0</v>
      </c>
      <c r="B196" s="83" t="s">
        <v>237</v>
      </c>
      <c r="C196" s="70" t="s">
        <v>223</v>
      </c>
      <c r="D196" s="83" t="s">
        <v>224</v>
      </c>
      <c r="E196" s="4" t="s">
        <v>245</v>
      </c>
      <c r="F196" s="88">
        <f t="shared" si="1"/>
        <v>0.002586805556</v>
      </c>
      <c r="G196" s="70" t="s">
        <v>148</v>
      </c>
      <c r="H196" s="83" t="s">
        <v>231</v>
      </c>
      <c r="I196" s="83" t="s">
        <v>226</v>
      </c>
      <c r="J196" s="81">
        <f>IFERROR(__xludf.DUMMYFUNCTION("FILTER('賽道紀錄'!E:E, '賽道紀錄'!A:A=B196, '賽道紀錄'!B:B=C196)-F196"),-1.9314814814814802E-4)</f>
        <v>-0.0001931481481</v>
      </c>
      <c r="K196" s="70"/>
      <c r="L196" s="70" t="s">
        <v>483</v>
      </c>
      <c r="M196" s="82">
        <f t="shared" si="2"/>
        <v>223.5</v>
      </c>
      <c r="N196" s="27">
        <f t="shared" si="3"/>
        <v>0.002586805556</v>
      </c>
    </row>
    <row r="197">
      <c r="A197" s="77">
        <v>45833.0</v>
      </c>
      <c r="B197" s="83" t="s">
        <v>237</v>
      </c>
      <c r="C197" s="70" t="s">
        <v>223</v>
      </c>
      <c r="D197" s="83" t="s">
        <v>224</v>
      </c>
      <c r="E197" s="4" t="s">
        <v>229</v>
      </c>
      <c r="F197" s="88">
        <f t="shared" si="1"/>
        <v>0.002916527778</v>
      </c>
      <c r="G197" s="5" t="s">
        <v>176</v>
      </c>
      <c r="H197" s="83" t="s">
        <v>231</v>
      </c>
      <c r="I197" s="83" t="s">
        <v>226</v>
      </c>
      <c r="J197" s="81">
        <f>IFERROR(__xludf.DUMMYFUNCTION("FILTER('賽道紀錄'!E:E, '賽道紀錄'!A:A=B197, '賽道紀錄'!B:B=C197)-F197"),-5.228703703703706E-4)</f>
        <v>-0.0005228703704</v>
      </c>
      <c r="K197" s="70"/>
      <c r="L197" s="70" t="s">
        <v>484</v>
      </c>
      <c r="M197" s="82">
        <f t="shared" si="2"/>
        <v>251.988</v>
      </c>
      <c r="N197" s="27">
        <f t="shared" si="3"/>
        <v>0.002916527778</v>
      </c>
    </row>
    <row r="198">
      <c r="A198" s="77">
        <v>45836.0</v>
      </c>
      <c r="B198" s="4" t="s">
        <v>325</v>
      </c>
      <c r="C198" s="4" t="s">
        <v>223</v>
      </c>
      <c r="D198" s="4" t="s">
        <v>224</v>
      </c>
      <c r="E198" s="4" t="s">
        <v>304</v>
      </c>
      <c r="F198" s="80">
        <f t="shared" si="1"/>
        <v>0.002318460648</v>
      </c>
      <c r="G198" s="4" t="s">
        <v>153</v>
      </c>
      <c r="H198" s="4" t="s">
        <v>231</v>
      </c>
      <c r="I198" s="4" t="s">
        <v>226</v>
      </c>
      <c r="J198" s="81">
        <f>IFERROR(__xludf.DUMMYFUNCTION("FILTER('賽道紀錄'!E:E, '賽道紀錄'!A:A=B198, '賽道紀錄'!B:B=C198)-F198"),-1.4613425925925905E-4)</f>
        <v>-0.0001461342593</v>
      </c>
      <c r="K198" s="4"/>
      <c r="L198" s="4" t="s">
        <v>485</v>
      </c>
      <c r="M198" s="82">
        <f t="shared" si="2"/>
        <v>200.315</v>
      </c>
      <c r="N198" s="27">
        <f t="shared" si="3"/>
        <v>0.002318460648</v>
      </c>
    </row>
    <row r="199">
      <c r="A199" s="77">
        <v>45839.0</v>
      </c>
      <c r="B199" s="83" t="s">
        <v>237</v>
      </c>
      <c r="C199" s="70" t="s">
        <v>223</v>
      </c>
      <c r="D199" s="83" t="s">
        <v>224</v>
      </c>
      <c r="E199" s="4" t="s">
        <v>208</v>
      </c>
      <c r="F199" s="80">
        <f t="shared" si="1"/>
        <v>0.002578611111</v>
      </c>
      <c r="G199" s="70" t="s">
        <v>194</v>
      </c>
      <c r="H199" s="83" t="s">
        <v>225</v>
      </c>
      <c r="I199" s="4" t="s">
        <v>226</v>
      </c>
      <c r="J199" s="81">
        <f>IFERROR(__xludf.DUMMYFUNCTION("FILTER('賽道紀錄'!E:E, '賽道紀錄'!A:A=B199, '賽道紀錄'!B:B=C199)-F199"),-1.8495370370370367E-4)</f>
        <v>-0.0001849537037</v>
      </c>
      <c r="K199" s="4"/>
      <c r="L199" s="4" t="s">
        <v>486</v>
      </c>
      <c r="M199" s="82">
        <f t="shared" si="2"/>
        <v>222.792</v>
      </c>
      <c r="N199" s="27">
        <f t="shared" si="3"/>
        <v>0.002578611111</v>
      </c>
    </row>
    <row r="200">
      <c r="A200" s="77">
        <v>45844.0</v>
      </c>
      <c r="B200" s="83" t="s">
        <v>237</v>
      </c>
      <c r="C200" s="4" t="s">
        <v>223</v>
      </c>
      <c r="D200" s="4" t="s">
        <v>224</v>
      </c>
      <c r="E200" s="4" t="s">
        <v>245</v>
      </c>
      <c r="F200" s="80">
        <f t="shared" si="1"/>
        <v>0.002536076389</v>
      </c>
      <c r="G200" s="4" t="s">
        <v>177</v>
      </c>
      <c r="H200" s="4" t="s">
        <v>231</v>
      </c>
      <c r="I200" s="4" t="s">
        <v>226</v>
      </c>
      <c r="J200" s="81">
        <f>IFERROR(__xludf.DUMMYFUNCTION("FILTER('賽道紀錄'!E:E, '賽道紀錄'!A:A=B200, '賽道紀錄'!B:B=C200)-F200"),-1.4241898148148122E-4)</f>
        <v>-0.0001424189815</v>
      </c>
      <c r="K200" s="4"/>
      <c r="L200" s="4" t="s">
        <v>487</v>
      </c>
      <c r="M200" s="82">
        <f t="shared" si="2"/>
        <v>219.117</v>
      </c>
      <c r="N200" s="27">
        <f t="shared" si="3"/>
        <v>0.002536076389</v>
      </c>
    </row>
    <row r="201">
      <c r="A201" s="77">
        <v>45844.0</v>
      </c>
      <c r="B201" s="83" t="s">
        <v>237</v>
      </c>
      <c r="C201" s="4" t="s">
        <v>223</v>
      </c>
      <c r="D201" s="4" t="s">
        <v>224</v>
      </c>
      <c r="E201" s="4" t="s">
        <v>304</v>
      </c>
      <c r="F201" s="80">
        <f t="shared" si="1"/>
        <v>0.002562847222</v>
      </c>
      <c r="G201" s="4" t="s">
        <v>126</v>
      </c>
      <c r="H201" s="4" t="s">
        <v>231</v>
      </c>
      <c r="I201" s="4" t="s">
        <v>226</v>
      </c>
      <c r="J201" s="81">
        <f>IFERROR(__xludf.DUMMYFUNCTION("FILTER('賽道紀錄'!E:E, '賽道紀錄'!A:A=B201, '賽道紀錄'!B:B=C201)-F201"),-1.6918981481481516E-4)</f>
        <v>-0.0001691898148</v>
      </c>
      <c r="K201" s="4"/>
      <c r="L201" s="4" t="s">
        <v>488</v>
      </c>
      <c r="M201" s="82">
        <f t="shared" si="2"/>
        <v>221.43</v>
      </c>
      <c r="N201" s="27">
        <f t="shared" si="3"/>
        <v>0.002562847222</v>
      </c>
    </row>
    <row r="202">
      <c r="A202" s="77">
        <v>45844.0</v>
      </c>
      <c r="B202" s="83" t="s">
        <v>237</v>
      </c>
      <c r="C202" s="4" t="s">
        <v>223</v>
      </c>
      <c r="D202" s="4" t="s">
        <v>224</v>
      </c>
      <c r="E202" s="4" t="s">
        <v>489</v>
      </c>
      <c r="F202" s="80">
        <f t="shared" si="1"/>
        <v>0.00250462963</v>
      </c>
      <c r="G202" s="70" t="s">
        <v>147</v>
      </c>
      <c r="H202" s="4" t="s">
        <v>225</v>
      </c>
      <c r="I202" s="4" t="s">
        <v>226</v>
      </c>
      <c r="J202" s="81">
        <f>IFERROR(__xludf.DUMMYFUNCTION("FILTER('賽道紀錄'!E:E, '賽道紀錄'!A:A=B202, '賽道紀錄'!B:B=C202)-F202"),-1.1097222222222237E-4)</f>
        <v>-0.0001109722222</v>
      </c>
      <c r="K202" s="4"/>
      <c r="L202" s="4" t="s">
        <v>490</v>
      </c>
      <c r="M202" s="82">
        <f t="shared" si="2"/>
        <v>216.4</v>
      </c>
      <c r="N202" s="27">
        <f t="shared" si="3"/>
        <v>0.00250462963</v>
      </c>
    </row>
    <row r="203">
      <c r="A203" s="77">
        <v>45844.0</v>
      </c>
      <c r="B203" s="83" t="s">
        <v>237</v>
      </c>
      <c r="C203" s="4" t="s">
        <v>223</v>
      </c>
      <c r="D203" s="4" t="s">
        <v>224</v>
      </c>
      <c r="E203" s="4" t="s">
        <v>208</v>
      </c>
      <c r="F203" s="80">
        <f t="shared" si="1"/>
        <v>0.002562048611</v>
      </c>
      <c r="G203" s="70" t="s">
        <v>194</v>
      </c>
      <c r="H203" s="4" t="s">
        <v>225</v>
      </c>
      <c r="I203" s="4" t="s">
        <v>226</v>
      </c>
      <c r="J203" s="81">
        <f>IFERROR(__xludf.DUMMYFUNCTION("FILTER('賽道紀錄'!E:E, '賽道紀錄'!A:A=B203, '賽道紀錄'!B:B=C203)-F203"),-1.6839120370370358E-4)</f>
        <v>-0.0001683912037</v>
      </c>
      <c r="K203" s="4"/>
      <c r="L203" s="4" t="s">
        <v>491</v>
      </c>
      <c r="M203" s="82">
        <f t="shared" si="2"/>
        <v>221.361</v>
      </c>
      <c r="N203" s="27">
        <f t="shared" si="3"/>
        <v>0.002562048611</v>
      </c>
    </row>
    <row r="204">
      <c r="A204" s="77">
        <v>45844.0</v>
      </c>
      <c r="B204" s="83" t="s">
        <v>237</v>
      </c>
      <c r="C204" s="4" t="s">
        <v>223</v>
      </c>
      <c r="D204" s="4" t="s">
        <v>224</v>
      </c>
      <c r="E204" s="4" t="s">
        <v>207</v>
      </c>
      <c r="F204" s="80">
        <f t="shared" si="1"/>
        <v>0.002599722222</v>
      </c>
      <c r="G204" s="70" t="s">
        <v>183</v>
      </c>
      <c r="H204" s="4" t="s">
        <v>225</v>
      </c>
      <c r="I204" s="4" t="s">
        <v>226</v>
      </c>
      <c r="J204" s="81">
        <f>IFERROR(__xludf.DUMMYFUNCTION("FILTER('賽道紀錄'!E:E, '賽道紀錄'!A:A=B204, '賽道紀錄'!B:B=C204)-F204"),-2.0606481481481517E-4)</f>
        <v>-0.0002060648148</v>
      </c>
      <c r="K204" s="4"/>
      <c r="L204" s="4" t="s">
        <v>492</v>
      </c>
      <c r="M204" s="82">
        <f t="shared" si="2"/>
        <v>224.616</v>
      </c>
      <c r="N204" s="27">
        <f t="shared" si="3"/>
        <v>0.002599722222</v>
      </c>
    </row>
    <row r="205">
      <c r="A205" s="77">
        <v>45844.0</v>
      </c>
      <c r="B205" s="4" t="s">
        <v>445</v>
      </c>
      <c r="C205" s="4" t="s">
        <v>446</v>
      </c>
      <c r="D205" s="4" t="s">
        <v>224</v>
      </c>
      <c r="E205" s="4" t="s">
        <v>205</v>
      </c>
      <c r="F205" s="80">
        <f t="shared" si="1"/>
        <v>0.002877708333</v>
      </c>
      <c r="G205" s="4" t="s">
        <v>184</v>
      </c>
      <c r="H205" s="4" t="s">
        <v>231</v>
      </c>
      <c r="I205" s="4" t="s">
        <v>226</v>
      </c>
      <c r="J205" s="81">
        <f>IFERROR(__xludf.DUMMYFUNCTION("FILTER('賽道紀錄'!E:E, '賽道紀錄'!A:A=B205, '賽道紀錄'!B:B=C205)-F205"),-4.97314814814815E-4)</f>
        <v>-0.0004973148148</v>
      </c>
      <c r="K205" s="4"/>
      <c r="L205" s="4" t="s">
        <v>493</v>
      </c>
      <c r="M205" s="82">
        <f t="shared" si="2"/>
        <v>248.634</v>
      </c>
      <c r="N205" s="27">
        <f t="shared" si="3"/>
        <v>0.002877708333</v>
      </c>
    </row>
    <row r="206">
      <c r="A206" s="77">
        <v>45844.0</v>
      </c>
      <c r="B206" s="4" t="s">
        <v>445</v>
      </c>
      <c r="C206" s="4" t="s">
        <v>446</v>
      </c>
      <c r="D206" s="4" t="s">
        <v>224</v>
      </c>
      <c r="E206" s="4" t="s">
        <v>235</v>
      </c>
      <c r="F206" s="80">
        <f t="shared" si="1"/>
        <v>0.003092407407</v>
      </c>
      <c r="G206" s="4" t="s">
        <v>494</v>
      </c>
      <c r="H206" s="4" t="s">
        <v>231</v>
      </c>
      <c r="I206" s="4" t="s">
        <v>226</v>
      </c>
      <c r="J206" s="81">
        <f>IFERROR(__xludf.DUMMYFUNCTION("FILTER('賽道紀錄'!E:E, '賽道紀錄'!A:A=B206, '賽道紀錄'!B:B=C206)-F206"),-7.120138888888896E-4)</f>
        <v>-0.0007120138889</v>
      </c>
      <c r="K206" s="4"/>
      <c r="L206" s="4" t="s">
        <v>495</v>
      </c>
      <c r="M206" s="82">
        <f t="shared" si="2"/>
        <v>267.184</v>
      </c>
      <c r="N206" s="27">
        <f t="shared" si="3"/>
        <v>0.003092407407</v>
      </c>
    </row>
    <row r="207">
      <c r="A207" s="77">
        <v>45844.0</v>
      </c>
      <c r="B207" s="4" t="s">
        <v>445</v>
      </c>
      <c r="C207" s="4" t="s">
        <v>446</v>
      </c>
      <c r="D207" s="4" t="s">
        <v>224</v>
      </c>
      <c r="E207" s="4" t="s">
        <v>275</v>
      </c>
      <c r="F207" s="80">
        <f t="shared" si="1"/>
        <v>0.002709178241</v>
      </c>
      <c r="G207" s="4" t="s">
        <v>455</v>
      </c>
      <c r="H207" s="4" t="s">
        <v>231</v>
      </c>
      <c r="I207" s="4" t="s">
        <v>226</v>
      </c>
      <c r="J207" s="81">
        <f>IFERROR(__xludf.DUMMYFUNCTION("FILTER('賽道紀錄'!E:E, '賽道紀錄'!A:A=B207, '賽道紀錄'!B:B=C207)-F207"),-3.287847222222225E-4)</f>
        <v>-0.0003287847222</v>
      </c>
      <c r="K207" s="4"/>
      <c r="L207" s="4" t="s">
        <v>496</v>
      </c>
      <c r="M207" s="82">
        <f t="shared" si="2"/>
        <v>234.073</v>
      </c>
      <c r="N207" s="27">
        <f t="shared" si="3"/>
        <v>0.002709178241</v>
      </c>
    </row>
    <row r="208">
      <c r="A208" s="77">
        <v>45844.0</v>
      </c>
      <c r="B208" s="4" t="s">
        <v>445</v>
      </c>
      <c r="C208" s="4" t="s">
        <v>446</v>
      </c>
      <c r="D208" s="4" t="s">
        <v>224</v>
      </c>
      <c r="E208" s="4" t="s">
        <v>208</v>
      </c>
      <c r="F208" s="80">
        <f t="shared" si="1"/>
        <v>0.002606574074</v>
      </c>
      <c r="G208" s="4" t="s">
        <v>197</v>
      </c>
      <c r="H208" s="4" t="s">
        <v>225</v>
      </c>
      <c r="I208" s="4" t="s">
        <v>226</v>
      </c>
      <c r="J208" s="81">
        <f>IFERROR(__xludf.DUMMYFUNCTION("FILTER('賽道紀錄'!E:E, '賽道紀錄'!A:A=B208, '賽道紀錄'!B:B=C208)-F208"),-2.2618055555555586E-4)</f>
        <v>-0.0002261805556</v>
      </c>
      <c r="K208" s="4"/>
      <c r="L208" s="4" t="s">
        <v>497</v>
      </c>
      <c r="M208" s="82">
        <f t="shared" si="2"/>
        <v>225.208</v>
      </c>
      <c r="N208" s="27">
        <f t="shared" si="3"/>
        <v>0.002606574074</v>
      </c>
    </row>
    <row r="209">
      <c r="A209" s="77">
        <v>45855.0</v>
      </c>
      <c r="B209" s="4" t="s">
        <v>297</v>
      </c>
      <c r="C209" s="4" t="s">
        <v>223</v>
      </c>
      <c r="D209" s="4" t="s">
        <v>224</v>
      </c>
      <c r="E209" s="4" t="s">
        <v>205</v>
      </c>
      <c r="F209" s="80">
        <f t="shared" si="1"/>
        <v>0.002684988426</v>
      </c>
      <c r="G209" s="4" t="s">
        <v>123</v>
      </c>
      <c r="H209" s="4" t="s">
        <v>231</v>
      </c>
      <c r="I209" s="4" t="s">
        <v>226</v>
      </c>
      <c r="J209" s="81">
        <f>IFERROR(__xludf.DUMMYFUNCTION("FILTER('賽道紀錄'!E:E, '賽道紀錄'!A:A=B209, '賽道紀錄'!B:B=C209)-F209"),-1.9552083333333314E-4)</f>
        <v>-0.0001955208333</v>
      </c>
      <c r="K209" s="4"/>
      <c r="L209" s="4" t="s">
        <v>498</v>
      </c>
      <c r="M209" s="82">
        <f t="shared" si="2"/>
        <v>231.983</v>
      </c>
      <c r="N209" s="27">
        <f t="shared" si="3"/>
        <v>0.002684988426</v>
      </c>
    </row>
    <row r="210">
      <c r="A210" s="77">
        <v>45856.0</v>
      </c>
      <c r="B210" s="4" t="s">
        <v>297</v>
      </c>
      <c r="C210" s="4" t="s">
        <v>223</v>
      </c>
      <c r="D210" s="4" t="s">
        <v>224</v>
      </c>
      <c r="E210" s="4" t="s">
        <v>235</v>
      </c>
      <c r="F210" s="80">
        <f t="shared" si="1"/>
        <v>0.003217789352</v>
      </c>
      <c r="G210" s="4" t="s">
        <v>123</v>
      </c>
      <c r="H210" s="4" t="s">
        <v>231</v>
      </c>
      <c r="I210" s="4" t="s">
        <v>226</v>
      </c>
      <c r="J210" s="81">
        <f>IFERROR(__xludf.DUMMYFUNCTION("FILTER('賽道紀錄'!E:E, '賽道紀錄'!A:A=B210, '賽道紀錄'!B:B=C210)-F210"),-7.283217592592593E-4)</f>
        <v>-0.0007283217593</v>
      </c>
      <c r="K210" s="4"/>
      <c r="L210" s="4" t="s">
        <v>499</v>
      </c>
      <c r="M210" s="82">
        <f t="shared" si="2"/>
        <v>278.017</v>
      </c>
      <c r="N210" s="27">
        <f t="shared" si="3"/>
        <v>0.003217789352</v>
      </c>
    </row>
    <row r="211">
      <c r="A211" s="77">
        <v>45856.0</v>
      </c>
      <c r="B211" s="4" t="s">
        <v>297</v>
      </c>
      <c r="C211" s="4" t="s">
        <v>223</v>
      </c>
      <c r="D211" s="4" t="s">
        <v>224</v>
      </c>
      <c r="E211" s="4" t="s">
        <v>205</v>
      </c>
      <c r="F211" s="80">
        <f t="shared" si="1"/>
        <v>0.002755590278</v>
      </c>
      <c r="G211" s="4" t="s">
        <v>123</v>
      </c>
      <c r="H211" s="4" t="s">
        <v>231</v>
      </c>
      <c r="I211" s="4" t="s">
        <v>226</v>
      </c>
      <c r="J211" s="81">
        <f>IFERROR(__xludf.DUMMYFUNCTION("FILTER('賽道紀錄'!E:E, '賽道紀錄'!A:A=B211, '賽道紀錄'!B:B=C211)-F211"),-2.661226851851848E-4)</f>
        <v>-0.0002661226852</v>
      </c>
      <c r="K211" s="4"/>
      <c r="L211" s="4" t="s">
        <v>500</v>
      </c>
      <c r="M211" s="82">
        <f t="shared" si="2"/>
        <v>238.083</v>
      </c>
      <c r="N211" s="27">
        <f t="shared" si="3"/>
        <v>0.002755590278</v>
      </c>
    </row>
    <row r="212">
      <c r="A212" s="77">
        <v>45856.0</v>
      </c>
      <c r="B212" s="4" t="s">
        <v>445</v>
      </c>
      <c r="C212" s="4" t="s">
        <v>446</v>
      </c>
      <c r="D212" s="4" t="s">
        <v>224</v>
      </c>
      <c r="E212" s="4" t="s">
        <v>235</v>
      </c>
      <c r="F212" s="80">
        <f t="shared" si="1"/>
        <v>0.002952546296</v>
      </c>
      <c r="G212" s="4" t="s">
        <v>204</v>
      </c>
      <c r="H212" s="4" t="s">
        <v>231</v>
      </c>
      <c r="I212" s="4" t="s">
        <v>226</v>
      </c>
      <c r="J212" s="81">
        <f>IFERROR(__xludf.DUMMYFUNCTION("FILTER('賽道紀錄'!E:E, '賽道紀錄'!A:A=B212, '賽道紀錄'!B:B=C212)-F212"),-5.721527777777782E-4)</f>
        <v>-0.0005721527778</v>
      </c>
      <c r="K212" s="4"/>
      <c r="L212" s="4" t="s">
        <v>501</v>
      </c>
      <c r="M212" s="82">
        <f t="shared" si="2"/>
        <v>255.1</v>
      </c>
      <c r="N212" s="27">
        <f t="shared" si="3"/>
        <v>0.002952546296</v>
      </c>
    </row>
    <row r="213">
      <c r="A213" s="77">
        <v>45856.0</v>
      </c>
      <c r="B213" s="4" t="s">
        <v>445</v>
      </c>
      <c r="C213" s="4" t="s">
        <v>446</v>
      </c>
      <c r="D213" s="4" t="s">
        <v>224</v>
      </c>
      <c r="E213" s="4" t="s">
        <v>205</v>
      </c>
      <c r="F213" s="80">
        <f t="shared" si="1"/>
        <v>0.00321875</v>
      </c>
      <c r="G213" s="4" t="s">
        <v>455</v>
      </c>
      <c r="H213" s="4" t="s">
        <v>231</v>
      </c>
      <c r="I213" s="4" t="s">
        <v>226</v>
      </c>
      <c r="J213" s="81">
        <f>IFERROR(__xludf.DUMMYFUNCTION("FILTER('賽道紀錄'!E:E, '賽道紀錄'!A:A=B213, '賽道紀錄'!B:B=C213)-F213"),-8.383564814814825E-4)</f>
        <v>-0.0008383564815</v>
      </c>
      <c r="K213" s="4"/>
      <c r="L213" s="4" t="s">
        <v>502</v>
      </c>
      <c r="M213" s="82">
        <f t="shared" si="2"/>
        <v>278.1</v>
      </c>
      <c r="N213" s="27">
        <f t="shared" si="3"/>
        <v>0.00321875</v>
      </c>
    </row>
    <row r="214">
      <c r="A214" s="77">
        <v>45856.0</v>
      </c>
      <c r="B214" s="4" t="s">
        <v>297</v>
      </c>
      <c r="C214" s="4" t="s">
        <v>223</v>
      </c>
      <c r="D214" s="4" t="s">
        <v>224</v>
      </c>
      <c r="E214" s="4" t="s">
        <v>205</v>
      </c>
      <c r="F214" s="80">
        <f t="shared" si="1"/>
        <v>0.002602048611</v>
      </c>
      <c r="G214" s="4" t="s">
        <v>177</v>
      </c>
      <c r="H214" s="4" t="s">
        <v>231</v>
      </c>
      <c r="I214" s="4" t="s">
        <v>226</v>
      </c>
      <c r="J214" s="81">
        <f>IFERROR(__xludf.DUMMYFUNCTION("FILTER('賽道紀錄'!E:E, '賽道紀錄'!A:A=B214, '賽道紀錄'!B:B=C214)-F214"),-1.1258101851851837E-4)</f>
        <v>-0.0001125810185</v>
      </c>
      <c r="K214" s="4"/>
      <c r="L214" s="4" t="s">
        <v>503</v>
      </c>
      <c r="M214" s="82">
        <f t="shared" si="2"/>
        <v>224.817</v>
      </c>
      <c r="N214" s="27">
        <f t="shared" si="3"/>
        <v>0.002602048611</v>
      </c>
    </row>
    <row r="215">
      <c r="A215" s="77">
        <v>45860.0</v>
      </c>
      <c r="B215" s="4" t="s">
        <v>445</v>
      </c>
      <c r="C215" s="4" t="s">
        <v>446</v>
      </c>
      <c r="D215" s="4" t="s">
        <v>224</v>
      </c>
      <c r="E215" s="4" t="s">
        <v>205</v>
      </c>
      <c r="F215" s="80">
        <f t="shared" si="1"/>
        <v>0.002726273148</v>
      </c>
      <c r="G215" s="4" t="s">
        <v>197</v>
      </c>
      <c r="H215" s="4" t="s">
        <v>231</v>
      </c>
      <c r="I215" s="4" t="s">
        <v>226</v>
      </c>
      <c r="J215" s="81">
        <f>IFERROR(__xludf.DUMMYFUNCTION("FILTER('賽道紀錄'!E:E, '賽道紀錄'!A:A=B215, '賽道紀錄'!B:B=C215)-F215"),-3.4587962962963E-4)</f>
        <v>-0.0003458796296</v>
      </c>
      <c r="K215" s="4"/>
      <c r="L215" s="4" t="s">
        <v>504</v>
      </c>
      <c r="M215" s="82">
        <f t="shared" si="2"/>
        <v>235.55</v>
      </c>
      <c r="N215" s="27">
        <f t="shared" si="3"/>
        <v>0.002726273148</v>
      </c>
    </row>
    <row r="216">
      <c r="A216" s="77">
        <v>45860.0</v>
      </c>
      <c r="B216" s="4" t="s">
        <v>445</v>
      </c>
      <c r="C216" s="4" t="s">
        <v>446</v>
      </c>
      <c r="D216" s="4" t="s">
        <v>224</v>
      </c>
      <c r="E216" s="4" t="s">
        <v>229</v>
      </c>
      <c r="F216" s="80">
        <f t="shared" si="1"/>
        <v>0.002726851852</v>
      </c>
      <c r="G216" s="4" t="s">
        <v>197</v>
      </c>
      <c r="H216" s="4" t="s">
        <v>231</v>
      </c>
      <c r="I216" s="4" t="s">
        <v>226</v>
      </c>
      <c r="J216" s="81">
        <f>IFERROR(__xludf.DUMMYFUNCTION("FILTER('賽道紀錄'!E:E, '賽道紀錄'!A:A=B216, '賽道紀錄'!B:B=C216)-F216"),-3.464583333333336E-4)</f>
        <v>-0.0003464583333</v>
      </c>
      <c r="K216" s="4"/>
      <c r="L216" s="4" t="s">
        <v>505</v>
      </c>
      <c r="M216" s="82">
        <f t="shared" si="2"/>
        <v>235.6</v>
      </c>
      <c r="N216" s="27">
        <f t="shared" si="3"/>
        <v>0.002726851852</v>
      </c>
    </row>
    <row r="217">
      <c r="A217" s="77">
        <v>45860.0</v>
      </c>
      <c r="B217" s="4" t="s">
        <v>445</v>
      </c>
      <c r="C217" s="4" t="s">
        <v>446</v>
      </c>
      <c r="D217" s="4" t="s">
        <v>224</v>
      </c>
      <c r="E217" s="4" t="s">
        <v>209</v>
      </c>
      <c r="F217" s="80">
        <f t="shared" si="1"/>
        <v>0.002390428241</v>
      </c>
      <c r="G217" s="4" t="s">
        <v>123</v>
      </c>
      <c r="H217" s="4" t="s">
        <v>225</v>
      </c>
      <c r="I217" s="4" t="s">
        <v>226</v>
      </c>
      <c r="J217" s="81">
        <f>IFERROR(__xludf.DUMMYFUNCTION("FILTER('賽道紀錄'!E:E, '賽道紀錄'!A:A=B217, '賽道紀錄'!B:B=C217)-F217"),-1.0034722222222476E-5)</f>
        <v>-0.00001003472222</v>
      </c>
      <c r="K217" s="4"/>
      <c r="L217" s="4" t="s">
        <v>506</v>
      </c>
      <c r="M217" s="82">
        <f t="shared" si="2"/>
        <v>206.533</v>
      </c>
      <c r="N217" s="27">
        <f t="shared" si="3"/>
        <v>0.002390428241</v>
      </c>
    </row>
    <row r="218">
      <c r="A218" s="77">
        <v>45861.0</v>
      </c>
      <c r="B218" s="4" t="s">
        <v>445</v>
      </c>
      <c r="C218" s="4" t="s">
        <v>446</v>
      </c>
      <c r="D218" s="4" t="s">
        <v>224</v>
      </c>
      <c r="E218" s="4" t="s">
        <v>205</v>
      </c>
      <c r="F218" s="80">
        <f t="shared" si="1"/>
        <v>0.002643715278</v>
      </c>
      <c r="G218" s="4" t="s">
        <v>494</v>
      </c>
      <c r="H218" s="4" t="s">
        <v>231</v>
      </c>
      <c r="I218" s="4" t="s">
        <v>226</v>
      </c>
      <c r="J218" s="81">
        <f>IFERROR(__xludf.DUMMYFUNCTION("FILTER('賽道紀錄'!E:E, '賽道紀錄'!A:A=B218, '賽道紀錄'!B:B=C218)-F218"),-2.633217592592596E-4)</f>
        <v>-0.0002633217593</v>
      </c>
      <c r="K218" s="4"/>
      <c r="L218" s="4" t="s">
        <v>507</v>
      </c>
      <c r="M218" s="82">
        <f t="shared" si="2"/>
        <v>228.417</v>
      </c>
      <c r="N218" s="27">
        <f t="shared" si="3"/>
        <v>0.002643715278</v>
      </c>
    </row>
    <row r="219">
      <c r="A219" s="77">
        <v>45861.0</v>
      </c>
      <c r="B219" s="4" t="s">
        <v>445</v>
      </c>
      <c r="C219" s="4" t="s">
        <v>446</v>
      </c>
      <c r="D219" s="4" t="s">
        <v>224</v>
      </c>
      <c r="E219" s="4" t="s">
        <v>205</v>
      </c>
      <c r="F219" s="80">
        <f t="shared" si="1"/>
        <v>0.002614780093</v>
      </c>
      <c r="G219" s="4" t="s">
        <v>145</v>
      </c>
      <c r="H219" s="4" t="s">
        <v>231</v>
      </c>
      <c r="I219" s="4" t="s">
        <v>226</v>
      </c>
      <c r="J219" s="81">
        <f>IFERROR(__xludf.DUMMYFUNCTION("FILTER('賽道紀錄'!E:E, '賽道紀錄'!A:A=B219, '賽道紀錄'!B:B=C219)-F219"),-2.3438657407407436E-4)</f>
        <v>-0.0002343865741</v>
      </c>
      <c r="K219" s="4"/>
      <c r="L219" s="4" t="s">
        <v>508</v>
      </c>
      <c r="M219" s="82">
        <f t="shared" si="2"/>
        <v>225.917</v>
      </c>
      <c r="N219" s="27">
        <f t="shared" si="3"/>
        <v>0.002614780093</v>
      </c>
    </row>
    <row r="220">
      <c r="A220" s="77">
        <v>45861.0</v>
      </c>
      <c r="B220" s="4" t="s">
        <v>445</v>
      </c>
      <c r="C220" s="4" t="s">
        <v>446</v>
      </c>
      <c r="D220" s="4" t="s">
        <v>224</v>
      </c>
      <c r="E220" s="4" t="s">
        <v>205</v>
      </c>
      <c r="F220" s="80">
        <f t="shared" si="1"/>
        <v>0.002641006944</v>
      </c>
      <c r="G220" s="4" t="s">
        <v>184</v>
      </c>
      <c r="H220" s="4" t="s">
        <v>231</v>
      </c>
      <c r="I220" s="4" t="s">
        <v>226</v>
      </c>
      <c r="J220" s="81">
        <f>IFERROR(__xludf.DUMMYFUNCTION("FILTER('賽道紀錄'!E:E, '賽道紀錄'!A:A=B220, '賽道紀錄'!B:B=C220)-F220"),-2.6061342592592586E-4)</f>
        <v>-0.0002606134259</v>
      </c>
      <c r="K220" s="4"/>
      <c r="L220" s="4" t="s">
        <v>509</v>
      </c>
      <c r="M220" s="82">
        <f t="shared" si="2"/>
        <v>228.183</v>
      </c>
      <c r="N220" s="27">
        <f t="shared" si="3"/>
        <v>0.002641006944</v>
      </c>
    </row>
    <row r="221">
      <c r="A221" s="77">
        <v>45861.0</v>
      </c>
      <c r="B221" s="4" t="s">
        <v>445</v>
      </c>
      <c r="C221" s="4" t="s">
        <v>446</v>
      </c>
      <c r="D221" s="4" t="s">
        <v>224</v>
      </c>
      <c r="E221" s="4" t="s">
        <v>229</v>
      </c>
      <c r="F221" s="80">
        <f t="shared" si="1"/>
        <v>0.002649710648</v>
      </c>
      <c r="G221" s="4" t="s">
        <v>197</v>
      </c>
      <c r="H221" s="4" t="s">
        <v>231</v>
      </c>
      <c r="I221" s="4" t="s">
        <v>226</v>
      </c>
      <c r="J221" s="81">
        <f>IFERROR(__xludf.DUMMYFUNCTION("FILTER('賽道紀錄'!E:E, '賽道紀錄'!A:A=B221, '賽道紀錄'!B:B=C221)-F221"),-2.6931712962962977E-4)</f>
        <v>-0.0002693171296</v>
      </c>
      <c r="K221" s="4"/>
      <c r="L221" s="4" t="s">
        <v>510</v>
      </c>
      <c r="M221" s="82">
        <f t="shared" si="2"/>
        <v>228.935</v>
      </c>
      <c r="N221" s="27">
        <f t="shared" si="3"/>
        <v>0.002649710648</v>
      </c>
    </row>
    <row r="222">
      <c r="A222" s="77">
        <v>45861.0</v>
      </c>
      <c r="B222" s="4" t="s">
        <v>445</v>
      </c>
      <c r="C222" s="4" t="s">
        <v>446</v>
      </c>
      <c r="D222" s="4" t="s">
        <v>224</v>
      </c>
      <c r="E222" s="4" t="s">
        <v>209</v>
      </c>
      <c r="F222" s="80">
        <f t="shared" si="1"/>
        <v>0.002407986111</v>
      </c>
      <c r="G222" s="4" t="s">
        <v>123</v>
      </c>
      <c r="H222" s="4" t="s">
        <v>225</v>
      </c>
      <c r="I222" s="4" t="s">
        <v>226</v>
      </c>
      <c r="J222" s="81">
        <f>IFERROR(__xludf.DUMMYFUNCTION("FILTER('賽道紀錄'!E:E, '賽道紀錄'!A:A=B222, '賽道紀錄'!B:B=C222)-F222"),-2.7592592592592946E-5)</f>
        <v>-0.00002759259259</v>
      </c>
      <c r="K222" s="4"/>
      <c r="L222" s="4" t="s">
        <v>511</v>
      </c>
      <c r="M222" s="82">
        <f t="shared" si="2"/>
        <v>208.05</v>
      </c>
      <c r="N222" s="27">
        <f t="shared" si="3"/>
        <v>0.002407986111</v>
      </c>
    </row>
    <row r="223">
      <c r="A223" s="77">
        <v>45861.0</v>
      </c>
      <c r="B223" s="4" t="s">
        <v>445</v>
      </c>
      <c r="C223" s="4" t="s">
        <v>446</v>
      </c>
      <c r="D223" s="4" t="s">
        <v>224</v>
      </c>
      <c r="E223" s="4" t="s">
        <v>205</v>
      </c>
      <c r="F223" s="80">
        <f t="shared" si="1"/>
        <v>0.002624039352</v>
      </c>
      <c r="G223" s="4" t="s">
        <v>494</v>
      </c>
      <c r="H223" s="4" t="s">
        <v>231</v>
      </c>
      <c r="I223" s="4" t="s">
        <v>226</v>
      </c>
      <c r="J223" s="81">
        <f>IFERROR(__xludf.DUMMYFUNCTION("FILTER('賽道紀錄'!E:E, '賽道紀錄'!A:A=B223, '賽道紀錄'!B:B=C223)-F223"),-2.4364583333333356E-4)</f>
        <v>-0.0002436458333</v>
      </c>
      <c r="K223" s="4"/>
      <c r="L223" s="4" t="s">
        <v>512</v>
      </c>
      <c r="M223" s="82">
        <f t="shared" si="2"/>
        <v>226.717</v>
      </c>
      <c r="N223" s="27">
        <f t="shared" si="3"/>
        <v>0.002624039352</v>
      </c>
    </row>
    <row r="224">
      <c r="A224" s="77">
        <v>45862.0</v>
      </c>
      <c r="B224" s="4" t="s">
        <v>513</v>
      </c>
      <c r="C224" s="4" t="s">
        <v>223</v>
      </c>
      <c r="D224" s="4" t="s">
        <v>514</v>
      </c>
      <c r="E224" s="4" t="s">
        <v>515</v>
      </c>
      <c r="F224" s="80">
        <f t="shared" si="1"/>
        <v>0.001563900463</v>
      </c>
      <c r="G224" s="4" t="s">
        <v>203</v>
      </c>
      <c r="H224" s="4" t="s">
        <v>225</v>
      </c>
      <c r="I224" s="4" t="s">
        <v>313</v>
      </c>
      <c r="J224" s="81">
        <f>IFERROR(__xludf.DUMMYFUNCTION("FILTER('賽道紀錄'!E:E, '賽道紀錄'!A:A=B224, '賽道紀錄'!B:B=C224)-F224"),0.0)</f>
        <v>0</v>
      </c>
      <c r="K224" s="4"/>
      <c r="L224" s="4" t="s">
        <v>516</v>
      </c>
      <c r="M224" s="82">
        <f t="shared" si="2"/>
        <v>135.121</v>
      </c>
      <c r="N224" s="27">
        <f t="shared" si="3"/>
        <v>0.001563900463</v>
      </c>
    </row>
    <row r="225">
      <c r="A225" s="77">
        <v>45863.0</v>
      </c>
      <c r="B225" s="4" t="s">
        <v>445</v>
      </c>
      <c r="C225" s="4" t="s">
        <v>446</v>
      </c>
      <c r="D225" s="4" t="s">
        <v>224</v>
      </c>
      <c r="E225" s="4" t="s">
        <v>205</v>
      </c>
      <c r="F225" s="80">
        <f t="shared" si="1"/>
        <v>0.002652974537</v>
      </c>
      <c r="G225" s="4" t="s">
        <v>184</v>
      </c>
      <c r="H225" s="4" t="s">
        <v>231</v>
      </c>
      <c r="I225" s="4" t="s">
        <v>226</v>
      </c>
      <c r="J225" s="81">
        <f>IFERROR(__xludf.DUMMYFUNCTION("FILTER('賽道紀錄'!E:E, '賽道紀錄'!A:A=B225, '賽道紀錄'!B:B=C225)-F225"),-2.725810185185188E-4)</f>
        <v>-0.0002725810185</v>
      </c>
      <c r="K225" s="4"/>
      <c r="L225" s="4" t="s">
        <v>517</v>
      </c>
      <c r="M225" s="82">
        <f t="shared" si="2"/>
        <v>229.217</v>
      </c>
      <c r="N225" s="27">
        <f t="shared" si="3"/>
        <v>0.002652974537</v>
      </c>
    </row>
    <row r="226">
      <c r="A226" s="77">
        <v>45864.0</v>
      </c>
      <c r="B226" s="4" t="s">
        <v>445</v>
      </c>
      <c r="C226" s="4" t="s">
        <v>446</v>
      </c>
      <c r="D226" s="4" t="s">
        <v>224</v>
      </c>
      <c r="E226" s="4" t="s">
        <v>205</v>
      </c>
      <c r="F226" s="80">
        <f t="shared" si="1"/>
        <v>0.002595868056</v>
      </c>
      <c r="G226" s="4" t="s">
        <v>145</v>
      </c>
      <c r="H226" s="4" t="s">
        <v>231</v>
      </c>
      <c r="I226" s="4" t="s">
        <v>226</v>
      </c>
      <c r="J226" s="81">
        <f>IFERROR(__xludf.DUMMYFUNCTION("FILTER('賽道紀錄'!E:E, '賽道紀錄'!A:A=B226, '賽道紀錄'!B:B=C226)-F226"),-2.1547453703703746E-4)</f>
        <v>-0.000215474537</v>
      </c>
      <c r="K226" s="4"/>
      <c r="L226" s="4" t="s">
        <v>518</v>
      </c>
      <c r="M226" s="82">
        <f t="shared" si="2"/>
        <v>224.283</v>
      </c>
      <c r="N226" s="27">
        <f t="shared" si="3"/>
        <v>0.002595868056</v>
      </c>
    </row>
    <row r="227">
      <c r="A227" s="77">
        <v>45864.0</v>
      </c>
      <c r="B227" s="4" t="s">
        <v>445</v>
      </c>
      <c r="C227" s="4" t="s">
        <v>223</v>
      </c>
      <c r="D227" s="4" t="s">
        <v>224</v>
      </c>
      <c r="E227" s="4" t="s">
        <v>209</v>
      </c>
      <c r="F227" s="80">
        <f t="shared" si="1"/>
        <v>0.001134363426</v>
      </c>
      <c r="G227" s="4" t="s">
        <v>197</v>
      </c>
      <c r="H227" s="4" t="s">
        <v>225</v>
      </c>
      <c r="I227" s="4" t="s">
        <v>226</v>
      </c>
      <c r="J227" s="81">
        <f>IFERROR(__xludf.DUMMYFUNCTION("FILTER('賽道紀錄'!E:E, '賽道紀錄'!A:A=B227, '賽道紀錄'!B:B=C227)-F227"),-3.483796296296351E-6)</f>
        <v>-0.000003483796296</v>
      </c>
      <c r="K227" s="4"/>
      <c r="L227" s="4" t="s">
        <v>519</v>
      </c>
      <c r="M227" s="82">
        <f t="shared" si="2"/>
        <v>98.009</v>
      </c>
      <c r="N227" s="27">
        <f t="shared" si="3"/>
        <v>0.001134363426</v>
      </c>
    </row>
    <row r="228">
      <c r="A228" s="77">
        <v>45864.0</v>
      </c>
      <c r="B228" s="4" t="s">
        <v>445</v>
      </c>
      <c r="C228" s="4" t="s">
        <v>223</v>
      </c>
      <c r="D228" s="4" t="s">
        <v>224</v>
      </c>
      <c r="E228" s="4" t="s">
        <v>229</v>
      </c>
      <c r="F228" s="80">
        <f t="shared" si="1"/>
        <v>0.001231481481</v>
      </c>
      <c r="G228" s="4" t="s">
        <v>123</v>
      </c>
      <c r="H228" s="4" t="s">
        <v>231</v>
      </c>
      <c r="I228" s="4" t="s">
        <v>226</v>
      </c>
      <c r="J228" s="81">
        <f>IFERROR(__xludf.DUMMYFUNCTION("FILTER('賽道紀錄'!E:E, '賽道紀錄'!A:A=B228, '賽道紀錄'!B:B=C228)-F228"),-1.0060185185185194E-4)</f>
        <v>-0.0001006018519</v>
      </c>
      <c r="K228" s="4"/>
      <c r="L228" s="4" t="s">
        <v>520</v>
      </c>
      <c r="M228" s="82">
        <f t="shared" si="2"/>
        <v>106.4</v>
      </c>
      <c r="N228" s="27">
        <f t="shared" si="3"/>
        <v>0.001231481481</v>
      </c>
    </row>
    <row r="229">
      <c r="A229" s="77">
        <v>45864.0</v>
      </c>
      <c r="B229" s="4" t="s">
        <v>445</v>
      </c>
      <c r="C229" s="4" t="s">
        <v>223</v>
      </c>
      <c r="D229" s="4" t="s">
        <v>224</v>
      </c>
      <c r="E229" s="4" t="s">
        <v>205</v>
      </c>
      <c r="F229" s="80">
        <f t="shared" si="1"/>
        <v>0.001363229167</v>
      </c>
      <c r="G229" s="4" t="s">
        <v>145</v>
      </c>
      <c r="H229" s="4" t="s">
        <v>231</v>
      </c>
      <c r="I229" s="4" t="s">
        <v>226</v>
      </c>
      <c r="J229" s="81">
        <f>IFERROR(__xludf.DUMMYFUNCTION("FILTER('賽道紀錄'!E:E, '賽道紀錄'!A:A=B229, '賽道紀錄'!B:B=C229)-F229"),-2.323495370370372E-4)</f>
        <v>-0.000232349537</v>
      </c>
      <c r="K229" s="4"/>
      <c r="L229" s="4" t="s">
        <v>521</v>
      </c>
      <c r="M229" s="82">
        <f t="shared" si="2"/>
        <v>117.783</v>
      </c>
      <c r="N229" s="27">
        <f t="shared" si="3"/>
        <v>0.001363229167</v>
      </c>
    </row>
    <row r="230">
      <c r="A230" s="77">
        <v>45864.0</v>
      </c>
      <c r="B230" s="4" t="s">
        <v>445</v>
      </c>
      <c r="C230" s="4" t="s">
        <v>242</v>
      </c>
      <c r="D230" s="4" t="s">
        <v>224</v>
      </c>
      <c r="E230" s="4" t="s">
        <v>209</v>
      </c>
      <c r="F230" s="80">
        <f t="shared" si="1"/>
        <v>0.001216053241</v>
      </c>
      <c r="G230" s="4" t="s">
        <v>197</v>
      </c>
      <c r="H230" s="4" t="s">
        <v>225</v>
      </c>
      <c r="I230" s="4" t="s">
        <v>226</v>
      </c>
      <c r="J230" s="81">
        <f>IFERROR(__xludf.DUMMYFUNCTION("FILTER('賽道紀錄'!E:E, '賽道紀錄'!A:A=B230, '賽道紀錄'!B:B=C230)-F230"),0.0)</f>
        <v>0</v>
      </c>
      <c r="K230" s="4"/>
      <c r="L230" s="4" t="s">
        <v>522</v>
      </c>
      <c r="M230" s="82">
        <f t="shared" si="2"/>
        <v>105.067</v>
      </c>
      <c r="N230" s="27">
        <f t="shared" si="3"/>
        <v>0.001216053241</v>
      </c>
    </row>
    <row r="231">
      <c r="A231" s="77">
        <v>45864.0</v>
      </c>
      <c r="B231" s="4" t="s">
        <v>445</v>
      </c>
      <c r="C231" s="4" t="s">
        <v>242</v>
      </c>
      <c r="D231" s="4" t="s">
        <v>224</v>
      </c>
      <c r="E231" s="4" t="s">
        <v>207</v>
      </c>
      <c r="F231" s="80">
        <f t="shared" si="1"/>
        <v>0.001276643519</v>
      </c>
      <c r="G231" s="4" t="s">
        <v>184</v>
      </c>
      <c r="H231" s="4" t="s">
        <v>225</v>
      </c>
      <c r="I231" s="4" t="s">
        <v>226</v>
      </c>
      <c r="J231" s="81">
        <f>IFERROR(__xludf.DUMMYFUNCTION("FILTER('賽道紀錄'!E:E, '賽道紀錄'!A:A=B231, '賽道紀錄'!B:B=C231)-F231"),-6.05902777777779E-5)</f>
        <v>-0.00006059027778</v>
      </c>
      <c r="K231" s="4"/>
      <c r="L231" s="4" t="s">
        <v>523</v>
      </c>
      <c r="M231" s="82">
        <f t="shared" si="2"/>
        <v>110.302</v>
      </c>
      <c r="N231" s="27">
        <f t="shared" si="3"/>
        <v>0.001276643519</v>
      </c>
    </row>
    <row r="232">
      <c r="A232" s="77">
        <v>45864.0</v>
      </c>
      <c r="B232" s="4" t="s">
        <v>445</v>
      </c>
      <c r="C232" s="4" t="s">
        <v>446</v>
      </c>
      <c r="D232" s="4" t="s">
        <v>224</v>
      </c>
      <c r="E232" s="4" t="s">
        <v>205</v>
      </c>
      <c r="F232" s="80">
        <f t="shared" si="1"/>
        <v>0.002608993056</v>
      </c>
      <c r="G232" s="4" t="s">
        <v>123</v>
      </c>
      <c r="H232" s="4" t="s">
        <v>231</v>
      </c>
      <c r="I232" s="4" t="s">
        <v>226</v>
      </c>
      <c r="J232" s="81">
        <f>IFERROR(__xludf.DUMMYFUNCTION("FILTER('賽道紀錄'!E:E, '賽道紀錄'!A:A=B232, '賽道紀錄'!B:B=C232)-F232"),-2.2859953703703714E-4)</f>
        <v>-0.000228599537</v>
      </c>
      <c r="K232" s="4"/>
      <c r="L232" s="4" t="s">
        <v>524</v>
      </c>
      <c r="M232" s="82">
        <f t="shared" si="2"/>
        <v>225.417</v>
      </c>
      <c r="N232" s="27">
        <f t="shared" si="3"/>
        <v>0.002608993056</v>
      </c>
    </row>
    <row r="233">
      <c r="A233" s="77">
        <v>45864.0</v>
      </c>
      <c r="B233" s="4" t="s">
        <v>445</v>
      </c>
      <c r="C233" s="4" t="s">
        <v>446</v>
      </c>
      <c r="D233" s="4" t="s">
        <v>224</v>
      </c>
      <c r="E233" s="4" t="s">
        <v>208</v>
      </c>
      <c r="F233" s="80">
        <f t="shared" si="1"/>
        <v>0.002644699074</v>
      </c>
      <c r="G233" s="4" t="s">
        <v>197</v>
      </c>
      <c r="H233" s="4" t="s">
        <v>225</v>
      </c>
      <c r="I233" s="4" t="s">
        <v>226</v>
      </c>
      <c r="J233" s="81">
        <f>IFERROR(__xludf.DUMMYFUNCTION("FILTER('賽道紀錄'!E:E, '賽道紀錄'!A:A=B233, '賽道紀錄'!B:B=C233)-F233"),-2.643055555555558E-4)</f>
        <v>-0.0002643055556</v>
      </c>
      <c r="K233" s="4"/>
      <c r="L233" s="4" t="s">
        <v>525</v>
      </c>
      <c r="M233" s="82">
        <f t="shared" si="2"/>
        <v>228.502</v>
      </c>
      <c r="N233" s="27">
        <f t="shared" si="3"/>
        <v>0.002644699074</v>
      </c>
    </row>
    <row r="234">
      <c r="A234" s="77">
        <v>45864.0</v>
      </c>
      <c r="B234" s="4" t="s">
        <v>445</v>
      </c>
      <c r="C234" s="4" t="s">
        <v>446</v>
      </c>
      <c r="D234" s="4" t="s">
        <v>224</v>
      </c>
      <c r="E234" s="4" t="s">
        <v>229</v>
      </c>
      <c r="F234" s="80">
        <f t="shared" si="1"/>
        <v>0.00273693287</v>
      </c>
      <c r="G234" s="4" t="s">
        <v>123</v>
      </c>
      <c r="H234" s="4" t="s">
        <v>231</v>
      </c>
      <c r="I234" s="4" t="s">
        <v>226</v>
      </c>
      <c r="J234" s="81">
        <f>IFERROR(__xludf.DUMMYFUNCTION("FILTER('賽道紀錄'!E:E, '賽道紀錄'!A:A=B234, '賽道紀錄'!B:B=C234)-F234"),-3.5653935185185224E-4)</f>
        <v>-0.0003565393519</v>
      </c>
      <c r="K234" s="4"/>
      <c r="L234" s="4" t="s">
        <v>526</v>
      </c>
      <c r="M234" s="82">
        <f t="shared" si="2"/>
        <v>236.471</v>
      </c>
      <c r="N234" s="27">
        <f t="shared" si="3"/>
        <v>0.00273693287</v>
      </c>
    </row>
    <row r="235">
      <c r="A235" s="77">
        <v>45864.0</v>
      </c>
      <c r="B235" s="4" t="s">
        <v>527</v>
      </c>
      <c r="C235" s="4" t="s">
        <v>383</v>
      </c>
      <c r="D235" s="4" t="s">
        <v>514</v>
      </c>
      <c r="E235" s="4" t="s">
        <v>515</v>
      </c>
      <c r="F235" s="80">
        <f t="shared" si="1"/>
        <v>0.003347800926</v>
      </c>
      <c r="G235" s="4" t="s">
        <v>203</v>
      </c>
      <c r="H235" s="4" t="s">
        <v>225</v>
      </c>
      <c r="I235" s="4" t="s">
        <v>313</v>
      </c>
      <c r="J235" s="81">
        <f>IFERROR(__xludf.DUMMYFUNCTION("FILTER('賽道紀錄'!E:E, '賽道紀錄'!A:A=B235, '賽道紀錄'!B:B=C235)-F235"),-1.3869212962962967E-4)</f>
        <v>-0.0001386921296</v>
      </c>
      <c r="K235" s="4"/>
      <c r="L235" s="4" t="s">
        <v>528</v>
      </c>
      <c r="M235" s="82">
        <f t="shared" si="2"/>
        <v>289.25</v>
      </c>
      <c r="N235" s="27">
        <f t="shared" si="3"/>
        <v>0.003347800926</v>
      </c>
    </row>
    <row r="236">
      <c r="A236" s="77">
        <v>45865.0</v>
      </c>
      <c r="B236" s="4" t="s">
        <v>435</v>
      </c>
      <c r="C236" s="4" t="s">
        <v>223</v>
      </c>
      <c r="D236" s="4" t="s">
        <v>224</v>
      </c>
      <c r="E236" s="4" t="s">
        <v>206</v>
      </c>
      <c r="F236" s="80">
        <f t="shared" si="1"/>
        <v>0.002704479167</v>
      </c>
      <c r="G236" s="4" t="s">
        <v>317</v>
      </c>
      <c r="H236" s="4" t="s">
        <v>231</v>
      </c>
      <c r="I236" s="4" t="s">
        <v>226</v>
      </c>
      <c r="J236" s="81">
        <f>IFERROR(__xludf.DUMMYFUNCTION("FILTER('賽道紀錄'!E:E, '賽道紀錄'!A:A=B236, '賽道紀錄'!B:B=C236)-F236"),-2.473032407407411E-4)</f>
        <v>-0.0002473032407</v>
      </c>
      <c r="K236" s="4"/>
      <c r="L236" s="4" t="s">
        <v>529</v>
      </c>
      <c r="M236" s="82">
        <f t="shared" si="2"/>
        <v>233.667</v>
      </c>
      <c r="N236" s="27">
        <f t="shared" si="3"/>
        <v>0.002704479167</v>
      </c>
    </row>
    <row r="237">
      <c r="A237" s="77">
        <v>45865.0</v>
      </c>
      <c r="B237" s="4" t="s">
        <v>435</v>
      </c>
      <c r="C237" s="4" t="s">
        <v>242</v>
      </c>
      <c r="D237" s="4" t="s">
        <v>224</v>
      </c>
      <c r="E237" s="4" t="s">
        <v>205</v>
      </c>
      <c r="F237" s="80">
        <f t="shared" si="1"/>
        <v>0.003169178241</v>
      </c>
      <c r="G237" s="5" t="s">
        <v>176</v>
      </c>
      <c r="H237" s="4" t="s">
        <v>231</v>
      </c>
      <c r="I237" s="4" t="s">
        <v>226</v>
      </c>
      <c r="J237" s="81">
        <f>IFERROR(__xludf.DUMMYFUNCTION("FILTER('賽道紀錄'!E:E, '賽道紀錄'!A:A=B237, '賽道紀錄'!B:B=C237)-F237"),-2.471064814814814E-4)</f>
        <v>-0.0002471064815</v>
      </c>
      <c r="K237" s="4"/>
      <c r="L237" s="4" t="s">
        <v>530</v>
      </c>
      <c r="M237" s="82">
        <f t="shared" si="2"/>
        <v>273.817</v>
      </c>
      <c r="N237" s="27">
        <f t="shared" si="3"/>
        <v>0.003169178241</v>
      </c>
    </row>
    <row r="238">
      <c r="A238" s="77">
        <v>45865.0</v>
      </c>
      <c r="B238" s="4" t="s">
        <v>445</v>
      </c>
      <c r="C238" s="4" t="s">
        <v>446</v>
      </c>
      <c r="D238" s="4" t="s">
        <v>224</v>
      </c>
      <c r="E238" s="4" t="s">
        <v>245</v>
      </c>
      <c r="F238" s="80">
        <f t="shared" si="1"/>
        <v>0.002572337963</v>
      </c>
      <c r="G238" s="4" t="s">
        <v>455</v>
      </c>
      <c r="H238" s="4" t="s">
        <v>231</v>
      </c>
      <c r="I238" s="4" t="s">
        <v>226</v>
      </c>
      <c r="J238" s="81">
        <f>IFERROR(__xludf.DUMMYFUNCTION("FILTER('賽道紀錄'!E:E, '賽道紀錄'!A:A=B238, '賽道紀錄'!B:B=C238)-F238"),-1.9194444444444467E-4)</f>
        <v>-0.0001919444444</v>
      </c>
      <c r="K238" s="4"/>
      <c r="L238" s="4" t="s">
        <v>531</v>
      </c>
      <c r="M238" s="82">
        <f t="shared" si="2"/>
        <v>222.25</v>
      </c>
      <c r="N238" s="27">
        <f t="shared" si="3"/>
        <v>0.002572337963</v>
      </c>
    </row>
    <row r="239">
      <c r="A239" s="77">
        <v>45864.0</v>
      </c>
      <c r="B239" s="4" t="s">
        <v>445</v>
      </c>
      <c r="C239" s="4" t="s">
        <v>441</v>
      </c>
      <c r="D239" s="4" t="s">
        <v>224</v>
      </c>
      <c r="E239" s="4" t="s">
        <v>205</v>
      </c>
      <c r="F239" s="80">
        <f t="shared" si="1"/>
        <v>0.002742673611</v>
      </c>
      <c r="G239" s="4" t="s">
        <v>123</v>
      </c>
      <c r="H239" s="4" t="s">
        <v>231</v>
      </c>
      <c r="I239" s="4" t="s">
        <v>226</v>
      </c>
      <c r="J239" s="81">
        <f>IFERROR(__xludf.DUMMYFUNCTION("FILTER('賽道紀錄'!E:E, '賽道紀錄'!A:A=B239, '賽道紀錄'!B:B=C239)-F239"),-2.0930555555555546E-4)</f>
        <v>-0.0002093055556</v>
      </c>
      <c r="K239" s="4"/>
      <c r="L239" s="4" t="s">
        <v>532</v>
      </c>
      <c r="M239" s="82">
        <f t="shared" si="2"/>
        <v>236.967</v>
      </c>
      <c r="N239" s="27">
        <f t="shared" si="3"/>
        <v>0.002742673611</v>
      </c>
    </row>
    <row r="240">
      <c r="A240" s="77">
        <v>45864.0</v>
      </c>
      <c r="B240" s="4" t="s">
        <v>445</v>
      </c>
      <c r="C240" s="4" t="s">
        <v>443</v>
      </c>
      <c r="D240" s="4" t="s">
        <v>224</v>
      </c>
      <c r="E240" s="4" t="s">
        <v>205</v>
      </c>
      <c r="F240" s="80">
        <f t="shared" si="1"/>
        <v>0.002824456019</v>
      </c>
      <c r="G240" s="4" t="s">
        <v>123</v>
      </c>
      <c r="H240" s="4" t="s">
        <v>231</v>
      </c>
      <c r="I240" s="4" t="s">
        <v>226</v>
      </c>
      <c r="J240" s="81">
        <f>IFERROR(__xludf.DUMMYFUNCTION("FILTER('賽道紀錄'!E:E, '賽道紀錄'!A:A=B240, '賽道紀錄'!B:B=C240)-F240"),-5.126967592592592E-4)</f>
        <v>-0.0005126967593</v>
      </c>
      <c r="K240" s="4"/>
      <c r="L240" s="4" t="s">
        <v>533</v>
      </c>
      <c r="M240" s="82">
        <f t="shared" si="2"/>
        <v>244.033</v>
      </c>
      <c r="N240" s="27">
        <f t="shared" si="3"/>
        <v>0.002824456019</v>
      </c>
    </row>
    <row r="241">
      <c r="A241" s="77">
        <v>45868.0</v>
      </c>
      <c r="B241" s="4" t="s">
        <v>445</v>
      </c>
      <c r="C241" s="4" t="s">
        <v>446</v>
      </c>
      <c r="D241" s="4" t="s">
        <v>224</v>
      </c>
      <c r="E241" s="4" t="s">
        <v>208</v>
      </c>
      <c r="F241" s="80">
        <f t="shared" si="1"/>
        <v>0.002532951389</v>
      </c>
      <c r="G241" s="4" t="s">
        <v>197</v>
      </c>
      <c r="H241" s="4" t="s">
        <v>225</v>
      </c>
      <c r="I241" s="4" t="s">
        <v>226</v>
      </c>
      <c r="J241" s="81">
        <f>IFERROR(__xludf.DUMMYFUNCTION("FILTER('賽道紀錄'!E:E, '賽道紀錄'!A:A=B241, '賽道紀錄'!B:B=C241)-F241"),-1.525578703703706E-4)</f>
        <v>-0.0001525578704</v>
      </c>
      <c r="K241" s="4"/>
      <c r="L241" s="4" t="s">
        <v>534</v>
      </c>
      <c r="M241" s="82">
        <f t="shared" si="2"/>
        <v>218.847</v>
      </c>
      <c r="N241" s="27">
        <f t="shared" si="3"/>
        <v>0.002532951389</v>
      </c>
    </row>
    <row r="242">
      <c r="A242" s="77">
        <v>45868.0</v>
      </c>
      <c r="B242" s="4" t="s">
        <v>445</v>
      </c>
      <c r="C242" s="4" t="s">
        <v>446</v>
      </c>
      <c r="D242" s="4" t="s">
        <v>224</v>
      </c>
      <c r="E242" s="4" t="s">
        <v>245</v>
      </c>
      <c r="F242" s="80">
        <f t="shared" si="1"/>
        <v>0.002556516204</v>
      </c>
      <c r="G242" s="4" t="s">
        <v>455</v>
      </c>
      <c r="H242" s="4" t="s">
        <v>231</v>
      </c>
      <c r="I242" s="4" t="s">
        <v>226</v>
      </c>
      <c r="J242" s="81">
        <f>IFERROR(__xludf.DUMMYFUNCTION("FILTER('賽道紀錄'!E:E, '賽道紀錄'!A:A=B242, '賽道紀錄'!B:B=C242)-F242"),-1.761226851851854E-4)</f>
        <v>-0.0001761226852</v>
      </c>
      <c r="K242" s="4"/>
      <c r="L242" s="4" t="s">
        <v>535</v>
      </c>
      <c r="M242" s="82">
        <f t="shared" si="2"/>
        <v>220.883</v>
      </c>
      <c r="N242" s="27">
        <f t="shared" si="3"/>
        <v>0.002556516204</v>
      </c>
    </row>
    <row r="243">
      <c r="A243" s="77">
        <v>45868.0</v>
      </c>
      <c r="B243" s="4" t="s">
        <v>445</v>
      </c>
      <c r="C243" s="4" t="s">
        <v>446</v>
      </c>
      <c r="D243" s="4" t="s">
        <v>224</v>
      </c>
      <c r="E243" s="4" t="s">
        <v>229</v>
      </c>
      <c r="F243" s="80">
        <f t="shared" si="1"/>
        <v>0.002632766204</v>
      </c>
      <c r="G243" s="4" t="s">
        <v>494</v>
      </c>
      <c r="H243" s="4" t="s">
        <v>231</v>
      </c>
      <c r="I243" s="4" t="s">
        <v>226</v>
      </c>
      <c r="J243" s="81">
        <f>IFERROR(__xludf.DUMMYFUNCTION("FILTER('賽道紀錄'!E:E, '賽道紀錄'!A:A=B243, '賽道紀錄'!B:B=C243)-F243"),-2.5237268518518534E-4)</f>
        <v>-0.0002523726852</v>
      </c>
      <c r="K243" s="4"/>
      <c r="L243" s="4" t="s">
        <v>536</v>
      </c>
      <c r="M243" s="82">
        <f t="shared" si="2"/>
        <v>227.471</v>
      </c>
      <c r="N243" s="27">
        <f t="shared" si="3"/>
        <v>0.002632766204</v>
      </c>
    </row>
    <row r="244">
      <c r="A244" s="77">
        <v>45868.0</v>
      </c>
      <c r="B244" s="4" t="s">
        <v>445</v>
      </c>
      <c r="C244" s="4" t="s">
        <v>446</v>
      </c>
      <c r="D244" s="4" t="s">
        <v>224</v>
      </c>
      <c r="E244" s="4" t="s">
        <v>205</v>
      </c>
      <c r="F244" s="80">
        <f t="shared" si="1"/>
        <v>0.002666469907</v>
      </c>
      <c r="G244" s="4" t="s">
        <v>123</v>
      </c>
      <c r="H244" s="4" t="s">
        <v>231</v>
      </c>
      <c r="I244" s="4" t="s">
        <v>226</v>
      </c>
      <c r="J244" s="81">
        <f>IFERROR(__xludf.DUMMYFUNCTION("FILTER('賽道紀錄'!E:E, '賽道紀錄'!A:A=B244, '賽道紀錄'!B:B=C244)-F244"),-2.860763888888891E-4)</f>
        <v>-0.0002860763889</v>
      </c>
      <c r="K244" s="4"/>
      <c r="L244" s="4" t="s">
        <v>537</v>
      </c>
      <c r="M244" s="82">
        <f t="shared" si="2"/>
        <v>230.383</v>
      </c>
      <c r="N244" s="27">
        <f t="shared" si="3"/>
        <v>0.002666469907</v>
      </c>
    </row>
    <row r="245">
      <c r="A245" s="77">
        <v>45868.0</v>
      </c>
      <c r="B245" s="4" t="s">
        <v>445</v>
      </c>
      <c r="C245" s="4" t="s">
        <v>446</v>
      </c>
      <c r="D245" s="4" t="s">
        <v>224</v>
      </c>
      <c r="E245" s="4" t="s">
        <v>235</v>
      </c>
      <c r="F245" s="80">
        <f t="shared" si="1"/>
        <v>0.003018900463</v>
      </c>
      <c r="G245" s="4" t="s">
        <v>145</v>
      </c>
      <c r="H245" s="4" t="s">
        <v>231</v>
      </c>
      <c r="I245" s="4" t="s">
        <v>226</v>
      </c>
      <c r="J245" s="81">
        <f>IFERROR(__xludf.DUMMYFUNCTION("FILTER('賽道紀錄'!E:E, '賽道紀錄'!A:A=B245, '賽道紀錄'!B:B=C245)-F245"),-6.38506944444445E-4)</f>
        <v>-0.0006385069444</v>
      </c>
      <c r="K245" s="4"/>
      <c r="L245" s="4" t="s">
        <v>538</v>
      </c>
      <c r="M245" s="82">
        <f t="shared" si="2"/>
        <v>260.833</v>
      </c>
      <c r="N245" s="27">
        <f t="shared" si="3"/>
        <v>0.003018900463</v>
      </c>
    </row>
    <row r="246">
      <c r="A246" s="77">
        <v>45869.0</v>
      </c>
      <c r="B246" s="4" t="s">
        <v>445</v>
      </c>
      <c r="C246" s="4" t="s">
        <v>446</v>
      </c>
      <c r="D246" s="4" t="s">
        <v>224</v>
      </c>
      <c r="E246" s="4" t="s">
        <v>245</v>
      </c>
      <c r="F246" s="80">
        <f t="shared" si="1"/>
        <v>0.002537037037</v>
      </c>
      <c r="G246" s="4" t="s">
        <v>455</v>
      </c>
      <c r="H246" s="4" t="s">
        <v>231</v>
      </c>
      <c r="I246" s="4" t="s">
        <v>226</v>
      </c>
      <c r="J246" s="81">
        <f>IFERROR(__xludf.DUMMYFUNCTION("FILTER('賽道紀錄'!E:E, '賽道紀錄'!A:A=B246, '賽道紀錄'!B:B=C246)-F246"),-1.5664351851851863E-4)</f>
        <v>-0.0001566435185</v>
      </c>
      <c r="K246" s="4"/>
      <c r="L246" s="4" t="s">
        <v>539</v>
      </c>
      <c r="M246" s="82">
        <f t="shared" si="2"/>
        <v>219.2</v>
      </c>
      <c r="N246" s="27">
        <f t="shared" si="3"/>
        <v>0.002537037037</v>
      </c>
    </row>
    <row r="247">
      <c r="A247" s="77">
        <v>45870.0</v>
      </c>
      <c r="B247" s="4" t="s">
        <v>445</v>
      </c>
      <c r="C247" s="4" t="s">
        <v>446</v>
      </c>
      <c r="D247" s="4" t="s">
        <v>224</v>
      </c>
      <c r="E247" s="4" t="s">
        <v>209</v>
      </c>
      <c r="F247" s="80">
        <f t="shared" si="1"/>
        <v>0.002380393519</v>
      </c>
      <c r="G247" s="4" t="s">
        <v>123</v>
      </c>
      <c r="H247" s="4" t="s">
        <v>225</v>
      </c>
      <c r="I247" s="4" t="s">
        <v>226</v>
      </c>
      <c r="J247" s="81">
        <f>IFERROR(__xludf.DUMMYFUNCTION("FILTER('賽道紀錄'!E:E, '賽道紀錄'!A:A=B247, '賽道紀錄'!B:B=C247)-F247"),0.0)</f>
        <v>0</v>
      </c>
      <c r="K247" s="4"/>
      <c r="L247" s="4" t="s">
        <v>540</v>
      </c>
      <c r="M247" s="82">
        <f t="shared" si="2"/>
        <v>205.666</v>
      </c>
      <c r="N247" s="27">
        <f t="shared" si="3"/>
        <v>0.002380393519</v>
      </c>
    </row>
    <row r="248">
      <c r="A248" s="77">
        <v>45871.0</v>
      </c>
      <c r="B248" s="4" t="s">
        <v>473</v>
      </c>
      <c r="C248" s="4" t="s">
        <v>383</v>
      </c>
      <c r="D248" s="4" t="s">
        <v>224</v>
      </c>
      <c r="E248" s="4" t="s">
        <v>205</v>
      </c>
      <c r="F248" s="80">
        <f t="shared" si="1"/>
        <v>0.00258931713</v>
      </c>
      <c r="G248" s="4" t="s">
        <v>159</v>
      </c>
      <c r="H248" s="4" t="s">
        <v>231</v>
      </c>
      <c r="I248" s="4" t="s">
        <v>226</v>
      </c>
      <c r="J248" s="81">
        <f>IFERROR(__xludf.DUMMYFUNCTION("FILTER('賽道紀錄'!E:E, '賽道紀錄'!A:A=B248, '賽道紀錄'!B:B=C248)-F248"),-5.11226851851853E-5)</f>
        <v>-0.00005112268519</v>
      </c>
      <c r="K248" s="4"/>
      <c r="L248" s="4" t="s">
        <v>541</v>
      </c>
      <c r="M248" s="82">
        <f t="shared" si="2"/>
        <v>223.717</v>
      </c>
      <c r="N248" s="27">
        <f t="shared" si="3"/>
        <v>0.00258931713</v>
      </c>
    </row>
    <row r="249">
      <c r="A249" s="77">
        <v>45871.0</v>
      </c>
      <c r="B249" s="4" t="s">
        <v>445</v>
      </c>
      <c r="C249" s="4" t="s">
        <v>446</v>
      </c>
      <c r="D249" s="4" t="s">
        <v>224</v>
      </c>
      <c r="E249" s="4" t="s">
        <v>208</v>
      </c>
      <c r="F249" s="80">
        <f t="shared" si="1"/>
        <v>0.002576030093</v>
      </c>
      <c r="G249" s="4" t="s">
        <v>184</v>
      </c>
      <c r="H249" s="4" t="s">
        <v>225</v>
      </c>
      <c r="I249" s="4" t="s">
        <v>226</v>
      </c>
      <c r="J249" s="81">
        <f>IFERROR(__xludf.DUMMYFUNCTION("FILTER('賽道紀錄'!E:E, '賽道紀錄'!A:A=B249, '賽道紀錄'!B:B=C249)-F249"),-1.956365740740742E-4)</f>
        <v>-0.0001956365741</v>
      </c>
      <c r="K249" s="4"/>
      <c r="L249" s="4" t="s">
        <v>542</v>
      </c>
      <c r="M249" s="82">
        <f t="shared" si="2"/>
        <v>222.569</v>
      </c>
      <c r="N249" s="27">
        <f t="shared" si="3"/>
        <v>0.002576030093</v>
      </c>
    </row>
    <row r="250">
      <c r="A250" s="77">
        <v>45871.0</v>
      </c>
      <c r="B250" s="4" t="s">
        <v>445</v>
      </c>
      <c r="C250" s="4" t="s">
        <v>446</v>
      </c>
      <c r="D250" s="4" t="s">
        <v>224</v>
      </c>
      <c r="E250" s="4" t="s">
        <v>229</v>
      </c>
      <c r="F250" s="80">
        <f t="shared" si="1"/>
        <v>0.00260837963</v>
      </c>
      <c r="G250" s="4" t="s">
        <v>123</v>
      </c>
      <c r="H250" s="4" t="s">
        <v>225</v>
      </c>
      <c r="I250" s="4" t="s">
        <v>226</v>
      </c>
      <c r="J250" s="81">
        <f>IFERROR(__xludf.DUMMYFUNCTION("FILTER('賽道紀錄'!E:E, '賽道紀錄'!A:A=B250, '賽道紀錄'!B:B=C250)-F250"),-2.279861111111111E-4)</f>
        <v>-0.0002279861111</v>
      </c>
      <c r="K250" s="4"/>
      <c r="L250" s="4" t="s">
        <v>543</v>
      </c>
      <c r="M250" s="82">
        <f t="shared" si="2"/>
        <v>225.364</v>
      </c>
      <c r="N250" s="27">
        <f t="shared" si="3"/>
        <v>0.00260837963</v>
      </c>
    </row>
    <row r="251">
      <c r="A251" s="77">
        <v>45871.0</v>
      </c>
      <c r="B251" s="4" t="s">
        <v>445</v>
      </c>
      <c r="C251" s="4" t="s">
        <v>446</v>
      </c>
      <c r="D251" s="4" t="s">
        <v>224</v>
      </c>
      <c r="E251" s="4" t="s">
        <v>245</v>
      </c>
      <c r="F251" s="80">
        <f t="shared" si="1"/>
        <v>0.002637349537</v>
      </c>
      <c r="G251" s="4" t="s">
        <v>124</v>
      </c>
      <c r="H251" s="4" t="s">
        <v>225</v>
      </c>
      <c r="I251" s="4" t="s">
        <v>226</v>
      </c>
      <c r="J251" s="81">
        <f>IFERROR(__xludf.DUMMYFUNCTION("FILTER('賽道紀錄'!E:E, '賽道紀錄'!A:A=B251, '賽道紀錄'!B:B=C251)-F251"),-2.569560185185188E-4)</f>
        <v>-0.0002569560185</v>
      </c>
      <c r="K251" s="4"/>
      <c r="L251" s="4" t="s">
        <v>544</v>
      </c>
      <c r="M251" s="82">
        <f t="shared" si="2"/>
        <v>227.867</v>
      </c>
      <c r="N251" s="27">
        <f t="shared" si="3"/>
        <v>0.002637349537</v>
      </c>
    </row>
    <row r="252">
      <c r="A252" s="77">
        <v>45871.0</v>
      </c>
      <c r="B252" s="4" t="s">
        <v>445</v>
      </c>
      <c r="C252" s="4" t="s">
        <v>446</v>
      </c>
      <c r="D252" s="4" t="s">
        <v>224</v>
      </c>
      <c r="E252" s="4" t="s">
        <v>207</v>
      </c>
      <c r="F252" s="80">
        <f t="shared" si="1"/>
        <v>0.002645636574</v>
      </c>
      <c r="G252" s="4" t="s">
        <v>123</v>
      </c>
      <c r="H252" s="4" t="s">
        <v>225</v>
      </c>
      <c r="I252" s="4" t="s">
        <v>226</v>
      </c>
      <c r="J252" s="81">
        <f>IFERROR(__xludf.DUMMYFUNCTION("FILTER('賽道紀錄'!E:E, '賽道紀錄'!A:A=B252, '賽道紀錄'!B:B=C252)-F252"),-2.652430555555559E-4)</f>
        <v>-0.0002652430556</v>
      </c>
      <c r="K252" s="4"/>
      <c r="L252" s="4" t="s">
        <v>545</v>
      </c>
      <c r="M252" s="82">
        <f t="shared" si="2"/>
        <v>228.583</v>
      </c>
      <c r="N252" s="27">
        <f t="shared" si="3"/>
        <v>0.002645636574</v>
      </c>
    </row>
    <row r="253">
      <c r="A253" s="77">
        <v>45871.0</v>
      </c>
      <c r="B253" s="4" t="s">
        <v>445</v>
      </c>
      <c r="C253" s="4" t="s">
        <v>446</v>
      </c>
      <c r="D253" s="4" t="s">
        <v>224</v>
      </c>
      <c r="E253" s="4" t="s">
        <v>205</v>
      </c>
      <c r="F253" s="80">
        <f t="shared" si="1"/>
        <v>0.002703125</v>
      </c>
      <c r="G253" s="4" t="s">
        <v>123</v>
      </c>
      <c r="H253" s="4" t="s">
        <v>231</v>
      </c>
      <c r="I253" s="4" t="s">
        <v>226</v>
      </c>
      <c r="J253" s="81">
        <f>IFERROR(__xludf.DUMMYFUNCTION("FILTER('賽道紀錄'!E:E, '賽道紀錄'!A:A=B253, '賽道紀錄'!B:B=C253)-F253"),-3.22731481481482E-4)</f>
        <v>-0.0003227314815</v>
      </c>
      <c r="K253" s="4"/>
      <c r="L253" s="4" t="s">
        <v>546</v>
      </c>
      <c r="M253" s="82">
        <f t="shared" si="2"/>
        <v>233.55</v>
      </c>
      <c r="N253" s="27">
        <f t="shared" si="3"/>
        <v>0.002703125</v>
      </c>
    </row>
    <row r="254">
      <c r="A254" s="77">
        <v>45871.0</v>
      </c>
      <c r="B254" s="4" t="s">
        <v>445</v>
      </c>
      <c r="C254" s="4" t="s">
        <v>446</v>
      </c>
      <c r="D254" s="4" t="s">
        <v>224</v>
      </c>
      <c r="E254" s="4" t="s">
        <v>275</v>
      </c>
      <c r="F254" s="80">
        <f t="shared" si="1"/>
        <v>0.002840277778</v>
      </c>
      <c r="G254" s="4" t="s">
        <v>123</v>
      </c>
      <c r="H254" s="4" t="s">
        <v>231</v>
      </c>
      <c r="I254" s="4" t="s">
        <v>226</v>
      </c>
      <c r="J254" s="81">
        <f>IFERROR(__xludf.DUMMYFUNCTION("FILTER('賽道紀錄'!E:E, '賽道紀錄'!A:A=B254, '賽道紀錄'!B:B=C254)-F254"),-4.598842592592597E-4)</f>
        <v>-0.0004598842593</v>
      </c>
      <c r="K254" s="4"/>
      <c r="L254" s="4" t="s">
        <v>547</v>
      </c>
      <c r="M254" s="82">
        <f t="shared" si="2"/>
        <v>245.4</v>
      </c>
      <c r="N254" s="27">
        <f t="shared" si="3"/>
        <v>0.002840277778</v>
      </c>
    </row>
    <row r="255">
      <c r="A255" s="77">
        <v>45872.0</v>
      </c>
      <c r="B255" s="4" t="s">
        <v>445</v>
      </c>
      <c r="C255" s="4" t="s">
        <v>446</v>
      </c>
      <c r="D255" s="4" t="s">
        <v>224</v>
      </c>
      <c r="E255" s="4" t="s">
        <v>235</v>
      </c>
      <c r="F255" s="80">
        <f t="shared" si="1"/>
        <v>0.002872106481</v>
      </c>
      <c r="G255" s="4" t="s">
        <v>145</v>
      </c>
      <c r="H255" s="4" t="s">
        <v>231</v>
      </c>
      <c r="I255" s="4" t="s">
        <v>226</v>
      </c>
      <c r="J255" s="81">
        <f>IFERROR(__xludf.DUMMYFUNCTION("FILTER('賽道紀錄'!E:E, '賽道紀錄'!A:A=B255, '賽道紀錄'!B:B=C255)-F255"),-4.917129629629629E-4)</f>
        <v>-0.000491712963</v>
      </c>
      <c r="K255" s="4"/>
      <c r="L255" s="4" t="s">
        <v>548</v>
      </c>
      <c r="M255" s="82">
        <f t="shared" si="2"/>
        <v>248.15</v>
      </c>
      <c r="N255" s="27">
        <f t="shared" si="3"/>
        <v>0.002872106481</v>
      </c>
    </row>
    <row r="256">
      <c r="A256" s="77">
        <v>45872.0</v>
      </c>
      <c r="B256" s="4" t="s">
        <v>435</v>
      </c>
      <c r="C256" s="4" t="s">
        <v>223</v>
      </c>
      <c r="D256" s="4" t="s">
        <v>224</v>
      </c>
      <c r="E256" s="4" t="s">
        <v>206</v>
      </c>
      <c r="F256" s="80">
        <f t="shared" si="1"/>
        <v>0.002684409722</v>
      </c>
      <c r="G256" s="4" t="s">
        <v>317</v>
      </c>
      <c r="H256" s="4" t="s">
        <v>231</v>
      </c>
      <c r="I256" s="4" t="s">
        <v>226</v>
      </c>
      <c r="J256" s="81">
        <f>IFERROR(__xludf.DUMMYFUNCTION("FILTER('賽道紀錄'!E:E, '賽道紀錄'!A:A=B256, '賽道紀錄'!B:B=C256)-F256"),-2.2723379629629612E-4)</f>
        <v>-0.0002272337963</v>
      </c>
      <c r="K256" s="4"/>
      <c r="L256" s="4" t="s">
        <v>549</v>
      </c>
      <c r="M256" s="82">
        <f t="shared" si="2"/>
        <v>231.933</v>
      </c>
      <c r="N256" s="27">
        <f t="shared" si="3"/>
        <v>0.002684409722</v>
      </c>
    </row>
    <row r="257">
      <c r="A257" s="77">
        <v>45872.0</v>
      </c>
      <c r="B257" s="4" t="s">
        <v>550</v>
      </c>
      <c r="C257" s="4" t="s">
        <v>443</v>
      </c>
      <c r="D257" s="4" t="s">
        <v>224</v>
      </c>
      <c r="E257" s="4" t="s">
        <v>205</v>
      </c>
      <c r="F257" s="80">
        <f t="shared" si="1"/>
        <v>0.002908368056</v>
      </c>
      <c r="G257" s="4" t="s">
        <v>168</v>
      </c>
      <c r="H257" s="4" t="s">
        <v>231</v>
      </c>
      <c r="I257" s="4" t="s">
        <v>226</v>
      </c>
      <c r="J257" s="81">
        <f>IFERROR(__xludf.DUMMYFUNCTION("FILTER('賽道紀錄'!E:E, '賽道紀錄'!A:A=B257, '賽道紀錄'!B:B=C257)-F257"),0.0)</f>
        <v>0</v>
      </c>
      <c r="K257" s="4"/>
      <c r="L257" s="4" t="s">
        <v>551</v>
      </c>
      <c r="M257" s="82">
        <f t="shared" si="2"/>
        <v>251.283</v>
      </c>
      <c r="N257" s="27">
        <f t="shared" si="3"/>
        <v>0.002908368056</v>
      </c>
    </row>
    <row r="258">
      <c r="A258" s="77">
        <v>45872.0</v>
      </c>
      <c r="B258" s="4" t="s">
        <v>550</v>
      </c>
      <c r="C258" s="4" t="s">
        <v>441</v>
      </c>
      <c r="D258" s="4" t="s">
        <v>224</v>
      </c>
      <c r="E258" s="4" t="s">
        <v>205</v>
      </c>
      <c r="F258" s="80">
        <f t="shared" si="1"/>
        <v>0.002765636574</v>
      </c>
      <c r="G258" s="4" t="s">
        <v>168</v>
      </c>
      <c r="H258" s="4" t="s">
        <v>231</v>
      </c>
      <c r="I258" s="4" t="s">
        <v>226</v>
      </c>
      <c r="J258" s="81">
        <f>IFERROR(__xludf.DUMMYFUNCTION("FILTER('賽道紀錄'!E:E, '賽道紀錄'!A:A=B258, '賽道紀錄'!B:B=C258)-F258"),-1.2925925925925865E-4)</f>
        <v>-0.0001292592593</v>
      </c>
      <c r="K258" s="4"/>
      <c r="L258" s="4" t="s">
        <v>552</v>
      </c>
      <c r="M258" s="82">
        <f t="shared" si="2"/>
        <v>238.951</v>
      </c>
      <c r="N258" s="27">
        <f t="shared" si="3"/>
        <v>0.002765636574</v>
      </c>
    </row>
    <row r="259">
      <c r="A259" s="77">
        <v>45872.0</v>
      </c>
      <c r="B259" s="4" t="s">
        <v>435</v>
      </c>
      <c r="C259" s="4" t="s">
        <v>223</v>
      </c>
      <c r="D259" s="4" t="s">
        <v>224</v>
      </c>
      <c r="E259" s="4" t="s">
        <v>206</v>
      </c>
      <c r="F259" s="80">
        <f t="shared" si="1"/>
        <v>0.0026628125</v>
      </c>
      <c r="G259" s="4" t="s">
        <v>317</v>
      </c>
      <c r="H259" s="4" t="s">
        <v>231</v>
      </c>
      <c r="I259" s="4" t="s">
        <v>226</v>
      </c>
      <c r="J259" s="81">
        <f>IFERROR(__xludf.DUMMYFUNCTION("FILTER('賽道紀錄'!E:E, '賽道紀錄'!A:A=B259, '賽道紀錄'!B:B=C259)-F259"),-2.0563657407407423E-4)</f>
        <v>-0.0002056365741</v>
      </c>
      <c r="K259" s="4"/>
      <c r="L259" s="4" t="s">
        <v>553</v>
      </c>
      <c r="M259" s="82">
        <f t="shared" si="2"/>
        <v>230.067</v>
      </c>
      <c r="N259" s="27">
        <f t="shared" si="3"/>
        <v>0.0026628125</v>
      </c>
    </row>
    <row r="260">
      <c r="A260" s="77">
        <v>45872.0</v>
      </c>
      <c r="B260" s="4" t="s">
        <v>550</v>
      </c>
      <c r="C260" s="4" t="s">
        <v>446</v>
      </c>
      <c r="D260" s="4" t="s">
        <v>224</v>
      </c>
      <c r="E260" s="4" t="s">
        <v>205</v>
      </c>
      <c r="F260" s="80">
        <f t="shared" si="1"/>
        <v>0.006263368056</v>
      </c>
      <c r="G260" s="4" t="s">
        <v>196</v>
      </c>
      <c r="H260" s="4" t="s">
        <v>231</v>
      </c>
      <c r="I260" s="4" t="s">
        <v>226</v>
      </c>
      <c r="J260" s="81">
        <f>IFERROR(__xludf.DUMMYFUNCTION("FILTER('賽道紀錄'!E:E, '賽道紀錄'!A:A=B260, '賽道紀錄'!B:B=C260)-F260"),0.0)</f>
        <v>0</v>
      </c>
      <c r="K260" s="4"/>
      <c r="L260" s="4" t="s">
        <v>554</v>
      </c>
      <c r="M260" s="82">
        <f t="shared" si="2"/>
        <v>541.155</v>
      </c>
      <c r="N260" s="27">
        <f t="shared" si="3"/>
        <v>0.006263368056</v>
      </c>
    </row>
    <row r="261">
      <c r="A261" s="77">
        <v>45872.0</v>
      </c>
      <c r="B261" s="4" t="s">
        <v>550</v>
      </c>
      <c r="C261" s="4" t="s">
        <v>441</v>
      </c>
      <c r="D261" s="4" t="s">
        <v>224</v>
      </c>
      <c r="E261" s="4" t="s">
        <v>205</v>
      </c>
      <c r="F261" s="80">
        <f t="shared" si="1"/>
        <v>0.003003310185</v>
      </c>
      <c r="G261" s="5" t="s">
        <v>176</v>
      </c>
      <c r="H261" s="4" t="s">
        <v>231</v>
      </c>
      <c r="I261" s="4" t="s">
        <v>226</v>
      </c>
      <c r="J261" s="81">
        <f>IFERROR(__xludf.DUMMYFUNCTION("FILTER('賽道紀錄'!E:E, '賽道紀錄'!A:A=B261, '賽道紀錄'!B:B=C261)-F261"),-3.6693287037037033E-4)</f>
        <v>-0.0003669328704</v>
      </c>
      <c r="K261" s="4"/>
      <c r="L261" s="4" t="s">
        <v>555</v>
      </c>
      <c r="M261" s="82">
        <f t="shared" si="2"/>
        <v>259.486</v>
      </c>
      <c r="N261" s="27">
        <f t="shared" si="3"/>
        <v>0.003003310185</v>
      </c>
    </row>
    <row r="262">
      <c r="A262" s="77">
        <v>45872.0</v>
      </c>
      <c r="B262" s="4" t="s">
        <v>550</v>
      </c>
      <c r="C262" s="4" t="s">
        <v>441</v>
      </c>
      <c r="D262" s="4" t="s">
        <v>224</v>
      </c>
      <c r="E262" s="4" t="s">
        <v>206</v>
      </c>
      <c r="F262" s="80">
        <f t="shared" si="1"/>
        <v>0.002636377315</v>
      </c>
      <c r="G262" s="4" t="s">
        <v>168</v>
      </c>
      <c r="H262" s="4" t="s">
        <v>231</v>
      </c>
      <c r="I262" s="4" t="s">
        <v>226</v>
      </c>
      <c r="J262" s="81">
        <f>IFERROR(__xludf.DUMMYFUNCTION("FILTER('賽道紀錄'!E:E, '賽道紀錄'!A:A=B262, '賽道紀錄'!B:B=C262)-F262"),0.0)</f>
        <v>0</v>
      </c>
      <c r="K262" s="4"/>
      <c r="L262" s="4" t="s">
        <v>556</v>
      </c>
      <c r="M262" s="82">
        <f t="shared" si="2"/>
        <v>227.783</v>
      </c>
      <c r="N262" s="27">
        <f t="shared" si="3"/>
        <v>0.002636377315</v>
      </c>
    </row>
    <row r="263">
      <c r="A263" s="77">
        <v>45872.0</v>
      </c>
      <c r="B263" s="4" t="s">
        <v>550</v>
      </c>
      <c r="C263" s="4" t="s">
        <v>441</v>
      </c>
      <c r="D263" s="4" t="s">
        <v>224</v>
      </c>
      <c r="E263" s="4" t="s">
        <v>229</v>
      </c>
      <c r="F263" s="80">
        <f t="shared" si="1"/>
        <v>0.002685046296</v>
      </c>
      <c r="G263" s="5" t="s">
        <v>176</v>
      </c>
      <c r="H263" s="4" t="s">
        <v>231</v>
      </c>
      <c r="I263" s="4" t="s">
        <v>226</v>
      </c>
      <c r="J263" s="81">
        <f>IFERROR(__xludf.DUMMYFUNCTION("FILTER('賽道紀錄'!E:E, '賽道紀錄'!A:A=B263, '賽道紀錄'!B:B=C263)-F263"),-4.8668981481481566E-5)</f>
        <v>-0.00004866898148</v>
      </c>
      <c r="K263" s="4"/>
      <c r="L263" s="4" t="s">
        <v>557</v>
      </c>
      <c r="M263" s="82">
        <f t="shared" si="2"/>
        <v>231.988</v>
      </c>
      <c r="N263" s="27">
        <f t="shared" si="3"/>
        <v>0.002685046296</v>
      </c>
    </row>
    <row r="264">
      <c r="A264" s="77">
        <v>45872.0</v>
      </c>
      <c r="B264" s="4" t="s">
        <v>473</v>
      </c>
      <c r="C264" s="4" t="s">
        <v>381</v>
      </c>
      <c r="D264" s="4" t="s">
        <v>224</v>
      </c>
      <c r="E264" s="4" t="s">
        <v>229</v>
      </c>
      <c r="F264" s="80">
        <f t="shared" si="1"/>
        <v>0.002640729167</v>
      </c>
      <c r="G264" s="4" t="s">
        <v>183</v>
      </c>
      <c r="H264" s="4" t="s">
        <v>231</v>
      </c>
      <c r="I264" s="4" t="s">
        <v>226</v>
      </c>
      <c r="J264" s="81">
        <f>IFERROR(__xludf.DUMMYFUNCTION("FILTER('賽道紀錄'!E:E, '賽道紀錄'!A:A=B264, '賽道紀錄'!B:B=C264)-F264"),-1.2202546296296267E-4)</f>
        <v>-0.000122025463</v>
      </c>
      <c r="K264" s="4"/>
      <c r="L264" s="4" t="s">
        <v>558</v>
      </c>
      <c r="M264" s="82">
        <f t="shared" si="2"/>
        <v>228.159</v>
      </c>
      <c r="N264" s="27">
        <f t="shared" si="3"/>
        <v>0.002640729167</v>
      </c>
    </row>
    <row r="265">
      <c r="A265" s="77">
        <v>45872.0</v>
      </c>
      <c r="B265" s="4" t="s">
        <v>473</v>
      </c>
      <c r="C265" s="4" t="s">
        <v>381</v>
      </c>
      <c r="D265" s="4" t="s">
        <v>224</v>
      </c>
      <c r="E265" s="4" t="s">
        <v>205</v>
      </c>
      <c r="F265" s="80">
        <f t="shared" si="1"/>
        <v>0.002869606481</v>
      </c>
      <c r="G265" s="4" t="s">
        <v>164</v>
      </c>
      <c r="H265" s="4" t="s">
        <v>231</v>
      </c>
      <c r="I265" s="4" t="s">
        <v>226</v>
      </c>
      <c r="J265" s="81">
        <f>IFERROR(__xludf.DUMMYFUNCTION("FILTER('賽道紀錄'!E:E, '賽道紀錄'!A:A=B265, '賽道紀錄'!B:B=C265)-F265"),-3.5090277777777767E-4)</f>
        <v>-0.0003509027778</v>
      </c>
      <c r="K265" s="4"/>
      <c r="L265" s="4" t="s">
        <v>559</v>
      </c>
      <c r="M265" s="82">
        <f t="shared" si="2"/>
        <v>247.934</v>
      </c>
      <c r="N265" s="27">
        <f t="shared" si="3"/>
        <v>0.002869606481</v>
      </c>
    </row>
    <row r="266">
      <c r="A266" s="77">
        <v>45872.0</v>
      </c>
      <c r="B266" s="4" t="s">
        <v>473</v>
      </c>
      <c r="C266" s="4" t="s">
        <v>381</v>
      </c>
      <c r="D266" s="4" t="s">
        <v>224</v>
      </c>
      <c r="E266" s="4" t="s">
        <v>206</v>
      </c>
      <c r="F266" s="80">
        <f t="shared" si="1"/>
        <v>0.002630601852</v>
      </c>
      <c r="G266" s="4" t="s">
        <v>190</v>
      </c>
      <c r="H266" s="4" t="s">
        <v>231</v>
      </c>
      <c r="I266" s="4" t="s">
        <v>226</v>
      </c>
      <c r="J266" s="81">
        <f>IFERROR(__xludf.DUMMYFUNCTION("FILTER('賽道紀錄'!E:E, '賽道紀錄'!A:A=B266, '賽道紀錄'!B:B=C266)-F266"),-1.1189814814814743E-4)</f>
        <v>-0.0001118981481</v>
      </c>
      <c r="K266" s="4"/>
      <c r="L266" s="4" t="s">
        <v>560</v>
      </c>
      <c r="M266" s="82">
        <f t="shared" si="2"/>
        <v>227.284</v>
      </c>
      <c r="N266" s="27">
        <f t="shared" si="3"/>
        <v>0.002630601852</v>
      </c>
    </row>
    <row r="267">
      <c r="A267" s="77">
        <v>45872.0</v>
      </c>
      <c r="B267" s="4" t="s">
        <v>222</v>
      </c>
      <c r="C267" s="4" t="s">
        <v>223</v>
      </c>
      <c r="D267" s="4" t="s">
        <v>224</v>
      </c>
      <c r="E267" s="4" t="s">
        <v>205</v>
      </c>
      <c r="F267" s="80">
        <f t="shared" si="1"/>
        <v>0.006944444444</v>
      </c>
      <c r="G267" s="4" t="s">
        <v>561</v>
      </c>
      <c r="H267" s="4" t="s">
        <v>231</v>
      </c>
      <c r="I267" s="4" t="s">
        <v>226</v>
      </c>
      <c r="J267" s="81">
        <f>IFERROR(__xludf.DUMMYFUNCTION("FILTER('賽道紀錄'!E:E, '賽道紀錄'!A:A=B267, '賽道紀錄'!B:B=C267)-F267"),-0.004892534722222222)</f>
        <v>-0.004892534722</v>
      </c>
      <c r="K267" s="4"/>
      <c r="L267" s="4" t="s">
        <v>562</v>
      </c>
      <c r="M267" s="82">
        <f t="shared" si="2"/>
        <v>600</v>
      </c>
      <c r="N267" s="27">
        <f t="shared" si="3"/>
        <v>0.006944444444</v>
      </c>
    </row>
    <row r="268">
      <c r="A268" s="77">
        <v>45872.0</v>
      </c>
      <c r="B268" s="4" t="s">
        <v>222</v>
      </c>
      <c r="C268" s="4" t="s">
        <v>223</v>
      </c>
      <c r="D268" s="4" t="s">
        <v>224</v>
      </c>
      <c r="E268" s="4" t="s">
        <v>205</v>
      </c>
      <c r="F268" s="80">
        <f t="shared" si="1"/>
        <v>0.002335451389</v>
      </c>
      <c r="G268" s="4" t="s">
        <v>147</v>
      </c>
      <c r="H268" s="4" t="s">
        <v>231</v>
      </c>
      <c r="I268" s="4" t="s">
        <v>226</v>
      </c>
      <c r="J268" s="81">
        <f>IFERROR(__xludf.DUMMYFUNCTION("FILTER('賽道紀錄'!E:E, '賽道紀錄'!A:A=B268, '賽道紀錄'!B:B=C268)-F268"),-2.8354166666666675E-4)</f>
        <v>-0.0002835416667</v>
      </c>
      <c r="K268" s="4"/>
      <c r="L268" s="4" t="s">
        <v>563</v>
      </c>
      <c r="M268" s="82">
        <f t="shared" si="2"/>
        <v>201.783</v>
      </c>
      <c r="N268" s="27">
        <f t="shared" si="3"/>
        <v>0.002335451389</v>
      </c>
    </row>
    <row r="269">
      <c r="A269" s="77">
        <v>45873.0</v>
      </c>
      <c r="B269" s="4" t="s">
        <v>398</v>
      </c>
      <c r="C269" s="4" t="s">
        <v>381</v>
      </c>
      <c r="D269" s="4" t="s">
        <v>224</v>
      </c>
      <c r="E269" s="4" t="s">
        <v>205</v>
      </c>
      <c r="F269" s="80">
        <f t="shared" si="1"/>
        <v>0.003201585648</v>
      </c>
      <c r="G269" s="4" t="s">
        <v>139</v>
      </c>
      <c r="H269" s="4" t="s">
        <v>231</v>
      </c>
      <c r="I269" s="4" t="s">
        <v>226</v>
      </c>
      <c r="J269" s="81">
        <f>IFERROR(__xludf.DUMMYFUNCTION("FILTER('賽道紀錄'!E:E, '賽道紀錄'!A:A=B269, '賽道紀錄'!B:B=C269)-F269"),-5.91238425925926E-4)</f>
        <v>-0.0005912384259</v>
      </c>
      <c r="K269" s="4"/>
      <c r="L269" s="4" t="s">
        <v>564</v>
      </c>
      <c r="M269" s="82">
        <f t="shared" si="2"/>
        <v>276.617</v>
      </c>
      <c r="N269" s="27">
        <f t="shared" si="3"/>
        <v>0.003201585648</v>
      </c>
    </row>
    <row r="270">
      <c r="A270" s="77">
        <v>45873.0</v>
      </c>
      <c r="B270" s="4" t="s">
        <v>398</v>
      </c>
      <c r="C270" s="4" t="s">
        <v>381</v>
      </c>
      <c r="D270" s="4" t="s">
        <v>224</v>
      </c>
      <c r="E270" s="4" t="s">
        <v>205</v>
      </c>
      <c r="F270" s="80">
        <f t="shared" si="1"/>
        <v>0.003415127315</v>
      </c>
      <c r="G270" s="4" t="s">
        <v>565</v>
      </c>
      <c r="H270" s="4" t="s">
        <v>231</v>
      </c>
      <c r="I270" s="4" t="s">
        <v>226</v>
      </c>
      <c r="J270" s="81">
        <f>IFERROR(__xludf.DUMMYFUNCTION("FILTER('賽道紀錄'!E:E, '賽道紀錄'!A:A=B270, '賽道紀錄'!B:B=C270)-F270"),-8.047800925925926E-4)</f>
        <v>-0.0008047800926</v>
      </c>
      <c r="K270" s="4"/>
      <c r="L270" s="4" t="s">
        <v>566</v>
      </c>
      <c r="M270" s="82">
        <f t="shared" si="2"/>
        <v>295.067</v>
      </c>
      <c r="N270" s="27">
        <f t="shared" si="3"/>
        <v>0.003415127315</v>
      </c>
    </row>
    <row r="271">
      <c r="A271" s="77">
        <v>45873.0</v>
      </c>
      <c r="B271" s="4" t="s">
        <v>398</v>
      </c>
      <c r="C271" s="4" t="s">
        <v>381</v>
      </c>
      <c r="D271" s="4" t="s">
        <v>224</v>
      </c>
      <c r="E271" s="4" t="s">
        <v>208</v>
      </c>
      <c r="F271" s="80">
        <f t="shared" si="1"/>
        <v>0.003147662037</v>
      </c>
      <c r="G271" s="5" t="s">
        <v>181</v>
      </c>
      <c r="H271" s="4" t="s">
        <v>225</v>
      </c>
      <c r="I271" s="4" t="s">
        <v>226</v>
      </c>
      <c r="J271" s="81">
        <f>IFERROR(__xludf.DUMMYFUNCTION("FILTER('賽道紀錄'!E:E, '賽道紀錄'!A:A=B271, '賽道紀錄'!B:B=C271)-F271"),-5.373148148148151E-4)</f>
        <v>-0.0005373148148</v>
      </c>
      <c r="K271" s="4"/>
      <c r="L271" s="4" t="s">
        <v>567</v>
      </c>
      <c r="M271" s="82">
        <f t="shared" si="2"/>
        <v>271.958</v>
      </c>
      <c r="N271" s="27">
        <f t="shared" si="3"/>
        <v>0.003147662037</v>
      </c>
    </row>
    <row r="272">
      <c r="A272" s="77">
        <v>45873.0</v>
      </c>
      <c r="B272" s="4" t="s">
        <v>398</v>
      </c>
      <c r="C272" s="4" t="s">
        <v>381</v>
      </c>
      <c r="D272" s="4" t="s">
        <v>224</v>
      </c>
      <c r="E272" s="4" t="s">
        <v>229</v>
      </c>
      <c r="F272" s="80">
        <f t="shared" si="1"/>
        <v>0.003395763889</v>
      </c>
      <c r="G272" s="4" t="s">
        <v>191</v>
      </c>
      <c r="H272" s="4" t="s">
        <v>231</v>
      </c>
      <c r="I272" s="4" t="s">
        <v>226</v>
      </c>
      <c r="J272" s="81">
        <f>IFERROR(__xludf.DUMMYFUNCTION("FILTER('賽道紀錄'!E:E, '賽道紀錄'!A:A=B272, '賽道紀錄'!B:B=C272)-F272"),-7.854166666666669E-4)</f>
        <v>-0.0007854166667</v>
      </c>
      <c r="K272" s="4"/>
      <c r="L272" s="4" t="s">
        <v>568</v>
      </c>
      <c r="M272" s="82">
        <f t="shared" si="2"/>
        <v>293.394</v>
      </c>
      <c r="N272" s="27">
        <f t="shared" si="3"/>
        <v>0.003395763889</v>
      </c>
    </row>
    <row r="273">
      <c r="A273" s="77">
        <v>45873.0</v>
      </c>
      <c r="B273" s="4" t="s">
        <v>398</v>
      </c>
      <c r="C273" s="4" t="s">
        <v>381</v>
      </c>
      <c r="D273" s="4" t="s">
        <v>224</v>
      </c>
      <c r="E273" s="4" t="s">
        <v>205</v>
      </c>
      <c r="F273" s="80">
        <f t="shared" si="1"/>
        <v>0.003287233796</v>
      </c>
      <c r="G273" s="4" t="s">
        <v>565</v>
      </c>
      <c r="H273" s="4" t="s">
        <v>231</v>
      </c>
      <c r="I273" s="4" t="s">
        <v>226</v>
      </c>
      <c r="J273" s="81">
        <f>IFERROR(__xludf.DUMMYFUNCTION("FILTER('賽道紀錄'!E:E, '賽道紀錄'!A:A=B273, '賽道紀錄'!B:B=C273)-F273"),-6.768865740740741E-4)</f>
        <v>-0.0006768865741</v>
      </c>
      <c r="K273" s="4"/>
      <c r="L273" s="4" t="s">
        <v>569</v>
      </c>
      <c r="M273" s="82">
        <f t="shared" si="2"/>
        <v>284.017</v>
      </c>
      <c r="N273" s="27">
        <f t="shared" si="3"/>
        <v>0.003287233796</v>
      </c>
    </row>
    <row r="274">
      <c r="A274" s="77">
        <v>45873.0</v>
      </c>
      <c r="B274" s="4" t="s">
        <v>398</v>
      </c>
      <c r="C274" s="4" t="s">
        <v>381</v>
      </c>
      <c r="D274" s="4" t="s">
        <v>224</v>
      </c>
      <c r="E274" s="4" t="s">
        <v>205</v>
      </c>
      <c r="F274" s="80">
        <f t="shared" si="1"/>
        <v>0.003208148148</v>
      </c>
      <c r="G274" s="5" t="s">
        <v>166</v>
      </c>
      <c r="H274" s="4" t="s">
        <v>231</v>
      </c>
      <c r="I274" s="4" t="s">
        <v>226</v>
      </c>
      <c r="J274" s="81">
        <f>IFERROR(__xludf.DUMMYFUNCTION("FILTER('賽道紀錄'!E:E, '賽道紀錄'!A:A=B274, '賽道紀錄'!B:B=C274)-F274"),-5.978009259259265E-4)</f>
        <v>-0.0005978009259</v>
      </c>
      <c r="K274" s="4"/>
      <c r="L274" s="4" t="s">
        <v>570</v>
      </c>
      <c r="M274" s="82">
        <f t="shared" si="2"/>
        <v>277.184</v>
      </c>
      <c r="N274" s="27">
        <f t="shared" si="3"/>
        <v>0.003208148148</v>
      </c>
    </row>
    <row r="275">
      <c r="A275" s="77">
        <v>45873.0</v>
      </c>
      <c r="B275" s="4" t="s">
        <v>398</v>
      </c>
      <c r="C275" s="4" t="s">
        <v>383</v>
      </c>
      <c r="D275" s="4" t="s">
        <v>224</v>
      </c>
      <c r="E275" s="4" t="s">
        <v>208</v>
      </c>
      <c r="F275" s="80">
        <f t="shared" si="1"/>
        <v>0.003227881944</v>
      </c>
      <c r="G275" s="4" t="s">
        <v>571</v>
      </c>
      <c r="H275" s="4" t="s">
        <v>225</v>
      </c>
      <c r="I275" s="4" t="s">
        <v>226</v>
      </c>
      <c r="J275" s="81">
        <f>IFERROR(__xludf.DUMMYFUNCTION("FILTER('賽道紀錄'!E:E, '賽道紀錄'!A:A=B275, '賽道紀錄'!B:B=C275)-F275"),-3.99375E-4)</f>
        <v>-0.000399375</v>
      </c>
      <c r="K275" s="4"/>
      <c r="L275" s="4" t="s">
        <v>572</v>
      </c>
      <c r="M275" s="82">
        <f t="shared" si="2"/>
        <v>278.889</v>
      </c>
      <c r="N275" s="27">
        <f t="shared" si="3"/>
        <v>0.003227881944</v>
      </c>
    </row>
    <row r="276">
      <c r="A276" s="77">
        <v>45873.0</v>
      </c>
      <c r="B276" s="4" t="s">
        <v>398</v>
      </c>
      <c r="C276" s="4" t="s">
        <v>383</v>
      </c>
      <c r="D276" s="4" t="s">
        <v>224</v>
      </c>
      <c r="E276" s="4" t="s">
        <v>229</v>
      </c>
      <c r="F276" s="80">
        <f t="shared" si="1"/>
        <v>0.003257280093</v>
      </c>
      <c r="G276" s="5" t="s">
        <v>181</v>
      </c>
      <c r="H276" s="4" t="s">
        <v>231</v>
      </c>
      <c r="I276" s="4" t="s">
        <v>226</v>
      </c>
      <c r="J276" s="81">
        <f>IFERROR(__xludf.DUMMYFUNCTION("FILTER('賽道紀錄'!E:E, '賽道紀錄'!A:A=B276, '賽道紀錄'!B:B=C276)-F276"),-4.2877314814814774E-4)</f>
        <v>-0.0004287731481</v>
      </c>
      <c r="K276" s="4"/>
      <c r="L276" s="4" t="s">
        <v>573</v>
      </c>
      <c r="M276" s="82">
        <f t="shared" si="2"/>
        <v>281.429</v>
      </c>
      <c r="N276" s="27">
        <f t="shared" si="3"/>
        <v>0.003257280093</v>
      </c>
    </row>
    <row r="277">
      <c r="A277" s="77">
        <v>45873.0</v>
      </c>
      <c r="B277" s="4" t="s">
        <v>398</v>
      </c>
      <c r="C277" s="4" t="s">
        <v>383</v>
      </c>
      <c r="D277" s="4" t="s">
        <v>224</v>
      </c>
      <c r="E277" s="4" t="s">
        <v>205</v>
      </c>
      <c r="F277" s="80">
        <f t="shared" si="1"/>
        <v>0.003107060185</v>
      </c>
      <c r="G277" s="5" t="s">
        <v>166</v>
      </c>
      <c r="H277" s="4" t="s">
        <v>231</v>
      </c>
      <c r="I277" s="4" t="s">
        <v>226</v>
      </c>
      <c r="J277" s="81">
        <f>IFERROR(__xludf.DUMMYFUNCTION("FILTER('賽道紀錄'!E:E, '賽道紀錄'!A:A=B277, '賽道紀錄'!B:B=C277)-F277"),-2.7855324074074024E-4)</f>
        <v>-0.0002785532407</v>
      </c>
      <c r="K277" s="4"/>
      <c r="L277" s="4" t="s">
        <v>574</v>
      </c>
      <c r="M277" s="82">
        <f t="shared" si="2"/>
        <v>268.45</v>
      </c>
      <c r="N277" s="27">
        <f t="shared" si="3"/>
        <v>0.003107060185</v>
      </c>
    </row>
    <row r="278">
      <c r="A278" s="77">
        <v>45873.0</v>
      </c>
      <c r="B278" s="4" t="s">
        <v>398</v>
      </c>
      <c r="C278" s="4" t="s">
        <v>381</v>
      </c>
      <c r="D278" s="4" t="s">
        <v>224</v>
      </c>
      <c r="E278" s="4" t="s">
        <v>575</v>
      </c>
      <c r="F278" s="80">
        <f t="shared" si="1"/>
        <v>0.003465625</v>
      </c>
      <c r="G278" s="5" t="s">
        <v>166</v>
      </c>
      <c r="H278" s="4" t="s">
        <v>231</v>
      </c>
      <c r="I278" s="4" t="s">
        <v>226</v>
      </c>
      <c r="J278" s="81">
        <f>IFERROR(__xludf.DUMMYFUNCTION("FILTER('賽道紀錄'!E:E, '賽道紀錄'!A:A=B278, '賽道紀錄'!B:B=C278)-F278"),-8.552777777777777E-4)</f>
        <v>-0.0008552777778</v>
      </c>
      <c r="K278" s="4"/>
      <c r="L278" s="4" t="s">
        <v>576</v>
      </c>
      <c r="M278" s="82">
        <f t="shared" si="2"/>
        <v>299.43</v>
      </c>
      <c r="N278" s="27">
        <f t="shared" si="3"/>
        <v>0.003465625</v>
      </c>
    </row>
    <row r="279">
      <c r="A279" s="77">
        <v>45873.0</v>
      </c>
      <c r="B279" s="4" t="s">
        <v>398</v>
      </c>
      <c r="C279" s="4" t="s">
        <v>381</v>
      </c>
      <c r="D279" s="4" t="s">
        <v>224</v>
      </c>
      <c r="E279" s="4" t="s">
        <v>208</v>
      </c>
      <c r="F279" s="80">
        <f t="shared" si="1"/>
        <v>0.002980648148</v>
      </c>
      <c r="G279" s="5" t="s">
        <v>166</v>
      </c>
      <c r="H279" s="4" t="s">
        <v>225</v>
      </c>
      <c r="I279" s="4" t="s">
        <v>226</v>
      </c>
      <c r="J279" s="81">
        <f>IFERROR(__xludf.DUMMYFUNCTION("FILTER('賽道紀錄'!E:E, '賽道紀錄'!A:A=B279, '賽道紀錄'!B:B=C279)-F279"),-3.7030092592592627E-4)</f>
        <v>-0.0003703009259</v>
      </c>
      <c r="K279" s="4"/>
      <c r="L279" s="4" t="s">
        <v>577</v>
      </c>
      <c r="M279" s="82">
        <f t="shared" si="2"/>
        <v>257.528</v>
      </c>
      <c r="N279" s="27">
        <f t="shared" si="3"/>
        <v>0.002980648148</v>
      </c>
    </row>
    <row r="280">
      <c r="A280" s="77">
        <v>45873.0</v>
      </c>
      <c r="B280" s="4" t="s">
        <v>398</v>
      </c>
      <c r="C280" s="4" t="s">
        <v>381</v>
      </c>
      <c r="D280" s="4" t="s">
        <v>224</v>
      </c>
      <c r="E280" s="4" t="s">
        <v>229</v>
      </c>
      <c r="F280" s="80">
        <f t="shared" si="1"/>
        <v>0.003162372685</v>
      </c>
      <c r="G280" s="4" t="s">
        <v>191</v>
      </c>
      <c r="H280" s="4" t="s">
        <v>231</v>
      </c>
      <c r="I280" s="4" t="s">
        <v>226</v>
      </c>
      <c r="J280" s="81">
        <f>IFERROR(__xludf.DUMMYFUNCTION("FILTER('賽道紀錄'!E:E, '賽道紀錄'!A:A=B280, '賽道紀錄'!B:B=C280)-F280"),-5.520254629629625E-4)</f>
        <v>-0.000552025463</v>
      </c>
      <c r="K280" s="4"/>
      <c r="L280" s="4" t="s">
        <v>578</v>
      </c>
      <c r="M280" s="82">
        <f t="shared" si="2"/>
        <v>273.229</v>
      </c>
      <c r="N280" s="27">
        <f t="shared" si="3"/>
        <v>0.003162372685</v>
      </c>
    </row>
    <row r="281" ht="17.25" customHeight="1">
      <c r="A281" s="77">
        <v>45873.0</v>
      </c>
      <c r="B281" s="4" t="s">
        <v>398</v>
      </c>
      <c r="C281" s="4" t="s">
        <v>381</v>
      </c>
      <c r="D281" s="4" t="s">
        <v>224</v>
      </c>
      <c r="E281" s="4" t="s">
        <v>575</v>
      </c>
      <c r="F281" s="80">
        <f t="shared" si="1"/>
        <v>0.003465625</v>
      </c>
      <c r="G281" s="5" t="s">
        <v>166</v>
      </c>
      <c r="H281" s="4" t="s">
        <v>231</v>
      </c>
      <c r="I281" s="4" t="s">
        <v>226</v>
      </c>
      <c r="J281" s="81">
        <f>IFERROR(__xludf.DUMMYFUNCTION("FILTER('賽道紀錄'!E:E, '賽道紀錄'!A:A=B281, '賽道紀錄'!B:B=C281)-F281"),-8.552777777777777E-4)</f>
        <v>-0.0008552777778</v>
      </c>
      <c r="K281" s="4"/>
      <c r="L281" s="4" t="s">
        <v>576</v>
      </c>
      <c r="M281" s="82">
        <f t="shared" si="2"/>
        <v>299.43</v>
      </c>
      <c r="N281" s="27">
        <f t="shared" si="3"/>
        <v>0.003465625</v>
      </c>
    </row>
    <row r="282">
      <c r="A282" s="77">
        <v>45873.0</v>
      </c>
      <c r="B282" s="4" t="s">
        <v>579</v>
      </c>
      <c r="C282" s="4" t="s">
        <v>381</v>
      </c>
      <c r="D282" s="4" t="s">
        <v>224</v>
      </c>
      <c r="E282" s="4" t="s">
        <v>205</v>
      </c>
      <c r="F282" s="80">
        <f t="shared" si="1"/>
        <v>0.002519282407</v>
      </c>
      <c r="G282" s="4" t="s">
        <v>147</v>
      </c>
      <c r="H282" s="4" t="s">
        <v>231</v>
      </c>
      <c r="I282" s="4" t="s">
        <v>226</v>
      </c>
      <c r="J282" s="81">
        <f>IFERROR(__xludf.DUMMYFUNCTION("FILTER('賽道紀錄'!E:E, '賽道紀錄'!A:A=B282, '賽道紀錄'!B:B=C282)-F282"),-1.9450231481481488E-4)</f>
        <v>-0.0001945023148</v>
      </c>
      <c r="K282" s="4"/>
      <c r="L282" s="4" t="s">
        <v>580</v>
      </c>
      <c r="M282" s="82">
        <f t="shared" si="2"/>
        <v>217.666</v>
      </c>
      <c r="N282" s="27">
        <f t="shared" si="3"/>
        <v>0.002519282407</v>
      </c>
    </row>
    <row r="283">
      <c r="A283" s="77">
        <v>45873.0</v>
      </c>
      <c r="B283" s="4" t="s">
        <v>579</v>
      </c>
      <c r="C283" s="4" t="s">
        <v>381</v>
      </c>
      <c r="D283" s="4" t="s">
        <v>224</v>
      </c>
      <c r="E283" s="4" t="s">
        <v>205</v>
      </c>
      <c r="F283" s="80">
        <f t="shared" si="1"/>
        <v>0.002847418981</v>
      </c>
      <c r="G283" s="4" t="s">
        <v>124</v>
      </c>
      <c r="H283" s="4" t="s">
        <v>231</v>
      </c>
      <c r="I283" s="4" t="s">
        <v>226</v>
      </c>
      <c r="J283" s="81">
        <f>IFERROR(__xludf.DUMMYFUNCTION("FILTER('賽道紀錄'!E:E, '賽道紀錄'!A:A=B283, '賽道紀錄'!B:B=C283)-F283"),-5.226388888888893E-4)</f>
        <v>-0.0005226388889</v>
      </c>
      <c r="K283" s="4"/>
      <c r="L283" s="4" t="s">
        <v>581</v>
      </c>
      <c r="M283" s="82">
        <f t="shared" si="2"/>
        <v>246.017</v>
      </c>
      <c r="N283" s="27">
        <f t="shared" si="3"/>
        <v>0.002847418981</v>
      </c>
    </row>
    <row r="284">
      <c r="A284" s="77">
        <v>45873.0</v>
      </c>
      <c r="B284" s="4" t="s">
        <v>579</v>
      </c>
      <c r="C284" s="4" t="s">
        <v>381</v>
      </c>
      <c r="D284" s="4" t="s">
        <v>224</v>
      </c>
      <c r="E284" s="4" t="s">
        <v>205</v>
      </c>
      <c r="F284" s="80">
        <f t="shared" si="1"/>
        <v>0.002439618056</v>
      </c>
      <c r="G284" s="4" t="s">
        <v>177</v>
      </c>
      <c r="H284" s="4" t="s">
        <v>231</v>
      </c>
      <c r="I284" s="4" t="s">
        <v>226</v>
      </c>
      <c r="J284" s="81">
        <f>IFERROR(__xludf.DUMMYFUNCTION("FILTER('賽道紀錄'!E:E, '賽道紀錄'!A:A=B284, '賽道紀錄'!B:B=C284)-F284"),-1.1483796296296329E-4)</f>
        <v>-0.000114837963</v>
      </c>
      <c r="K284" s="4"/>
      <c r="L284" s="4" t="s">
        <v>582</v>
      </c>
      <c r="M284" s="82">
        <f t="shared" si="2"/>
        <v>210.783</v>
      </c>
      <c r="N284" s="27">
        <f t="shared" si="3"/>
        <v>0.002439618056</v>
      </c>
    </row>
    <row r="285">
      <c r="A285" s="77">
        <v>45873.0</v>
      </c>
      <c r="B285" s="4" t="s">
        <v>579</v>
      </c>
      <c r="C285" s="4" t="s">
        <v>381</v>
      </c>
      <c r="D285" s="4" t="s">
        <v>224</v>
      </c>
      <c r="E285" s="4" t="s">
        <v>205</v>
      </c>
      <c r="F285" s="80">
        <f t="shared" si="1"/>
        <v>0.00247974537</v>
      </c>
      <c r="G285" s="4" t="s">
        <v>583</v>
      </c>
      <c r="H285" s="4" t="s">
        <v>231</v>
      </c>
      <c r="I285" s="4" t="s">
        <v>226</v>
      </c>
      <c r="J285" s="81">
        <f>IFERROR(__xludf.DUMMYFUNCTION("FILTER('賽道紀錄'!E:E, '賽道紀錄'!A:A=B285, '賽道紀錄'!B:B=C285)-F285"),-1.5496527777777817E-4)</f>
        <v>-0.0001549652778</v>
      </c>
      <c r="K285" s="4"/>
      <c r="L285" s="4" t="s">
        <v>584</v>
      </c>
      <c r="M285" s="82">
        <f t="shared" si="2"/>
        <v>214.25</v>
      </c>
      <c r="N285" s="27">
        <f t="shared" si="3"/>
        <v>0.00247974537</v>
      </c>
    </row>
    <row r="286">
      <c r="A286" s="77">
        <v>45873.0</v>
      </c>
      <c r="B286" s="4" t="s">
        <v>579</v>
      </c>
      <c r="C286" s="4" t="s">
        <v>381</v>
      </c>
      <c r="D286" s="4" t="s">
        <v>224</v>
      </c>
      <c r="E286" s="4" t="s">
        <v>585</v>
      </c>
      <c r="F286" s="80">
        <f t="shared" si="1"/>
        <v>0.002429594907</v>
      </c>
      <c r="G286" s="4" t="s">
        <v>177</v>
      </c>
      <c r="H286" s="4" t="s">
        <v>225</v>
      </c>
      <c r="I286" s="4" t="s">
        <v>226</v>
      </c>
      <c r="J286" s="81">
        <f>IFERROR(__xludf.DUMMYFUNCTION("FILTER('賽道紀錄'!E:E, '賽道紀錄'!A:A=B286, '賽道紀錄'!B:B=C286)-F286"),-1.048148148148154E-4)</f>
        <v>-0.0001048148148</v>
      </c>
      <c r="K286" s="4"/>
      <c r="L286" s="4" t="s">
        <v>586</v>
      </c>
      <c r="M286" s="82">
        <f t="shared" si="2"/>
        <v>209.917</v>
      </c>
      <c r="N286" s="27">
        <f t="shared" si="3"/>
        <v>0.002429594907</v>
      </c>
    </row>
    <row r="287">
      <c r="A287" s="77">
        <v>45873.0</v>
      </c>
      <c r="B287" s="4" t="s">
        <v>579</v>
      </c>
      <c r="C287" s="4" t="s">
        <v>381</v>
      </c>
      <c r="D287" s="4" t="s">
        <v>224</v>
      </c>
      <c r="E287" s="4" t="s">
        <v>205</v>
      </c>
      <c r="F287" s="80">
        <f t="shared" si="1"/>
        <v>0.002457372685</v>
      </c>
      <c r="G287" s="4" t="s">
        <v>583</v>
      </c>
      <c r="H287" s="4" t="s">
        <v>231</v>
      </c>
      <c r="I287" s="4" t="s">
        <v>226</v>
      </c>
      <c r="J287" s="81">
        <f>IFERROR(__xludf.DUMMYFUNCTION("FILTER('賽道紀錄'!E:E, '賽道紀錄'!A:A=B287, '賽道紀錄'!B:B=C287)-F287"),-1.32592592592593E-4)</f>
        <v>-0.0001325925926</v>
      </c>
      <c r="K287" s="4"/>
      <c r="L287" s="4" t="s">
        <v>587</v>
      </c>
      <c r="M287" s="82">
        <f t="shared" si="2"/>
        <v>212.317</v>
      </c>
      <c r="N287" s="27">
        <f t="shared" si="3"/>
        <v>0.002457372685</v>
      </c>
    </row>
    <row r="288">
      <c r="A288" s="77">
        <v>45873.0</v>
      </c>
      <c r="B288" s="4" t="s">
        <v>579</v>
      </c>
      <c r="C288" s="4" t="s">
        <v>383</v>
      </c>
      <c r="D288" s="4" t="s">
        <v>224</v>
      </c>
      <c r="E288" s="4" t="s">
        <v>585</v>
      </c>
      <c r="F288" s="80">
        <f t="shared" si="1"/>
        <v>0.002409733796</v>
      </c>
      <c r="G288" s="4" t="s">
        <v>177</v>
      </c>
      <c r="H288" s="4" t="s">
        <v>225</v>
      </c>
      <c r="I288" s="4" t="s">
        <v>226</v>
      </c>
      <c r="J288" s="81">
        <f>IFERROR(__xludf.DUMMYFUNCTION("FILTER('賽道紀錄'!E:E, '賽道紀錄'!A:A=B288, '賽道紀錄'!B:B=C288)-F288"),-8.495370370370384E-5)</f>
        <v>-0.0000849537037</v>
      </c>
      <c r="K288" s="4"/>
      <c r="L288" s="4" t="s">
        <v>588</v>
      </c>
      <c r="M288" s="82">
        <f t="shared" si="2"/>
        <v>208.201</v>
      </c>
      <c r="N288" s="27">
        <f t="shared" si="3"/>
        <v>0.002409733796</v>
      </c>
    </row>
    <row r="289">
      <c r="A289" s="77">
        <v>45873.0</v>
      </c>
      <c r="B289" s="4" t="s">
        <v>579</v>
      </c>
      <c r="C289" s="4" t="s">
        <v>383</v>
      </c>
      <c r="D289" s="4" t="s">
        <v>224</v>
      </c>
      <c r="E289" s="4" t="s">
        <v>205</v>
      </c>
      <c r="F289" s="80">
        <f t="shared" si="1"/>
        <v>0.003021030093</v>
      </c>
      <c r="G289" s="4" t="s">
        <v>147</v>
      </c>
      <c r="H289" s="4" t="s">
        <v>231</v>
      </c>
      <c r="I289" s="4" t="s">
        <v>226</v>
      </c>
      <c r="J289" s="81">
        <f>IFERROR(__xludf.DUMMYFUNCTION("FILTER('賽道紀錄'!E:E, '賽道紀錄'!A:A=B289, '賽道紀錄'!B:B=C289)-F289"),-6.962500000000003E-4)</f>
        <v>-0.00069625</v>
      </c>
      <c r="K289" s="4"/>
      <c r="L289" s="4" t="s">
        <v>589</v>
      </c>
      <c r="M289" s="82">
        <f t="shared" si="2"/>
        <v>261.017</v>
      </c>
      <c r="N289" s="27">
        <f t="shared" si="3"/>
        <v>0.003021030093</v>
      </c>
    </row>
    <row r="290">
      <c r="A290" s="77">
        <v>45874.0</v>
      </c>
      <c r="B290" s="4" t="s">
        <v>579</v>
      </c>
      <c r="C290" s="4" t="s">
        <v>381</v>
      </c>
      <c r="D290" s="4" t="s">
        <v>224</v>
      </c>
      <c r="E290" s="4" t="s">
        <v>208</v>
      </c>
      <c r="F290" s="80">
        <f t="shared" si="1"/>
        <v>0.002324780093</v>
      </c>
      <c r="G290" s="4" t="s">
        <v>177</v>
      </c>
      <c r="H290" s="4" t="s">
        <v>225</v>
      </c>
      <c r="I290" s="4" t="s">
        <v>226</v>
      </c>
      <c r="J290" s="81">
        <f>IFERROR(__xludf.DUMMYFUNCTION("FILTER('賽道紀錄'!E:E, '賽道紀錄'!A:A=B290, '賽道紀錄'!B:B=C290)-F290"),0.0)</f>
        <v>0</v>
      </c>
      <c r="K290" s="4"/>
      <c r="L290" s="4" t="s">
        <v>590</v>
      </c>
      <c r="M290" s="82">
        <f t="shared" si="2"/>
        <v>200.861</v>
      </c>
      <c r="N290" s="27">
        <f t="shared" si="3"/>
        <v>0.002324780093</v>
      </c>
    </row>
    <row r="291">
      <c r="A291" s="77">
        <v>45874.0</v>
      </c>
      <c r="B291" s="4" t="s">
        <v>579</v>
      </c>
      <c r="C291" s="4" t="s">
        <v>383</v>
      </c>
      <c r="D291" s="4" t="s">
        <v>224</v>
      </c>
      <c r="E291" s="4" t="s">
        <v>208</v>
      </c>
      <c r="F291" s="80">
        <f t="shared" si="1"/>
        <v>0.002324780093</v>
      </c>
      <c r="G291" s="4" t="s">
        <v>177</v>
      </c>
      <c r="H291" s="4" t="s">
        <v>225</v>
      </c>
      <c r="I291" s="4" t="s">
        <v>226</v>
      </c>
      <c r="J291" s="81">
        <f>IFERROR(__xludf.DUMMYFUNCTION("FILTER('賽道紀錄'!E:E, '賽道紀錄'!A:A=B291, '賽道紀錄'!B:B=C291)-F291"),0.0)</f>
        <v>0</v>
      </c>
      <c r="K291" s="4"/>
      <c r="L291" s="4" t="s">
        <v>590</v>
      </c>
      <c r="M291" s="82">
        <f t="shared" si="2"/>
        <v>200.861</v>
      </c>
      <c r="N291" s="27">
        <f t="shared" si="3"/>
        <v>0.002324780093</v>
      </c>
    </row>
    <row r="292">
      <c r="A292" s="77">
        <v>45874.0</v>
      </c>
      <c r="B292" s="4" t="s">
        <v>579</v>
      </c>
      <c r="C292" s="4" t="s">
        <v>381</v>
      </c>
      <c r="D292" s="4" t="s">
        <v>224</v>
      </c>
      <c r="E292" s="4" t="s">
        <v>585</v>
      </c>
      <c r="F292" s="80">
        <f t="shared" si="1"/>
        <v>0.002391400463</v>
      </c>
      <c r="G292" s="4" t="s">
        <v>583</v>
      </c>
      <c r="H292" s="4" t="s">
        <v>225</v>
      </c>
      <c r="I292" s="4" t="s">
        <v>226</v>
      </c>
      <c r="J292" s="81">
        <f>IFERROR(__xludf.DUMMYFUNCTION("FILTER('賽道紀錄'!E:E, '賽道紀錄'!A:A=B292, '賽道紀錄'!B:B=C292)-F292"),-6.662037037037053E-5)</f>
        <v>-0.00006662037037</v>
      </c>
      <c r="K292" s="4"/>
      <c r="L292" s="4" t="s">
        <v>591</v>
      </c>
      <c r="M292" s="82">
        <f t="shared" si="2"/>
        <v>206.617</v>
      </c>
      <c r="N292" s="27">
        <f t="shared" si="3"/>
        <v>0.002391400463</v>
      </c>
    </row>
    <row r="293">
      <c r="A293" s="77">
        <v>45875.0</v>
      </c>
      <c r="B293" s="4" t="s">
        <v>237</v>
      </c>
      <c r="C293" s="4" t="s">
        <v>223</v>
      </c>
      <c r="D293" s="4" t="s">
        <v>224</v>
      </c>
      <c r="E293" s="4" t="s">
        <v>207</v>
      </c>
      <c r="F293" s="80">
        <f t="shared" si="1"/>
        <v>0.002493194444</v>
      </c>
      <c r="G293" s="5" t="s">
        <v>183</v>
      </c>
      <c r="H293" s="4" t="s">
        <v>231</v>
      </c>
      <c r="I293" s="4" t="s">
        <v>226</v>
      </c>
      <c r="J293" s="81">
        <f>IFERROR(__xludf.DUMMYFUNCTION("FILTER('賽道紀錄'!E:E, '賽道紀錄'!A:A=B293, '賽道紀錄'!B:B=C293)-F293"),-9.95370370370373E-5)</f>
        <v>-0.00009953703704</v>
      </c>
      <c r="K293" s="4"/>
      <c r="L293" s="4" t="s">
        <v>592</v>
      </c>
      <c r="M293" s="82">
        <f t="shared" si="2"/>
        <v>215.412</v>
      </c>
      <c r="N293" s="27">
        <f t="shared" si="3"/>
        <v>0.002493194444</v>
      </c>
    </row>
    <row r="294">
      <c r="A294" s="77">
        <v>45875.0</v>
      </c>
      <c r="B294" s="4" t="s">
        <v>593</v>
      </c>
      <c r="D294" s="4" t="s">
        <v>594</v>
      </c>
      <c r="E294" s="4" t="s">
        <v>515</v>
      </c>
      <c r="F294" s="80">
        <f t="shared" si="1"/>
        <v>0.001089895833</v>
      </c>
      <c r="G294" s="4" t="s">
        <v>127</v>
      </c>
      <c r="H294" s="4" t="s">
        <v>225</v>
      </c>
      <c r="I294" s="4" t="s">
        <v>313</v>
      </c>
      <c r="J294" s="81">
        <f>IFERROR(__xludf.DUMMYFUNCTION("FILTER('賽道紀錄'!E:E, '賽道紀錄'!A:A=B294, '賽道紀錄'!B:B=C294)-F294"),-2.2681712962962976E-4)</f>
        <v>-0.0002268171296</v>
      </c>
      <c r="K294" s="4"/>
      <c r="L294" s="4" t="s">
        <v>595</v>
      </c>
      <c r="M294" s="82">
        <f t="shared" si="2"/>
        <v>94.167</v>
      </c>
      <c r="N294" s="27">
        <f t="shared" si="3"/>
        <v>0.001089895833</v>
      </c>
    </row>
    <row r="295">
      <c r="A295" s="77">
        <v>45875.0</v>
      </c>
      <c r="B295" s="4" t="s">
        <v>593</v>
      </c>
      <c r="D295" s="4" t="s">
        <v>594</v>
      </c>
      <c r="E295" s="4" t="s">
        <v>205</v>
      </c>
      <c r="F295" s="80">
        <f t="shared" si="1"/>
        <v>0.001682488426</v>
      </c>
      <c r="G295" s="4" t="s">
        <v>134</v>
      </c>
      <c r="H295" s="4" t="s">
        <v>231</v>
      </c>
      <c r="I295" s="4" t="s">
        <v>313</v>
      </c>
      <c r="J295" s="81">
        <f>IFERROR(__xludf.DUMMYFUNCTION("FILTER('賽道紀錄'!E:E, '賽道紀錄'!A:A=B295, '賽道紀錄'!B:B=C295)-F295"),-8.194097222222222E-4)</f>
        <v>-0.0008194097222</v>
      </c>
      <c r="K295" s="4"/>
      <c r="L295" s="4" t="s">
        <v>596</v>
      </c>
      <c r="M295" s="82">
        <f t="shared" si="2"/>
        <v>145.367</v>
      </c>
      <c r="N295" s="27">
        <f t="shared" si="3"/>
        <v>0.001682488426</v>
      </c>
    </row>
    <row r="296">
      <c r="A296" s="77">
        <v>45875.0</v>
      </c>
      <c r="B296" s="4" t="s">
        <v>593</v>
      </c>
      <c r="D296" s="4" t="s">
        <v>594</v>
      </c>
      <c r="E296" s="4" t="s">
        <v>205</v>
      </c>
      <c r="F296" s="80">
        <f t="shared" si="1"/>
        <v>0.001714502315</v>
      </c>
      <c r="G296" s="4" t="s">
        <v>127</v>
      </c>
      <c r="H296" s="4" t="s">
        <v>231</v>
      </c>
      <c r="I296" s="4" t="s">
        <v>313</v>
      </c>
      <c r="J296" s="81">
        <f>IFERROR(__xludf.DUMMYFUNCTION("FILTER('賽道紀錄'!E:E, '賽道紀錄'!A:A=B296, '賽道紀錄'!B:B=C296)-F296"),-8.514236111111112E-4)</f>
        <v>-0.0008514236111</v>
      </c>
      <c r="K296" s="4"/>
      <c r="L296" s="4" t="s">
        <v>597</v>
      </c>
      <c r="M296" s="82">
        <f t="shared" si="2"/>
        <v>148.133</v>
      </c>
      <c r="N296" s="27">
        <f t="shared" si="3"/>
        <v>0.001714502315</v>
      </c>
    </row>
    <row r="297">
      <c r="A297" s="77">
        <v>45876.0</v>
      </c>
      <c r="B297" s="4" t="s">
        <v>593</v>
      </c>
      <c r="D297" s="4" t="s">
        <v>594</v>
      </c>
      <c r="E297" s="4" t="s">
        <v>515</v>
      </c>
      <c r="F297" s="80">
        <f t="shared" si="1"/>
        <v>0.0009407175926</v>
      </c>
      <c r="G297" s="4" t="s">
        <v>127</v>
      </c>
      <c r="H297" s="4" t="s">
        <v>225</v>
      </c>
      <c r="I297" s="4" t="s">
        <v>313</v>
      </c>
      <c r="J297" s="81">
        <f>IFERROR(__xludf.DUMMYFUNCTION("FILTER('賽道紀錄'!E:E, '賽道紀錄'!A:A=B297, '賽道紀錄'!B:B=C297)-F297"),-7.763888888888913E-5)</f>
        <v>-0.00007763888889</v>
      </c>
      <c r="K297" s="4"/>
      <c r="L297" s="4" t="s">
        <v>598</v>
      </c>
      <c r="M297" s="82">
        <f t="shared" si="2"/>
        <v>81.278</v>
      </c>
      <c r="N297" s="27">
        <f t="shared" si="3"/>
        <v>0.0009407175926</v>
      </c>
    </row>
    <row r="298">
      <c r="A298" s="77">
        <v>45876.0</v>
      </c>
      <c r="B298" s="4" t="s">
        <v>398</v>
      </c>
      <c r="C298" s="4" t="s">
        <v>383</v>
      </c>
      <c r="D298" s="4" t="s">
        <v>224</v>
      </c>
      <c r="E298" s="4" t="s">
        <v>205</v>
      </c>
      <c r="F298" s="80">
        <f t="shared" si="1"/>
        <v>0.003113622685</v>
      </c>
      <c r="G298" s="4" t="s">
        <v>565</v>
      </c>
      <c r="H298" s="4" t="s">
        <v>231</v>
      </c>
      <c r="I298" s="4" t="s">
        <v>226</v>
      </c>
      <c r="J298" s="81">
        <f>IFERROR(__xludf.DUMMYFUNCTION("FILTER('賽道紀錄'!E:E, '賽道紀錄'!A:A=B298, '賽道紀錄'!B:B=C298)-F298"),-2.851157407407403E-4)</f>
        <v>-0.0002851157407</v>
      </c>
      <c r="K298" s="4"/>
      <c r="L298" s="4" t="s">
        <v>406</v>
      </c>
      <c r="M298" s="82">
        <f t="shared" si="2"/>
        <v>269.017</v>
      </c>
      <c r="N298" s="27">
        <f t="shared" si="3"/>
        <v>0.003113622685</v>
      </c>
    </row>
    <row r="299">
      <c r="A299" s="77">
        <v>45878.0</v>
      </c>
      <c r="B299" s="4" t="s">
        <v>398</v>
      </c>
      <c r="C299" s="4" t="s">
        <v>381</v>
      </c>
      <c r="D299" s="4" t="s">
        <v>224</v>
      </c>
      <c r="E299" s="4" t="s">
        <v>209</v>
      </c>
      <c r="F299" s="80">
        <f t="shared" si="1"/>
        <v>0.002610347222</v>
      </c>
      <c r="G299" s="5" t="s">
        <v>139</v>
      </c>
      <c r="H299" s="4" t="s">
        <v>225</v>
      </c>
      <c r="I299" s="4" t="s">
        <v>226</v>
      </c>
      <c r="J299" s="81">
        <f>IFERROR(__xludf.DUMMYFUNCTION("FILTER('賽道紀錄'!E:E, '賽道紀錄'!A:A=B299, '賽道紀錄'!B:B=C299)-F299"),0.0)</f>
        <v>0</v>
      </c>
      <c r="K299" s="4"/>
      <c r="L299" s="4" t="s">
        <v>599</v>
      </c>
      <c r="M299" s="82">
        <f t="shared" si="2"/>
        <v>225.534</v>
      </c>
      <c r="N299" s="27">
        <f t="shared" si="3"/>
        <v>0.002610347222</v>
      </c>
    </row>
    <row r="300">
      <c r="A300" s="77">
        <v>45878.0</v>
      </c>
      <c r="B300" s="4" t="s">
        <v>593</v>
      </c>
      <c r="D300" s="4" t="s">
        <v>594</v>
      </c>
      <c r="E300" s="4" t="s">
        <v>600</v>
      </c>
      <c r="F300" s="80">
        <f t="shared" si="1"/>
        <v>0.000864837963</v>
      </c>
      <c r="G300" s="4" t="s">
        <v>138</v>
      </c>
      <c r="H300" s="4" t="s">
        <v>225</v>
      </c>
      <c r="I300" s="4" t="s">
        <v>313</v>
      </c>
      <c r="J300" s="81">
        <f>IFERROR(__xludf.DUMMYFUNCTION("FILTER('賽道紀錄'!E:E, '賽道紀錄'!A:A=B300, '賽道紀錄'!B:B=C300)-F300"),-1.7592592592594004E-6)</f>
        <v>-0.000001759259259</v>
      </c>
      <c r="K300" s="4"/>
      <c r="L300" s="4" t="s">
        <v>601</v>
      </c>
      <c r="M300" s="82">
        <f t="shared" si="2"/>
        <v>74.722</v>
      </c>
      <c r="N300" s="27">
        <f t="shared" si="3"/>
        <v>0.000864837963</v>
      </c>
    </row>
    <row r="301">
      <c r="A301" s="77">
        <v>45878.0</v>
      </c>
      <c r="B301" s="4" t="s">
        <v>593</v>
      </c>
      <c r="D301" s="4" t="s">
        <v>594</v>
      </c>
      <c r="E301" s="4" t="s">
        <v>602</v>
      </c>
      <c r="F301" s="80">
        <f t="shared" si="1"/>
        <v>0.0008878240741</v>
      </c>
      <c r="G301" s="4" t="s">
        <v>134</v>
      </c>
      <c r="H301" s="4" t="s">
        <v>225</v>
      </c>
      <c r="I301" s="4" t="s">
        <v>313</v>
      </c>
      <c r="J301" s="81">
        <f>IFERROR(__xludf.DUMMYFUNCTION("FILTER('賽道紀錄'!E:E, '賽道紀錄'!A:A=B301, '賽道紀錄'!B:B=C301)-F301"),-2.4745370370370394E-5)</f>
        <v>-0.00002474537037</v>
      </c>
      <c r="K301" s="4"/>
      <c r="L301" s="4" t="s">
        <v>603</v>
      </c>
      <c r="M301" s="82">
        <f t="shared" si="2"/>
        <v>76.708</v>
      </c>
      <c r="N301" s="27">
        <f t="shared" si="3"/>
        <v>0.0008878240741</v>
      </c>
    </row>
    <row r="302">
      <c r="A302" s="77">
        <v>45878.0</v>
      </c>
      <c r="B302" s="4" t="s">
        <v>593</v>
      </c>
      <c r="D302" s="4" t="s">
        <v>594</v>
      </c>
      <c r="E302" s="4" t="s">
        <v>602</v>
      </c>
      <c r="F302" s="80">
        <f t="shared" si="1"/>
        <v>0.0008942592593</v>
      </c>
      <c r="G302" s="4" t="s">
        <v>142</v>
      </c>
      <c r="H302" s="4" t="s">
        <v>225</v>
      </c>
      <c r="I302" s="4" t="s">
        <v>313</v>
      </c>
      <c r="J302" s="81">
        <f>IFERROR(__xludf.DUMMYFUNCTION("FILTER('賽道紀錄'!E:E, '賽道紀錄'!A:A=B302, '賽道紀錄'!B:B=C302)-F302"),-3.118055555555556E-5)</f>
        <v>-0.00003118055556</v>
      </c>
      <c r="K302" s="4"/>
      <c r="L302" s="4" t="s">
        <v>604</v>
      </c>
      <c r="M302" s="82">
        <f t="shared" si="2"/>
        <v>77.264</v>
      </c>
      <c r="N302" s="27">
        <f t="shared" si="3"/>
        <v>0.0008942592593</v>
      </c>
    </row>
    <row r="303">
      <c r="A303" s="77">
        <v>45878.0</v>
      </c>
      <c r="B303" s="4" t="s">
        <v>593</v>
      </c>
      <c r="D303" s="4" t="s">
        <v>594</v>
      </c>
      <c r="E303" s="4" t="s">
        <v>205</v>
      </c>
      <c r="F303" s="80">
        <f t="shared" si="1"/>
        <v>0.001553622685</v>
      </c>
      <c r="G303" s="4" t="s">
        <v>134</v>
      </c>
      <c r="H303" s="4" t="s">
        <v>231</v>
      </c>
      <c r="I303" s="4" t="s">
        <v>313</v>
      </c>
      <c r="J303" s="81">
        <f>IFERROR(__xludf.DUMMYFUNCTION("FILTER('賽道紀錄'!E:E, '賽道紀錄'!A:A=B303, '賽道紀錄'!B:B=C303)-F303"),-6.905439814814819E-4)</f>
        <v>-0.0006905439815</v>
      </c>
      <c r="K303" s="4"/>
      <c r="L303" s="4" t="s">
        <v>605</v>
      </c>
      <c r="M303" s="82">
        <f t="shared" si="2"/>
        <v>134.233</v>
      </c>
      <c r="N303" s="27">
        <f t="shared" si="3"/>
        <v>0.001553622685</v>
      </c>
    </row>
    <row r="304">
      <c r="A304" s="77">
        <v>45878.0</v>
      </c>
      <c r="B304" s="4" t="s">
        <v>593</v>
      </c>
      <c r="D304" s="4" t="s">
        <v>594</v>
      </c>
      <c r="E304" s="4" t="s">
        <v>205</v>
      </c>
      <c r="F304" s="80">
        <f t="shared" si="1"/>
        <v>0.002426898148</v>
      </c>
      <c r="G304" s="4" t="s">
        <v>150</v>
      </c>
      <c r="H304" s="4" t="s">
        <v>231</v>
      </c>
      <c r="I304" s="4" t="s">
        <v>313</v>
      </c>
      <c r="J304" s="81">
        <f>IFERROR(__xludf.DUMMYFUNCTION("FILTER('賽道紀錄'!E:E, '賽道紀錄'!A:A=B304, '賽道紀錄'!B:B=C304)-F304"),-0.0015638194444444445)</f>
        <v>-0.001563819444</v>
      </c>
      <c r="K304" s="4"/>
      <c r="L304" s="4" t="s">
        <v>606</v>
      </c>
      <c r="M304" s="82">
        <f t="shared" si="2"/>
        <v>209.684</v>
      </c>
      <c r="N304" s="27">
        <f t="shared" si="3"/>
        <v>0.002426898148</v>
      </c>
    </row>
    <row r="305">
      <c r="A305" s="77">
        <v>45878.0</v>
      </c>
      <c r="B305" s="4" t="s">
        <v>593</v>
      </c>
      <c r="D305" s="4" t="s">
        <v>594</v>
      </c>
      <c r="E305" s="4" t="s">
        <v>205</v>
      </c>
      <c r="F305" s="80">
        <f t="shared" si="1"/>
        <v>0.001562013889</v>
      </c>
      <c r="G305" s="4" t="s">
        <v>134</v>
      </c>
      <c r="H305" s="4" t="s">
        <v>231</v>
      </c>
      <c r="I305" s="4" t="s">
        <v>313</v>
      </c>
      <c r="J305" s="81">
        <f>IFERROR(__xludf.DUMMYFUNCTION("FILTER('賽道紀錄'!E:E, '賽道紀錄'!A:A=B305, '賽道紀錄'!B:B=C305)-F305"),-6.989351851851852E-4)</f>
        <v>-0.0006989351852</v>
      </c>
      <c r="K305" s="4"/>
      <c r="L305" s="4" t="s">
        <v>607</v>
      </c>
      <c r="M305" s="82">
        <f t="shared" si="2"/>
        <v>134.958</v>
      </c>
      <c r="N305" s="27">
        <f t="shared" si="3"/>
        <v>0.001562013889</v>
      </c>
    </row>
    <row r="306">
      <c r="A306" s="77">
        <v>45878.0</v>
      </c>
      <c r="B306" s="4" t="s">
        <v>608</v>
      </c>
      <c r="E306" s="4" t="s">
        <v>609</v>
      </c>
      <c r="F306" s="80">
        <f t="shared" si="1"/>
        <v>0.001005138889</v>
      </c>
      <c r="G306" s="4" t="s">
        <v>610</v>
      </c>
      <c r="H306" s="4" t="s">
        <v>225</v>
      </c>
      <c r="I306" s="4" t="s">
        <v>313</v>
      </c>
      <c r="J306" s="81" t="str">
        <f>IFERROR(__xludf.DUMMYFUNCTION("FILTER('賽道紀錄'!E:E, '賽道紀錄'!A:A=B306, '賽道紀錄'!B:B=C306)-F306"),"#VALUE!")</f>
        <v>#VALUE!</v>
      </c>
      <c r="K306" s="4"/>
      <c r="L306" s="4" t="s">
        <v>611</v>
      </c>
      <c r="M306" s="82">
        <f t="shared" si="2"/>
        <v>86.844</v>
      </c>
      <c r="N306" s="27">
        <f t="shared" si="3"/>
        <v>0.001005138889</v>
      </c>
    </row>
    <row r="307">
      <c r="A307" s="77">
        <v>45878.0</v>
      </c>
      <c r="B307" s="4" t="s">
        <v>608</v>
      </c>
      <c r="E307" s="4" t="s">
        <v>205</v>
      </c>
      <c r="F307" s="80">
        <f t="shared" si="1"/>
        <v>0.001294756944</v>
      </c>
      <c r="G307" s="4" t="s">
        <v>612</v>
      </c>
      <c r="H307" s="4" t="s">
        <v>231</v>
      </c>
      <c r="I307" s="4" t="s">
        <v>313</v>
      </c>
      <c r="J307" s="81" t="str">
        <f>IFERROR(__xludf.DUMMYFUNCTION("FILTER('賽道紀錄'!E:E, '賽道紀錄'!A:A=B307, '賽道紀錄'!B:B=C307)-F307"),"#VALUE!")</f>
        <v>#VALUE!</v>
      </c>
      <c r="K307" s="4"/>
      <c r="L307" s="4" t="s">
        <v>613</v>
      </c>
      <c r="M307" s="82">
        <f t="shared" si="2"/>
        <v>111.867</v>
      </c>
      <c r="N307" s="27">
        <f t="shared" si="3"/>
        <v>0.001294756944</v>
      </c>
    </row>
    <row r="308">
      <c r="A308" s="77">
        <v>45878.0</v>
      </c>
      <c r="B308" s="4" t="s">
        <v>593</v>
      </c>
      <c r="D308" s="4" t="s">
        <v>594</v>
      </c>
      <c r="E308" s="4" t="s">
        <v>602</v>
      </c>
      <c r="F308" s="80">
        <f t="shared" si="1"/>
        <v>0.0008854166667</v>
      </c>
      <c r="G308" s="4" t="s">
        <v>134</v>
      </c>
      <c r="H308" s="4" t="s">
        <v>225</v>
      </c>
      <c r="I308" s="4" t="s">
        <v>313</v>
      </c>
      <c r="J308" s="81">
        <f>IFERROR(__xludf.DUMMYFUNCTION("FILTER('賽道紀錄'!E:E, '賽道紀錄'!A:A=B308, '賽道紀錄'!B:B=C308)-F308"),-2.2337962962963153E-5)</f>
        <v>-0.00002233796296</v>
      </c>
      <c r="K308" s="4"/>
      <c r="L308" s="4" t="s">
        <v>614</v>
      </c>
      <c r="M308" s="82">
        <f t="shared" si="2"/>
        <v>76.5</v>
      </c>
      <c r="N308" s="27">
        <f t="shared" si="3"/>
        <v>0.0008854166667</v>
      </c>
    </row>
    <row r="309">
      <c r="A309" s="77">
        <v>45878.0</v>
      </c>
      <c r="B309" s="4" t="s">
        <v>593</v>
      </c>
      <c r="D309" s="4" t="s">
        <v>594</v>
      </c>
      <c r="E309" s="4" t="s">
        <v>602</v>
      </c>
      <c r="F309" s="80">
        <f t="shared" si="1"/>
        <v>0.0009090509259</v>
      </c>
      <c r="G309" s="4" t="s">
        <v>152</v>
      </c>
      <c r="H309" s="4" t="s">
        <v>225</v>
      </c>
      <c r="I309" s="4" t="s">
        <v>313</v>
      </c>
      <c r="J309" s="81">
        <f>IFERROR(__xludf.DUMMYFUNCTION("FILTER('賽道紀錄'!E:E, '賽道紀錄'!A:A=B309, '賽道紀錄'!B:B=C309)-F309"),-4.597222222222242E-5)</f>
        <v>-0.00004597222222</v>
      </c>
      <c r="K309" s="4"/>
      <c r="L309" s="4" t="s">
        <v>615</v>
      </c>
      <c r="M309" s="82">
        <f t="shared" si="2"/>
        <v>78.542</v>
      </c>
      <c r="N309" s="27">
        <f t="shared" si="3"/>
        <v>0.0009090509259</v>
      </c>
    </row>
    <row r="310">
      <c r="A310" s="77">
        <v>45878.0</v>
      </c>
      <c r="B310" s="4" t="s">
        <v>593</v>
      </c>
      <c r="D310" s="4" t="s">
        <v>594</v>
      </c>
      <c r="E310" s="4" t="s">
        <v>616</v>
      </c>
      <c r="F310" s="80">
        <f t="shared" si="1"/>
        <v>0.00109693287</v>
      </c>
      <c r="G310" s="4" t="s">
        <v>152</v>
      </c>
      <c r="H310" s="4" t="s">
        <v>225</v>
      </c>
      <c r="I310" s="4" t="s">
        <v>313</v>
      </c>
      <c r="J310" s="81">
        <f>IFERROR(__xludf.DUMMYFUNCTION("FILTER('賽道紀錄'!E:E, '賽道紀錄'!A:A=B310, '賽道紀錄'!B:B=C310)-F310"),-2.3385416666666672E-4)</f>
        <v>-0.0002338541667</v>
      </c>
      <c r="K310" s="4"/>
      <c r="L310" s="4" t="s">
        <v>617</v>
      </c>
      <c r="M310" s="82">
        <f t="shared" si="2"/>
        <v>94.775</v>
      </c>
      <c r="N310" s="27">
        <f t="shared" si="3"/>
        <v>0.00109693287</v>
      </c>
    </row>
    <row r="311">
      <c r="A311" s="77">
        <v>45878.0</v>
      </c>
      <c r="B311" s="4" t="s">
        <v>593</v>
      </c>
      <c r="D311" s="4" t="s">
        <v>594</v>
      </c>
      <c r="E311" s="4" t="s">
        <v>616</v>
      </c>
      <c r="F311" s="80">
        <f t="shared" si="1"/>
        <v>0.001217685185</v>
      </c>
      <c r="G311" s="4" t="s">
        <v>127</v>
      </c>
      <c r="H311" s="4" t="s">
        <v>225</v>
      </c>
      <c r="I311" s="4" t="s">
        <v>313</v>
      </c>
      <c r="J311" s="81">
        <f>IFERROR(__xludf.DUMMYFUNCTION("FILTER('賽道紀錄'!E:E, '賽道紀錄'!A:A=B311, '賽道紀錄'!B:B=C311)-F311"),-3.5460648148148157E-4)</f>
        <v>-0.0003546064815</v>
      </c>
      <c r="K311" s="4"/>
      <c r="L311" s="4" t="s">
        <v>618</v>
      </c>
      <c r="M311" s="82">
        <f t="shared" si="2"/>
        <v>105.208</v>
      </c>
      <c r="N311" s="27">
        <f t="shared" si="3"/>
        <v>0.001217685185</v>
      </c>
    </row>
    <row r="312">
      <c r="A312" s="77">
        <v>45878.0</v>
      </c>
      <c r="B312" s="4" t="s">
        <v>593</v>
      </c>
      <c r="D312" s="4" t="s">
        <v>594</v>
      </c>
      <c r="E312" s="4" t="s">
        <v>600</v>
      </c>
      <c r="F312" s="80">
        <f t="shared" si="1"/>
        <v>0.001239293981</v>
      </c>
      <c r="G312" s="4" t="s">
        <v>127</v>
      </c>
      <c r="H312" s="4" t="s">
        <v>225</v>
      </c>
      <c r="I312" s="4" t="s">
        <v>313</v>
      </c>
      <c r="J312" s="81">
        <f>IFERROR(__xludf.DUMMYFUNCTION("FILTER('賽道紀錄'!E:E, '賽道紀錄'!A:A=B312, '賽道紀錄'!B:B=C312)-F312"),-3.7621527777777805E-4)</f>
        <v>-0.0003762152778</v>
      </c>
      <c r="K312" s="4"/>
      <c r="L312" s="4" t="s">
        <v>619</v>
      </c>
      <c r="M312" s="82">
        <f t="shared" si="2"/>
        <v>107.075</v>
      </c>
      <c r="N312" s="27">
        <f t="shared" si="3"/>
        <v>0.001239293981</v>
      </c>
    </row>
    <row r="313">
      <c r="A313" s="77">
        <v>45878.0</v>
      </c>
      <c r="B313" s="4" t="s">
        <v>593</v>
      </c>
      <c r="D313" s="4" t="s">
        <v>594</v>
      </c>
      <c r="E313" s="4" t="s">
        <v>620</v>
      </c>
      <c r="F313" s="80">
        <f t="shared" si="1"/>
        <v>0.001266793981</v>
      </c>
      <c r="G313" s="4" t="s">
        <v>138</v>
      </c>
      <c r="H313" s="4" t="s">
        <v>225</v>
      </c>
      <c r="I313" s="4" t="s">
        <v>313</v>
      </c>
      <c r="J313" s="81">
        <f>IFERROR(__xludf.DUMMYFUNCTION("FILTER('賽道紀錄'!E:E, '賽道紀錄'!A:A=B313, '賽道紀錄'!B:B=C313)-F313"),-4.037152777777778E-4)</f>
        <v>-0.0004037152778</v>
      </c>
      <c r="K313" s="4"/>
      <c r="L313" s="4" t="s">
        <v>621</v>
      </c>
      <c r="M313" s="82">
        <f t="shared" si="2"/>
        <v>109.451</v>
      </c>
      <c r="N313" s="27">
        <f t="shared" si="3"/>
        <v>0.001266793981</v>
      </c>
    </row>
    <row r="314">
      <c r="A314" s="77">
        <v>45878.0</v>
      </c>
      <c r="B314" s="4" t="s">
        <v>593</v>
      </c>
      <c r="D314" s="4" t="s">
        <v>594</v>
      </c>
      <c r="E314" s="4" t="s">
        <v>620</v>
      </c>
      <c r="F314" s="80">
        <f t="shared" si="1"/>
        <v>0.001248310185</v>
      </c>
      <c r="G314" s="4" t="s">
        <v>150</v>
      </c>
      <c r="H314" s="4" t="s">
        <v>225</v>
      </c>
      <c r="I314" s="4" t="s">
        <v>313</v>
      </c>
      <c r="J314" s="81">
        <f>IFERROR(__xludf.DUMMYFUNCTION("FILTER('賽道紀錄'!E:E, '賽道紀錄'!A:A=B314, '賽道紀錄'!B:B=C314)-F314"),-3.852314814814816E-4)</f>
        <v>-0.0003852314815</v>
      </c>
      <c r="K314" s="4"/>
      <c r="L314" s="4" t="s">
        <v>622</v>
      </c>
      <c r="M314" s="82">
        <f t="shared" si="2"/>
        <v>107.854</v>
      </c>
      <c r="N314" s="27">
        <f t="shared" si="3"/>
        <v>0.001248310185</v>
      </c>
    </row>
    <row r="315">
      <c r="A315" s="77">
        <v>45878.0</v>
      </c>
      <c r="B315" s="4" t="s">
        <v>593</v>
      </c>
      <c r="D315" s="4" t="s">
        <v>594</v>
      </c>
      <c r="E315" s="4" t="s">
        <v>515</v>
      </c>
      <c r="F315" s="80">
        <f t="shared" si="1"/>
        <v>0.0009712615741</v>
      </c>
      <c r="G315" s="4" t="s">
        <v>127</v>
      </c>
      <c r="H315" s="4" t="s">
        <v>225</v>
      </c>
      <c r="I315" s="4" t="s">
        <v>313</v>
      </c>
      <c r="J315" s="81">
        <f>IFERROR(__xludf.DUMMYFUNCTION("FILTER('賽道紀錄'!E:E, '賽道紀錄'!A:A=B315, '賽道紀錄'!B:B=C315)-F315"),-1.0818287037037046E-4)</f>
        <v>-0.0001081828704</v>
      </c>
      <c r="K315" s="4"/>
      <c r="L315" s="4" t="s">
        <v>623</v>
      </c>
      <c r="M315" s="82">
        <f t="shared" si="2"/>
        <v>83.917</v>
      </c>
      <c r="N315" s="27">
        <f t="shared" si="3"/>
        <v>0.0009712615741</v>
      </c>
    </row>
    <row r="316">
      <c r="A316" s="77">
        <v>45878.0</v>
      </c>
      <c r="B316" s="4" t="s">
        <v>593</v>
      </c>
      <c r="D316" s="4" t="s">
        <v>594</v>
      </c>
      <c r="E316" s="4" t="s">
        <v>205</v>
      </c>
      <c r="F316" s="80">
        <f t="shared" si="1"/>
        <v>0.001602233796</v>
      </c>
      <c r="G316" s="4" t="s">
        <v>134</v>
      </c>
      <c r="H316" s="4" t="s">
        <v>231</v>
      </c>
      <c r="I316" s="4" t="s">
        <v>313</v>
      </c>
      <c r="J316" s="81">
        <f>IFERROR(__xludf.DUMMYFUNCTION("FILTER('賽道紀錄'!E:E, '賽道紀錄'!A:A=B316, '賽道紀錄'!B:B=C316)-F316"),-7.391550925925927E-4)</f>
        <v>-0.0007391550926</v>
      </c>
      <c r="K316" s="4"/>
      <c r="L316" s="4" t="s">
        <v>624</v>
      </c>
      <c r="M316" s="82">
        <f t="shared" si="2"/>
        <v>138.433</v>
      </c>
      <c r="N316" s="27">
        <f t="shared" si="3"/>
        <v>0.001602233796</v>
      </c>
    </row>
    <row r="317">
      <c r="A317" s="77">
        <v>45878.0</v>
      </c>
      <c r="B317" s="4" t="s">
        <v>593</v>
      </c>
      <c r="D317" s="4" t="s">
        <v>594</v>
      </c>
      <c r="E317" s="4" t="s">
        <v>205</v>
      </c>
      <c r="F317" s="80">
        <f t="shared" si="1"/>
        <v>0.001654895833</v>
      </c>
      <c r="G317" s="4" t="s">
        <v>127</v>
      </c>
      <c r="H317" s="4" t="s">
        <v>231</v>
      </c>
      <c r="I317" s="4" t="s">
        <v>313</v>
      </c>
      <c r="J317" s="81">
        <f>IFERROR(__xludf.DUMMYFUNCTION("FILTER('賽道紀錄'!E:E, '賽道紀錄'!A:A=B317, '賽道紀錄'!B:B=C317)-F317"),-7.918171296296299E-4)</f>
        <v>-0.0007918171296</v>
      </c>
      <c r="K317" s="4"/>
      <c r="L317" s="4" t="s">
        <v>625</v>
      </c>
      <c r="M317" s="82">
        <f t="shared" si="2"/>
        <v>142.983</v>
      </c>
      <c r="N317" s="27">
        <f t="shared" si="3"/>
        <v>0.001654895833</v>
      </c>
    </row>
    <row r="318">
      <c r="A318" s="77">
        <v>45878.0</v>
      </c>
      <c r="B318" s="4" t="s">
        <v>593</v>
      </c>
      <c r="D318" s="4" t="s">
        <v>594</v>
      </c>
      <c r="E318" s="4" t="s">
        <v>205</v>
      </c>
      <c r="F318" s="80">
        <f t="shared" si="1"/>
        <v>0.005557407407</v>
      </c>
      <c r="G318" s="4" t="s">
        <v>130</v>
      </c>
      <c r="H318" s="4" t="s">
        <v>231</v>
      </c>
      <c r="I318" s="4" t="s">
        <v>313</v>
      </c>
      <c r="J318" s="81">
        <f>IFERROR(__xludf.DUMMYFUNCTION("FILTER('賽道紀錄'!E:E, '賽道紀錄'!A:A=B318, '賽道紀錄'!B:B=C318)-F318"),-0.004694328703703704)</f>
        <v>-0.004694328704</v>
      </c>
      <c r="K318" s="4"/>
      <c r="L318" s="4" t="s">
        <v>626</v>
      </c>
      <c r="M318" s="82">
        <f t="shared" si="2"/>
        <v>480.16</v>
      </c>
      <c r="N318" s="27">
        <f t="shared" si="3"/>
        <v>0.005557407407</v>
      </c>
    </row>
    <row r="319">
      <c r="A319" s="77">
        <v>45879.0</v>
      </c>
      <c r="B319" s="4" t="s">
        <v>593</v>
      </c>
      <c r="D319" s="4" t="s">
        <v>594</v>
      </c>
      <c r="E319" s="4" t="s">
        <v>627</v>
      </c>
      <c r="F319" s="80">
        <f t="shared" si="1"/>
        <v>0.0009031597222</v>
      </c>
      <c r="G319" s="4" t="s">
        <v>134</v>
      </c>
      <c r="H319" s="4" t="s">
        <v>225</v>
      </c>
      <c r="I319" s="4" t="s">
        <v>313</v>
      </c>
      <c r="J319" s="81">
        <f>IFERROR(__xludf.DUMMYFUNCTION("FILTER('賽道紀錄'!E:E, '賽道紀錄'!A:A=B319, '賽道紀錄'!B:B=C319)-F319"),-4.008101851851872E-5)</f>
        <v>-0.00004008101852</v>
      </c>
      <c r="K319" s="4"/>
      <c r="L319" s="4" t="s">
        <v>628</v>
      </c>
      <c r="M319" s="82">
        <f t="shared" si="2"/>
        <v>78.033</v>
      </c>
      <c r="N319" s="27">
        <f t="shared" si="3"/>
        <v>0.0009031597222</v>
      </c>
    </row>
    <row r="320">
      <c r="A320" s="77">
        <v>45879.0</v>
      </c>
      <c r="B320" s="4" t="s">
        <v>593</v>
      </c>
      <c r="D320" s="4" t="s">
        <v>594</v>
      </c>
      <c r="E320" s="4" t="s">
        <v>627</v>
      </c>
      <c r="F320" s="80">
        <f t="shared" si="1"/>
        <v>0.0009527430556</v>
      </c>
      <c r="G320" s="4" t="s">
        <v>127</v>
      </c>
      <c r="H320" s="4" t="s">
        <v>225</v>
      </c>
      <c r="I320" s="4" t="s">
        <v>313</v>
      </c>
      <c r="J320" s="81">
        <f>IFERROR(__xludf.DUMMYFUNCTION("FILTER('賽道紀錄'!E:E, '賽道紀錄'!A:A=B320, '賽道紀錄'!B:B=C320)-F320"),-8.966435185185195E-5)</f>
        <v>-0.00008966435185</v>
      </c>
      <c r="K320" s="4"/>
      <c r="L320" s="4" t="s">
        <v>629</v>
      </c>
      <c r="M320" s="82">
        <f t="shared" si="2"/>
        <v>82.317</v>
      </c>
      <c r="N320" s="27">
        <f t="shared" si="3"/>
        <v>0.0009527430556</v>
      </c>
    </row>
    <row r="321">
      <c r="A321" s="77">
        <v>45879.0</v>
      </c>
      <c r="B321" s="4" t="s">
        <v>630</v>
      </c>
      <c r="D321" s="4" t="s">
        <v>594</v>
      </c>
      <c r="E321" s="4" t="s">
        <v>205</v>
      </c>
      <c r="F321" s="80">
        <f t="shared" si="1"/>
        <v>0.001487465278</v>
      </c>
      <c r="G321" s="4" t="s">
        <v>152</v>
      </c>
      <c r="H321" s="4" t="s">
        <v>231</v>
      </c>
      <c r="I321" s="4" t="s">
        <v>313</v>
      </c>
      <c r="J321" s="81">
        <f>IFERROR(__xludf.DUMMYFUNCTION("FILTER('賽道紀錄'!E:E, '賽道紀錄'!A:A=B321, '賽道紀錄'!B:B=C321)-F321"),-4.4258101851851837E-4)</f>
        <v>-0.0004425810185</v>
      </c>
      <c r="K321" s="4"/>
      <c r="L321" s="4" t="s">
        <v>631</v>
      </c>
      <c r="M321" s="82">
        <f t="shared" si="2"/>
        <v>128.517</v>
      </c>
      <c r="N321" s="27">
        <f t="shared" si="3"/>
        <v>0.001487465278</v>
      </c>
    </row>
    <row r="322">
      <c r="A322" s="77">
        <v>45879.0</v>
      </c>
      <c r="B322" s="4" t="s">
        <v>632</v>
      </c>
      <c r="D322" s="4" t="s">
        <v>594</v>
      </c>
      <c r="E322" s="4" t="s">
        <v>205</v>
      </c>
      <c r="F322" s="80">
        <f t="shared" si="1"/>
        <v>0.001666863426</v>
      </c>
      <c r="G322" s="4" t="s">
        <v>134</v>
      </c>
      <c r="H322" s="4" t="s">
        <v>231</v>
      </c>
      <c r="I322" s="4" t="s">
        <v>313</v>
      </c>
      <c r="J322" s="81">
        <f>IFERROR(__xludf.DUMMYFUNCTION("FILTER('賽道紀錄'!E:E, '賽道紀錄'!A:A=B322, '賽道紀錄'!B:B=C322)-F322"),-9.452893518518517E-4)</f>
        <v>-0.0009452893519</v>
      </c>
      <c r="K322" s="4"/>
      <c r="L322" s="4" t="s">
        <v>633</v>
      </c>
      <c r="M322" s="82">
        <f t="shared" si="2"/>
        <v>144.017</v>
      </c>
      <c r="N322" s="27">
        <f t="shared" si="3"/>
        <v>0.001666863426</v>
      </c>
    </row>
    <row r="323">
      <c r="A323" s="77">
        <v>45879.0</v>
      </c>
      <c r="B323" s="4" t="s">
        <v>630</v>
      </c>
      <c r="D323" s="4" t="s">
        <v>594</v>
      </c>
      <c r="E323" s="4" t="s">
        <v>315</v>
      </c>
      <c r="F323" s="80">
        <f t="shared" si="1"/>
        <v>0.001044884259</v>
      </c>
      <c r="G323" s="4" t="s">
        <v>152</v>
      </c>
      <c r="H323" s="4" t="s">
        <v>225</v>
      </c>
      <c r="I323" s="4" t="s">
        <v>313</v>
      </c>
      <c r="J323" s="81">
        <f>IFERROR(__xludf.DUMMYFUNCTION("FILTER('賽道紀錄'!E:E, '賽道紀錄'!A:A=B323, '賽道紀錄'!B:B=C323)-F323"),0.0)</f>
        <v>0</v>
      </c>
      <c r="K323" s="4"/>
      <c r="L323" s="4" t="s">
        <v>634</v>
      </c>
      <c r="M323" s="82">
        <f t="shared" si="2"/>
        <v>90.278</v>
      </c>
      <c r="N323" s="27">
        <f t="shared" si="3"/>
        <v>0.001044884259</v>
      </c>
    </row>
    <row r="324">
      <c r="A324" s="77">
        <v>45879.0</v>
      </c>
      <c r="B324" s="4" t="s">
        <v>593</v>
      </c>
      <c r="D324" s="4" t="s">
        <v>594</v>
      </c>
      <c r="E324" s="4" t="s">
        <v>315</v>
      </c>
      <c r="F324" s="80">
        <f t="shared" si="1"/>
        <v>0.000912037037</v>
      </c>
      <c r="G324" s="4" t="s">
        <v>152</v>
      </c>
      <c r="H324" s="4" t="s">
        <v>225</v>
      </c>
      <c r="I324" s="4" t="s">
        <v>313</v>
      </c>
      <c r="J324" s="81">
        <f>IFERROR(__xludf.DUMMYFUNCTION("FILTER('賽道紀錄'!E:E, '賽道紀錄'!A:A=B324, '賽道紀錄'!B:B=C324)-F324"),-4.895833333333347E-5)</f>
        <v>-0.00004895833333</v>
      </c>
      <c r="K324" s="4"/>
      <c r="L324" s="4" t="s">
        <v>635</v>
      </c>
      <c r="M324" s="82">
        <f t="shared" si="2"/>
        <v>78.8</v>
      </c>
      <c r="N324" s="27">
        <f t="shared" si="3"/>
        <v>0.000912037037</v>
      </c>
    </row>
    <row r="325">
      <c r="A325" s="77">
        <v>45879.0</v>
      </c>
      <c r="B325" s="4" t="s">
        <v>630</v>
      </c>
      <c r="D325" s="4" t="s">
        <v>594</v>
      </c>
      <c r="E325" s="4" t="s">
        <v>205</v>
      </c>
      <c r="F325" s="80">
        <f t="shared" si="1"/>
        <v>0.001933645833</v>
      </c>
      <c r="G325" s="4" t="s">
        <v>134</v>
      </c>
      <c r="H325" s="4" t="s">
        <v>231</v>
      </c>
      <c r="I325" s="4" t="s">
        <v>313</v>
      </c>
      <c r="J325" s="81">
        <f>IFERROR(__xludf.DUMMYFUNCTION("FILTER('賽道紀錄'!E:E, '賽道紀錄'!A:A=B325, '賽道紀錄'!B:B=C325)-F325"),-8.887615740740741E-4)</f>
        <v>-0.0008887615741</v>
      </c>
      <c r="K325" s="4"/>
      <c r="L325" s="4" t="s">
        <v>636</v>
      </c>
      <c r="M325" s="82">
        <f t="shared" si="2"/>
        <v>167.067</v>
      </c>
      <c r="N325" s="27">
        <f t="shared" si="3"/>
        <v>0.001933645833</v>
      </c>
    </row>
    <row r="326">
      <c r="A326" s="77">
        <v>45879.0</v>
      </c>
      <c r="B326" s="4" t="s">
        <v>630</v>
      </c>
      <c r="D326" s="4" t="s">
        <v>594</v>
      </c>
      <c r="E326" s="4" t="s">
        <v>637</v>
      </c>
      <c r="F326" s="80">
        <f t="shared" si="1"/>
        <v>0.001603275463</v>
      </c>
      <c r="G326" s="4" t="s">
        <v>130</v>
      </c>
      <c r="H326" s="4" t="s">
        <v>225</v>
      </c>
      <c r="I326" s="4" t="s">
        <v>313</v>
      </c>
      <c r="J326" s="81">
        <f>IFERROR(__xludf.DUMMYFUNCTION("FILTER('賽道紀錄'!E:E, '賽道紀錄'!A:A=B326, '賽道紀錄'!B:B=C326)-F326"),-5.583912037037035E-4)</f>
        <v>-0.0005583912037</v>
      </c>
      <c r="K326" s="4"/>
      <c r="L326" s="4" t="s">
        <v>638</v>
      </c>
      <c r="M326" s="82">
        <f t="shared" si="2"/>
        <v>138.523</v>
      </c>
      <c r="N326" s="27">
        <f t="shared" si="3"/>
        <v>0.001603275463</v>
      </c>
    </row>
    <row r="327">
      <c r="A327" s="77">
        <v>45879.0</v>
      </c>
      <c r="B327" s="4" t="s">
        <v>237</v>
      </c>
      <c r="C327" s="4" t="s">
        <v>223</v>
      </c>
      <c r="D327" s="4" t="s">
        <v>224</v>
      </c>
      <c r="E327" s="4" t="s">
        <v>209</v>
      </c>
      <c r="F327" s="80">
        <f t="shared" si="1"/>
        <v>0.002407152778</v>
      </c>
      <c r="G327" s="4" t="s">
        <v>183</v>
      </c>
      <c r="H327" s="4" t="s">
        <v>225</v>
      </c>
      <c r="I327" s="4" t="s">
        <v>226</v>
      </c>
      <c r="J327" s="81">
        <f>IFERROR(__xludf.DUMMYFUNCTION("FILTER('賽道紀錄'!E:E, '賽道紀錄'!A:A=B327, '賽道紀錄'!B:B=C327)-F327"),-1.349537037037031E-5)</f>
        <v>-0.00001349537037</v>
      </c>
      <c r="K327" s="4"/>
      <c r="L327" s="4" t="s">
        <v>639</v>
      </c>
      <c r="M327" s="82">
        <f t="shared" si="2"/>
        <v>207.978</v>
      </c>
      <c r="N327" s="27">
        <f t="shared" si="3"/>
        <v>0.002407152778</v>
      </c>
    </row>
    <row r="328">
      <c r="A328" s="77">
        <v>45879.0</v>
      </c>
      <c r="B328" s="4" t="s">
        <v>237</v>
      </c>
      <c r="C328" s="4" t="s">
        <v>223</v>
      </c>
      <c r="D328" s="4" t="s">
        <v>224</v>
      </c>
      <c r="E328" s="4" t="s">
        <v>205</v>
      </c>
      <c r="F328" s="80">
        <f t="shared" si="1"/>
        <v>0.00260744213</v>
      </c>
      <c r="G328" s="4" t="s">
        <v>177</v>
      </c>
      <c r="H328" s="4" t="s">
        <v>231</v>
      </c>
      <c r="I328" s="4" t="s">
        <v>226</v>
      </c>
      <c r="J328" s="81">
        <f>IFERROR(__xludf.DUMMYFUNCTION("FILTER('賽道紀錄'!E:E, '賽道紀錄'!A:A=B328, '賽道紀錄'!B:B=C328)-F328"),-2.1378472222222241E-4)</f>
        <v>-0.0002137847222</v>
      </c>
      <c r="K328" s="4"/>
      <c r="L328" s="4" t="s">
        <v>640</v>
      </c>
      <c r="M328" s="82">
        <f t="shared" si="2"/>
        <v>225.283</v>
      </c>
      <c r="N328" s="27">
        <f t="shared" si="3"/>
        <v>0.00260744213</v>
      </c>
    </row>
    <row r="329">
      <c r="A329" s="77">
        <v>45879.0</v>
      </c>
      <c r="B329" s="4" t="s">
        <v>237</v>
      </c>
      <c r="C329" s="4" t="s">
        <v>223</v>
      </c>
      <c r="D329" s="4" t="s">
        <v>224</v>
      </c>
      <c r="E329" s="4" t="s">
        <v>627</v>
      </c>
      <c r="F329" s="80">
        <f t="shared" si="1"/>
        <v>0.00266712963</v>
      </c>
      <c r="G329" s="4" t="s">
        <v>126</v>
      </c>
      <c r="H329" s="4" t="s">
        <v>225</v>
      </c>
      <c r="I329" s="4" t="s">
        <v>226</v>
      </c>
      <c r="J329" s="81">
        <f>IFERROR(__xludf.DUMMYFUNCTION("FILTER('賽道紀錄'!E:E, '賽道紀錄'!A:A=B329, '賽道紀錄'!B:B=C329)-F329"),-2.734722222222227E-4)</f>
        <v>-0.0002734722222</v>
      </c>
      <c r="K329" s="4"/>
      <c r="L329" s="4" t="s">
        <v>641</v>
      </c>
      <c r="M329" s="82">
        <f t="shared" si="2"/>
        <v>230.44</v>
      </c>
      <c r="N329" s="27">
        <f t="shared" si="3"/>
        <v>0.00266712963</v>
      </c>
    </row>
    <row r="330">
      <c r="A330" s="77">
        <v>45879.0</v>
      </c>
      <c r="B330" s="4" t="s">
        <v>237</v>
      </c>
      <c r="C330" s="4" t="s">
        <v>223</v>
      </c>
      <c r="D330" s="4" t="s">
        <v>224</v>
      </c>
      <c r="E330" s="4" t="s">
        <v>209</v>
      </c>
      <c r="F330" s="80">
        <f t="shared" si="1"/>
        <v>0.002407893519</v>
      </c>
      <c r="G330" s="4" t="s">
        <v>147</v>
      </c>
      <c r="H330" s="4" t="s">
        <v>225</v>
      </c>
      <c r="I330" s="4" t="s">
        <v>226</v>
      </c>
      <c r="J330" s="81">
        <f>IFERROR(__xludf.DUMMYFUNCTION("FILTER('賽道紀錄'!E:E, '賽道紀錄'!A:A=B330, '賽道紀錄'!B:B=C330)-F330"),-1.4236111111111133E-5)</f>
        <v>-0.00001423611111</v>
      </c>
      <c r="K330" s="4"/>
      <c r="L330" s="4" t="s">
        <v>642</v>
      </c>
      <c r="M330" s="82">
        <f t="shared" si="2"/>
        <v>208.042</v>
      </c>
      <c r="N330" s="27">
        <f t="shared" si="3"/>
        <v>0.002407893519</v>
      </c>
    </row>
    <row r="331">
      <c r="A331" s="89"/>
      <c r="B331" s="4" t="s">
        <v>237</v>
      </c>
      <c r="C331" s="4" t="s">
        <v>223</v>
      </c>
      <c r="D331" s="4" t="s">
        <v>224</v>
      </c>
      <c r="E331" s="4" t="s">
        <v>209</v>
      </c>
      <c r="F331" s="80">
        <f t="shared" si="1"/>
        <v>0.00240375</v>
      </c>
      <c r="G331" s="4" t="s">
        <v>147</v>
      </c>
      <c r="H331" s="4" t="s">
        <v>225</v>
      </c>
      <c r="I331" s="4" t="s">
        <v>226</v>
      </c>
      <c r="J331" s="81">
        <f>IFERROR(__xludf.DUMMYFUNCTION("FILTER('賽道紀錄'!E:E, '賽道紀錄'!A:A=B331, '賽道紀錄'!B:B=C331)-F331"),-1.0092592592592792E-5)</f>
        <v>-0.00001009259259</v>
      </c>
      <c r="K331" s="4"/>
      <c r="L331" s="4" t="s">
        <v>643</v>
      </c>
      <c r="M331" s="82">
        <f t="shared" si="2"/>
        <v>207.684</v>
      </c>
      <c r="N331" s="27">
        <f t="shared" si="3"/>
        <v>0.00240375</v>
      </c>
    </row>
    <row r="332">
      <c r="A332" s="89"/>
      <c r="B332" s="4" t="s">
        <v>237</v>
      </c>
      <c r="C332" s="4" t="s">
        <v>223</v>
      </c>
      <c r="D332" s="4" t="s">
        <v>224</v>
      </c>
      <c r="E332" s="4" t="s">
        <v>207</v>
      </c>
      <c r="F332" s="80">
        <f t="shared" si="1"/>
        <v>0.02117828704</v>
      </c>
      <c r="G332" s="4" t="s">
        <v>147</v>
      </c>
      <c r="H332" s="4" t="s">
        <v>231</v>
      </c>
      <c r="I332" s="4" t="s">
        <v>226</v>
      </c>
      <c r="J332" s="81">
        <f>IFERROR(__xludf.DUMMYFUNCTION("FILTER('賽道紀錄'!E:E, '賽道紀錄'!A:A=B332, '賽道紀錄'!B:B=C332)-F332"),-0.018784629629629634)</f>
        <v>-0.01878462963</v>
      </c>
      <c r="K332" s="4"/>
      <c r="L332" s="4" t="s">
        <v>644</v>
      </c>
      <c r="M332" s="82">
        <f t="shared" si="2"/>
        <v>1829.804</v>
      </c>
      <c r="N332" s="27">
        <f t="shared" si="3"/>
        <v>0.02117828704</v>
      </c>
    </row>
    <row r="333">
      <c r="A333" s="77">
        <v>45879.0</v>
      </c>
      <c r="B333" s="4" t="s">
        <v>237</v>
      </c>
      <c r="C333" s="4" t="s">
        <v>223</v>
      </c>
      <c r="D333" s="4" t="s">
        <v>224</v>
      </c>
      <c r="E333" s="4" t="s">
        <v>205</v>
      </c>
      <c r="F333" s="80">
        <f t="shared" si="1"/>
        <v>0.002599155093</v>
      </c>
      <c r="G333" s="4" t="s">
        <v>177</v>
      </c>
      <c r="H333" s="4" t="s">
        <v>231</v>
      </c>
      <c r="I333" s="4" t="s">
        <v>226</v>
      </c>
      <c r="J333" s="81">
        <f>IFERROR(__xludf.DUMMYFUNCTION("FILTER('賽道紀錄'!E:E, '賽道紀錄'!A:A=B333, '賽道紀錄'!B:B=C333)-F333"),-2.054976851851853E-4)</f>
        <v>-0.0002054976852</v>
      </c>
      <c r="K333" s="4"/>
      <c r="L333" s="4" t="s">
        <v>645</v>
      </c>
      <c r="M333" s="82">
        <f t="shared" si="2"/>
        <v>224.567</v>
      </c>
      <c r="N333" s="27">
        <f t="shared" si="3"/>
        <v>0.002599155093</v>
      </c>
    </row>
    <row r="334">
      <c r="A334" s="77">
        <v>45879.0</v>
      </c>
      <c r="B334" s="4" t="s">
        <v>237</v>
      </c>
      <c r="C334" s="4" t="s">
        <v>223</v>
      </c>
      <c r="D334" s="4" t="s">
        <v>224</v>
      </c>
      <c r="E334" s="4" t="s">
        <v>627</v>
      </c>
      <c r="F334" s="80">
        <f t="shared" si="1"/>
        <v>0.002703611111</v>
      </c>
      <c r="G334" s="4" t="s">
        <v>133</v>
      </c>
      <c r="H334" s="4" t="s">
        <v>225</v>
      </c>
      <c r="I334" s="4" t="s">
        <v>226</v>
      </c>
      <c r="J334" s="81">
        <f>IFERROR(__xludf.DUMMYFUNCTION("FILTER('賽道紀錄'!E:E, '賽道紀錄'!A:A=B334, '賽道紀錄'!B:B=C334)-F334"),-3.099537037037042E-4)</f>
        <v>-0.0003099537037</v>
      </c>
      <c r="K334" s="4"/>
      <c r="L334" s="4" t="s">
        <v>646</v>
      </c>
      <c r="M334" s="82">
        <f t="shared" si="2"/>
        <v>233.592</v>
      </c>
      <c r="N334" s="27">
        <f t="shared" si="3"/>
        <v>0.002703611111</v>
      </c>
    </row>
    <row r="335">
      <c r="A335" s="77">
        <v>45879.0</v>
      </c>
      <c r="B335" s="4" t="s">
        <v>237</v>
      </c>
      <c r="C335" s="4" t="s">
        <v>223</v>
      </c>
      <c r="D335" s="4" t="s">
        <v>224</v>
      </c>
      <c r="E335" s="4" t="s">
        <v>647</v>
      </c>
      <c r="F335" s="80">
        <f t="shared" si="1"/>
        <v>0.002513217593</v>
      </c>
      <c r="G335" s="4" t="s">
        <v>147</v>
      </c>
      <c r="H335" s="4" t="s">
        <v>225</v>
      </c>
      <c r="I335" s="4" t="s">
        <v>226</v>
      </c>
      <c r="J335" s="81">
        <f>IFERROR(__xludf.DUMMYFUNCTION("FILTER('賽道紀錄'!E:E, '賽道紀錄'!A:A=B335, '賽道紀錄'!B:B=C335)-F335"),-1.1956018518518522E-4)</f>
        <v>-0.0001195601852</v>
      </c>
      <c r="K335" s="4"/>
      <c r="L335" s="4" t="s">
        <v>648</v>
      </c>
      <c r="M335" s="82">
        <f t="shared" si="2"/>
        <v>217.142</v>
      </c>
      <c r="N335" s="27">
        <f t="shared" si="3"/>
        <v>0.002513217593</v>
      </c>
    </row>
    <row r="336">
      <c r="A336" s="77"/>
      <c r="B336" s="4" t="s">
        <v>237</v>
      </c>
      <c r="C336" s="4" t="s">
        <v>223</v>
      </c>
      <c r="D336" s="4" t="s">
        <v>224</v>
      </c>
      <c r="E336" s="4" t="s">
        <v>489</v>
      </c>
      <c r="F336" s="80">
        <f t="shared" si="1"/>
        <v>0.002495983796</v>
      </c>
      <c r="G336" s="4" t="s">
        <v>147</v>
      </c>
      <c r="H336" s="4" t="s">
        <v>231</v>
      </c>
      <c r="I336" s="4" t="s">
        <v>226</v>
      </c>
      <c r="J336" s="81">
        <f>IFERROR(__xludf.DUMMYFUNCTION("FILTER('賽道紀錄'!E:E, '賽道紀錄'!A:A=B336, '賽道紀錄'!B:B=C336)-F336"),-1.0232638888888878E-4)</f>
        <v>-0.0001023263889</v>
      </c>
      <c r="K336" s="4"/>
      <c r="L336" s="4" t="s">
        <v>649</v>
      </c>
      <c r="M336" s="82">
        <f t="shared" si="2"/>
        <v>215.653</v>
      </c>
      <c r="N336" s="27">
        <f t="shared" si="3"/>
        <v>0.002495983796</v>
      </c>
    </row>
    <row r="337">
      <c r="A337" s="86">
        <v>45880.0</v>
      </c>
      <c r="B337" s="83" t="s">
        <v>237</v>
      </c>
      <c r="C337" s="83" t="s">
        <v>223</v>
      </c>
      <c r="D337" s="83" t="s">
        <v>224</v>
      </c>
      <c r="E337" s="83" t="s">
        <v>647</v>
      </c>
      <c r="F337" s="88">
        <f t="shared" si="1"/>
        <v>0.002524398148</v>
      </c>
      <c r="G337" s="70" t="s">
        <v>148</v>
      </c>
      <c r="H337" s="83" t="s">
        <v>225</v>
      </c>
      <c r="I337" s="83" t="s">
        <v>226</v>
      </c>
      <c r="J337" s="81">
        <f>IFERROR(__xludf.DUMMYFUNCTION("FILTER('賽道紀錄'!E:E, '賽道紀錄'!A:A=B337, '賽道紀錄'!B:B=C337)-F337"),-1.3074074074074116E-4)</f>
        <v>-0.0001307407407</v>
      </c>
      <c r="K337" s="83"/>
      <c r="L337" s="83" t="s">
        <v>650</v>
      </c>
      <c r="M337" s="90">
        <f t="shared" si="2"/>
        <v>218.108</v>
      </c>
      <c r="N337" s="91">
        <f t="shared" si="3"/>
        <v>0.002524398148</v>
      </c>
    </row>
    <row r="338">
      <c r="A338" s="77">
        <v>45880.0</v>
      </c>
      <c r="B338" s="4" t="s">
        <v>237</v>
      </c>
      <c r="C338" s="4" t="s">
        <v>223</v>
      </c>
      <c r="D338" s="4" t="s">
        <v>224</v>
      </c>
      <c r="E338" s="4" t="s">
        <v>205</v>
      </c>
      <c r="F338" s="80">
        <f t="shared" si="1"/>
        <v>0.002614583333</v>
      </c>
      <c r="G338" s="4" t="s">
        <v>177</v>
      </c>
      <c r="H338" s="4" t="s">
        <v>231</v>
      </c>
      <c r="I338" s="4" t="s">
        <v>226</v>
      </c>
      <c r="J338" s="81">
        <f>IFERROR(__xludf.DUMMYFUNCTION("FILTER('賽道紀錄'!E:E, '賽道紀錄'!A:A=B338, '賽道紀錄'!B:B=C338)-F338"),-2.2092592592592606E-4)</f>
        <v>-0.0002209259259</v>
      </c>
      <c r="K338" s="4"/>
      <c r="L338" s="4" t="s">
        <v>651</v>
      </c>
      <c r="M338" s="82">
        <f t="shared" si="2"/>
        <v>225.9</v>
      </c>
      <c r="N338" s="27">
        <f t="shared" si="3"/>
        <v>0.002614583333</v>
      </c>
    </row>
    <row r="339">
      <c r="A339" s="86">
        <v>45880.0</v>
      </c>
      <c r="B339" s="83" t="s">
        <v>237</v>
      </c>
      <c r="C339" s="83" t="s">
        <v>223</v>
      </c>
      <c r="D339" s="83" t="s">
        <v>224</v>
      </c>
      <c r="E339" s="83" t="s">
        <v>647</v>
      </c>
      <c r="F339" s="88">
        <f t="shared" si="1"/>
        <v>0.002501840278</v>
      </c>
      <c r="G339" s="4" t="s">
        <v>177</v>
      </c>
      <c r="H339" s="83" t="s">
        <v>225</v>
      </c>
      <c r="I339" s="83" t="s">
        <v>226</v>
      </c>
      <c r="J339" s="81">
        <f>IFERROR(__xludf.DUMMYFUNCTION("FILTER('賽道紀錄'!E:E, '賽道紀錄'!A:A=B339, '賽道紀錄'!B:B=C339)-F339"),-1.0818287037037046E-4)</f>
        <v>-0.0001081828704</v>
      </c>
      <c r="K339" s="70"/>
      <c r="L339" s="70" t="s">
        <v>652</v>
      </c>
      <c r="M339" s="90">
        <f t="shared" si="2"/>
        <v>216.159</v>
      </c>
      <c r="N339" s="91">
        <f t="shared" si="3"/>
        <v>0.002501840278</v>
      </c>
    </row>
    <row r="340">
      <c r="A340" s="77">
        <v>45880.0</v>
      </c>
      <c r="B340" s="4" t="s">
        <v>237</v>
      </c>
      <c r="C340" s="4" t="s">
        <v>223</v>
      </c>
      <c r="D340" s="4" t="s">
        <v>224</v>
      </c>
      <c r="E340" s="4" t="s">
        <v>229</v>
      </c>
      <c r="F340" s="80">
        <f t="shared" si="1"/>
        <v>0.002716099537</v>
      </c>
      <c r="G340" s="4" t="s">
        <v>176</v>
      </c>
      <c r="H340" s="4" t="s">
        <v>231</v>
      </c>
      <c r="I340" s="4" t="s">
        <v>226</v>
      </c>
      <c r="J340" s="81">
        <f>IFERROR(__xludf.DUMMYFUNCTION("FILTER('賽道紀錄'!E:E, '賽道紀錄'!A:A=B340, '賽道紀錄'!B:B=C340)-F340"),-3.2244212962963E-4)</f>
        <v>-0.0003224421296</v>
      </c>
      <c r="K340" s="4"/>
      <c r="L340" s="4" t="s">
        <v>653</v>
      </c>
      <c r="M340" s="82">
        <f t="shared" si="2"/>
        <v>234.671</v>
      </c>
      <c r="N340" s="27">
        <f t="shared" si="3"/>
        <v>0.002716099537</v>
      </c>
    </row>
    <row r="341">
      <c r="A341" s="77">
        <v>45880.0</v>
      </c>
      <c r="B341" s="4" t="s">
        <v>593</v>
      </c>
      <c r="D341" s="4" t="s">
        <v>594</v>
      </c>
      <c r="E341" s="4" t="s">
        <v>515</v>
      </c>
      <c r="F341" s="80">
        <f t="shared" si="1"/>
        <v>0.0008979513889</v>
      </c>
      <c r="G341" s="4" t="s">
        <v>127</v>
      </c>
      <c r="H341" s="4" t="s">
        <v>225</v>
      </c>
      <c r="I341" s="4" t="s">
        <v>313</v>
      </c>
      <c r="J341" s="81">
        <f>IFERROR(__xludf.DUMMYFUNCTION("FILTER('賽道紀錄'!E:E, '賽道紀錄'!A:A=B341, '賽道紀錄'!B:B=C341)-F341"),-3.48726851851852E-5)</f>
        <v>-0.00003487268519</v>
      </c>
      <c r="K341" s="4"/>
      <c r="L341" s="4" t="s">
        <v>654</v>
      </c>
      <c r="M341" s="82">
        <f t="shared" si="2"/>
        <v>77.583</v>
      </c>
      <c r="N341" s="27">
        <f t="shared" si="3"/>
        <v>0.0008979513889</v>
      </c>
    </row>
    <row r="342">
      <c r="A342" s="77">
        <v>45881.0</v>
      </c>
      <c r="B342" s="4" t="s">
        <v>398</v>
      </c>
      <c r="C342" s="4" t="s">
        <v>381</v>
      </c>
      <c r="D342" s="4" t="s">
        <v>224</v>
      </c>
      <c r="E342" s="4" t="s">
        <v>208</v>
      </c>
      <c r="F342" s="80">
        <f t="shared" si="1"/>
        <v>0.002923576389</v>
      </c>
      <c r="G342" s="4" t="s">
        <v>169</v>
      </c>
      <c r="H342" s="4" t="s">
        <v>225</v>
      </c>
      <c r="I342" s="4" t="s">
        <v>226</v>
      </c>
      <c r="J342" s="81">
        <f>IFERROR(__xludf.DUMMYFUNCTION("FILTER('賽道紀錄'!E:E, '賽道紀錄'!A:A=B342, '賽道紀錄'!B:B=C342)-F342"),-3.132291666666665E-4)</f>
        <v>-0.0003132291667</v>
      </c>
      <c r="K342" s="4"/>
      <c r="L342" s="4" t="s">
        <v>655</v>
      </c>
      <c r="M342" s="82">
        <f t="shared" si="2"/>
        <v>252.597</v>
      </c>
      <c r="N342" s="27">
        <f t="shared" si="3"/>
        <v>0.002923576389</v>
      </c>
    </row>
    <row r="343">
      <c r="A343" s="77">
        <v>45881.0</v>
      </c>
      <c r="B343" s="4" t="s">
        <v>237</v>
      </c>
      <c r="C343" s="4" t="s">
        <v>223</v>
      </c>
      <c r="D343" s="4" t="s">
        <v>224</v>
      </c>
      <c r="E343" s="4" t="s">
        <v>229</v>
      </c>
      <c r="F343" s="80">
        <f t="shared" si="1"/>
        <v>0.002599155093</v>
      </c>
      <c r="G343" s="4" t="s">
        <v>192</v>
      </c>
      <c r="H343" s="4" t="s">
        <v>231</v>
      </c>
      <c r="I343" s="4" t="s">
        <v>226</v>
      </c>
      <c r="J343" s="81">
        <f>IFERROR(__xludf.DUMMYFUNCTION("FILTER('賽道紀錄'!E:E, '賽道紀錄'!A:A=B343, '賽道紀錄'!B:B=C343)-F343"),-2.054976851851853E-4)</f>
        <v>-0.0002054976852</v>
      </c>
      <c r="K343" s="4"/>
      <c r="L343" s="4" t="s">
        <v>645</v>
      </c>
      <c r="M343" s="82">
        <f t="shared" si="2"/>
        <v>224.567</v>
      </c>
      <c r="N343" s="27">
        <f t="shared" si="3"/>
        <v>0.002599155093</v>
      </c>
    </row>
    <row r="344">
      <c r="A344" s="77">
        <v>45882.0</v>
      </c>
      <c r="B344" s="4" t="s">
        <v>527</v>
      </c>
      <c r="C344" s="4" t="s">
        <v>383</v>
      </c>
      <c r="E344" s="4" t="s">
        <v>627</v>
      </c>
      <c r="F344" s="80">
        <f t="shared" si="1"/>
        <v>0.003209108796</v>
      </c>
      <c r="G344" s="4" t="s">
        <v>656</v>
      </c>
      <c r="H344" s="4" t="s">
        <v>225</v>
      </c>
      <c r="I344" s="4" t="s">
        <v>313</v>
      </c>
      <c r="J344" s="81">
        <f>IFERROR(__xludf.DUMMYFUNCTION("FILTER('賽道紀錄'!E:E, '賽道紀錄'!A:A=B344, '賽道紀錄'!B:B=C344)-F344"),0.0)</f>
        <v>0</v>
      </c>
      <c r="K344" s="4"/>
      <c r="L344" s="4" t="s">
        <v>657</v>
      </c>
      <c r="M344" s="82">
        <f t="shared" si="2"/>
        <v>277.267</v>
      </c>
      <c r="N344" s="27">
        <f t="shared" si="3"/>
        <v>0.003209108796</v>
      </c>
    </row>
    <row r="345">
      <c r="A345" s="77">
        <v>45882.0</v>
      </c>
      <c r="B345" s="4" t="s">
        <v>527</v>
      </c>
      <c r="C345" s="4" t="s">
        <v>383</v>
      </c>
      <c r="E345" s="4" t="s">
        <v>627</v>
      </c>
      <c r="F345" s="80">
        <f t="shared" si="1"/>
        <v>0.003272766204</v>
      </c>
      <c r="G345" s="4" t="s">
        <v>658</v>
      </c>
      <c r="H345" s="4" t="s">
        <v>225</v>
      </c>
      <c r="I345" s="4" t="s">
        <v>313</v>
      </c>
      <c r="J345" s="81">
        <f>IFERROR(__xludf.DUMMYFUNCTION("FILTER('賽道紀錄'!E:E, '賽道紀錄'!A:A=B345, '賽道紀錄'!B:B=C345)-F345"),-6.365740740740724E-5)</f>
        <v>-0.00006365740741</v>
      </c>
      <c r="K345" s="4"/>
      <c r="L345" s="4" t="s">
        <v>659</v>
      </c>
      <c r="M345" s="82">
        <f t="shared" si="2"/>
        <v>282.767</v>
      </c>
      <c r="N345" s="27">
        <f t="shared" si="3"/>
        <v>0.003272766204</v>
      </c>
    </row>
    <row r="346">
      <c r="A346" s="77">
        <v>45882.0</v>
      </c>
      <c r="B346" s="4" t="s">
        <v>527</v>
      </c>
      <c r="C346" s="4" t="s">
        <v>383</v>
      </c>
      <c r="E346" s="4" t="s">
        <v>627</v>
      </c>
      <c r="F346" s="80">
        <f t="shared" si="1"/>
        <v>0.00329244213</v>
      </c>
      <c r="G346" s="4" t="s">
        <v>202</v>
      </c>
      <c r="H346" s="4" t="s">
        <v>225</v>
      </c>
      <c r="I346" s="4" t="s">
        <v>313</v>
      </c>
      <c r="J346" s="81">
        <f>IFERROR(__xludf.DUMMYFUNCTION("FILTER('賽道紀錄'!E:E, '賽道紀錄'!A:A=B346, '賽道紀錄'!B:B=C346)-F346"),-8.333333333333326E-5)</f>
        <v>-0.00008333333333</v>
      </c>
      <c r="K346" s="4"/>
      <c r="L346" s="4" t="s">
        <v>660</v>
      </c>
      <c r="M346" s="82">
        <f t="shared" si="2"/>
        <v>284.467</v>
      </c>
      <c r="N346" s="27">
        <f t="shared" si="3"/>
        <v>0.00329244213</v>
      </c>
    </row>
    <row r="347">
      <c r="A347" s="77">
        <v>45882.0</v>
      </c>
      <c r="B347" s="4" t="s">
        <v>527</v>
      </c>
      <c r="C347" s="4" t="s">
        <v>383</v>
      </c>
      <c r="E347" s="4" t="s">
        <v>627</v>
      </c>
      <c r="F347" s="80">
        <f t="shared" si="1"/>
        <v>0.003707569444</v>
      </c>
      <c r="G347" s="4" t="s">
        <v>198</v>
      </c>
      <c r="H347" s="4" t="s">
        <v>225</v>
      </c>
      <c r="I347" s="4" t="s">
        <v>313</v>
      </c>
      <c r="J347" s="81">
        <f>IFERROR(__xludf.DUMMYFUNCTION("FILTER('賽道紀錄'!E:E, '賽道紀錄'!A:A=B347, '賽道紀錄'!B:B=C347)-F347"),-4.98460648148148E-4)</f>
        <v>-0.0004984606481</v>
      </c>
      <c r="K347" s="4"/>
      <c r="L347" s="4" t="s">
        <v>661</v>
      </c>
      <c r="M347" s="82">
        <f t="shared" si="2"/>
        <v>320.334</v>
      </c>
      <c r="N347" s="27">
        <f t="shared" si="3"/>
        <v>0.003707569444</v>
      </c>
    </row>
    <row r="348">
      <c r="A348" s="77">
        <v>45882.0</v>
      </c>
      <c r="B348" s="4" t="s">
        <v>325</v>
      </c>
      <c r="C348" s="4" t="s">
        <v>223</v>
      </c>
      <c r="D348" s="4" t="s">
        <v>224</v>
      </c>
      <c r="E348" s="4" t="s">
        <v>245</v>
      </c>
      <c r="F348" s="80">
        <f t="shared" si="1"/>
        <v>0.0022575</v>
      </c>
      <c r="G348" s="4" t="s">
        <v>171</v>
      </c>
      <c r="H348" s="4" t="s">
        <v>231</v>
      </c>
      <c r="I348" s="4" t="s">
        <v>226</v>
      </c>
      <c r="J348" s="81">
        <f>IFERROR(__xludf.DUMMYFUNCTION("FILTER('賽道紀錄'!E:E, '賽道紀錄'!A:A=B348, '賽道紀錄'!B:B=C348)-F348"),-8.517361111111095E-5)</f>
        <v>-0.00008517361111</v>
      </c>
      <c r="K348" s="4"/>
      <c r="L348" s="4" t="s">
        <v>662</v>
      </c>
      <c r="M348" s="82">
        <f t="shared" si="2"/>
        <v>195.048</v>
      </c>
      <c r="N348" s="27">
        <f t="shared" si="3"/>
        <v>0.0022575</v>
      </c>
    </row>
    <row r="349">
      <c r="A349" s="77">
        <v>45882.0</v>
      </c>
      <c r="B349" s="4" t="s">
        <v>237</v>
      </c>
      <c r="C349" s="4" t="s">
        <v>223</v>
      </c>
      <c r="D349" s="4" t="s">
        <v>224</v>
      </c>
      <c r="E349" s="4" t="s">
        <v>209</v>
      </c>
      <c r="F349" s="80">
        <f t="shared" si="1"/>
        <v>0.002428148148</v>
      </c>
      <c r="G349" s="4" t="s">
        <v>147</v>
      </c>
      <c r="H349" s="4" t="s">
        <v>225</v>
      </c>
      <c r="I349" s="4" t="s">
        <v>226</v>
      </c>
      <c r="J349" s="81">
        <f>IFERROR(__xludf.DUMMYFUNCTION("FILTER('賽道紀錄'!E:E, '賽道紀錄'!A:A=B349, '賽道紀錄'!B:B=C349)-F349"),-3.449074074074075E-5)</f>
        <v>-0.00003449074074</v>
      </c>
      <c r="K349" s="4"/>
      <c r="L349" s="4" t="s">
        <v>663</v>
      </c>
      <c r="M349" s="82">
        <f t="shared" si="2"/>
        <v>209.792</v>
      </c>
      <c r="N349" s="27">
        <f t="shared" si="3"/>
        <v>0.002428148148</v>
      </c>
    </row>
    <row r="350">
      <c r="A350" s="77">
        <v>45882.0</v>
      </c>
      <c r="B350" s="4" t="s">
        <v>237</v>
      </c>
      <c r="C350" s="4" t="s">
        <v>223</v>
      </c>
      <c r="D350" s="4" t="s">
        <v>224</v>
      </c>
      <c r="E350" s="83" t="s">
        <v>647</v>
      </c>
      <c r="F350" s="80">
        <f t="shared" si="1"/>
        <v>0.002494606481</v>
      </c>
      <c r="G350" s="4" t="s">
        <v>147</v>
      </c>
      <c r="H350" s="4" t="s">
        <v>225</v>
      </c>
      <c r="I350" s="4" t="s">
        <v>226</v>
      </c>
      <c r="J350" s="81">
        <f>IFERROR(__xludf.DUMMYFUNCTION("FILTER('賽道紀錄'!E:E, '賽道紀錄'!A:A=B350, '賽道紀錄'!B:B=C350)-F350"),-1.0094907407407405E-4)</f>
        <v>-0.0001009490741</v>
      </c>
      <c r="K350" s="4"/>
      <c r="L350" s="4" t="s">
        <v>664</v>
      </c>
      <c r="M350" s="82">
        <f t="shared" si="2"/>
        <v>215.534</v>
      </c>
      <c r="N350" s="27">
        <f t="shared" si="3"/>
        <v>0.002494606481</v>
      </c>
    </row>
    <row r="351">
      <c r="A351" s="77">
        <v>45882.0</v>
      </c>
      <c r="B351" s="4" t="s">
        <v>325</v>
      </c>
      <c r="C351" s="4" t="s">
        <v>223</v>
      </c>
      <c r="D351" s="4" t="s">
        <v>224</v>
      </c>
      <c r="E351" s="4" t="s">
        <v>245</v>
      </c>
      <c r="F351" s="80">
        <f t="shared" si="1"/>
        <v>0.002247222222</v>
      </c>
      <c r="G351" s="4" t="s">
        <v>171</v>
      </c>
      <c r="H351" s="4" t="s">
        <v>231</v>
      </c>
      <c r="I351" s="4" t="s">
        <v>226</v>
      </c>
      <c r="J351" s="81">
        <f>IFERROR(__xludf.DUMMYFUNCTION("FILTER('賽道紀錄'!E:E, '賽道紀錄'!A:A=B351, '賽道紀錄'!B:B=C351)-F351"),-7.489583333333306E-5)</f>
        <v>-0.00007489583333</v>
      </c>
      <c r="K351" s="4"/>
      <c r="L351" s="4" t="s">
        <v>665</v>
      </c>
      <c r="M351" s="82">
        <f t="shared" si="2"/>
        <v>194.16</v>
      </c>
      <c r="N351" s="27">
        <f t="shared" si="3"/>
        <v>0.002247222222</v>
      </c>
    </row>
    <row r="352">
      <c r="A352" s="77">
        <v>45883.0</v>
      </c>
      <c r="B352" s="14" t="s">
        <v>380</v>
      </c>
      <c r="C352" s="4" t="s">
        <v>381</v>
      </c>
      <c r="D352" s="4" t="s">
        <v>224</v>
      </c>
      <c r="E352" s="4" t="s">
        <v>208</v>
      </c>
      <c r="F352" s="80">
        <f t="shared" si="1"/>
        <v>0.002265289352</v>
      </c>
      <c r="G352" s="4" t="s">
        <v>194</v>
      </c>
      <c r="H352" s="4" t="s">
        <v>225</v>
      </c>
      <c r="I352" s="4" t="s">
        <v>226</v>
      </c>
      <c r="J352" s="81">
        <f>IFERROR(__xludf.DUMMYFUNCTION("FILTER('賽道紀錄'!E:E, '賽道紀錄'!A:A=B352, '賽道紀錄'!B:B=C352)-F352"),0.0)</f>
        <v>0</v>
      </c>
      <c r="K352" s="4"/>
      <c r="L352" s="4" t="s">
        <v>666</v>
      </c>
      <c r="M352" s="82">
        <f t="shared" si="2"/>
        <v>195.721</v>
      </c>
      <c r="N352" s="27">
        <f t="shared" si="3"/>
        <v>0.002265289352</v>
      </c>
    </row>
    <row r="353">
      <c r="A353" s="77">
        <v>45883.0</v>
      </c>
      <c r="B353" s="14" t="s">
        <v>380</v>
      </c>
      <c r="C353" s="4" t="s">
        <v>383</v>
      </c>
      <c r="D353" s="4" t="s">
        <v>224</v>
      </c>
      <c r="E353" s="4" t="s">
        <v>208</v>
      </c>
      <c r="F353" s="80">
        <f t="shared" si="1"/>
        <v>0.00231775463</v>
      </c>
      <c r="G353" s="4" t="s">
        <v>194</v>
      </c>
      <c r="H353" s="4" t="s">
        <v>225</v>
      </c>
      <c r="I353" s="4" t="s">
        <v>226</v>
      </c>
      <c r="J353" s="81">
        <f>IFERROR(__xludf.DUMMYFUNCTION("FILTER('賽道紀錄'!E:E, '賽道紀錄'!A:A=B353, '賽道紀錄'!B:B=C353)-F353"),-3.969907407407351E-5)</f>
        <v>-0.00003969907407</v>
      </c>
      <c r="K353" s="4"/>
      <c r="L353" s="4" t="s">
        <v>667</v>
      </c>
      <c r="M353" s="82">
        <f t="shared" si="2"/>
        <v>200.254</v>
      </c>
      <c r="N353" s="27">
        <f t="shared" si="3"/>
        <v>0.00231775463</v>
      </c>
    </row>
    <row r="354">
      <c r="A354" s="77">
        <v>45883.0</v>
      </c>
      <c r="B354" s="70" t="s">
        <v>418</v>
      </c>
      <c r="C354" s="4" t="s">
        <v>419</v>
      </c>
      <c r="D354" s="4" t="s">
        <v>224</v>
      </c>
      <c r="E354" s="4" t="s">
        <v>208</v>
      </c>
      <c r="F354" s="80">
        <f t="shared" si="1"/>
        <v>0.002549826389</v>
      </c>
      <c r="G354" s="4" t="s">
        <v>194</v>
      </c>
      <c r="H354" s="4" t="s">
        <v>225</v>
      </c>
      <c r="I354" s="4" t="s">
        <v>226</v>
      </c>
      <c r="J354" s="81">
        <f>IFERROR(__xludf.DUMMYFUNCTION("FILTER('賽道紀錄'!E:E, '賽道紀錄'!A:A=B354, '賽道紀錄'!B:B=C354)-F354"),-3.0060185185185224E-4)</f>
        <v>-0.0003006018519</v>
      </c>
      <c r="K354" s="4"/>
      <c r="L354" s="4" t="s">
        <v>668</v>
      </c>
      <c r="M354" s="82">
        <f t="shared" si="2"/>
        <v>220.305</v>
      </c>
      <c r="N354" s="27">
        <f t="shared" si="3"/>
        <v>0.002549826389</v>
      </c>
    </row>
    <row r="355">
      <c r="A355" s="77">
        <v>45883.0</v>
      </c>
      <c r="B355" s="70" t="s">
        <v>418</v>
      </c>
      <c r="C355" s="4" t="s">
        <v>432</v>
      </c>
      <c r="D355" s="4" t="s">
        <v>224</v>
      </c>
      <c r="E355" s="4" t="s">
        <v>208</v>
      </c>
      <c r="F355" s="80">
        <f t="shared" si="1"/>
        <v>0.003041087963</v>
      </c>
      <c r="G355" s="4" t="s">
        <v>194</v>
      </c>
      <c r="H355" s="4" t="s">
        <v>225</v>
      </c>
      <c r="I355" s="4" t="s">
        <v>226</v>
      </c>
      <c r="J355" s="81">
        <f>IFERROR(__xludf.DUMMYFUNCTION("FILTER('賽道紀錄'!E:E, '賽道紀錄'!A:A=B355, '賽道紀錄'!B:B=C355)-F355"),-1.3001157407407406E-4)</f>
        <v>-0.0001300115741</v>
      </c>
      <c r="K355" s="4"/>
      <c r="L355" s="4" t="s">
        <v>669</v>
      </c>
      <c r="M355" s="82">
        <f t="shared" si="2"/>
        <v>262.75</v>
      </c>
      <c r="N355" s="27">
        <f t="shared" si="3"/>
        <v>0.003041087963</v>
      </c>
    </row>
    <row r="356">
      <c r="A356" s="77">
        <v>45883.0</v>
      </c>
      <c r="B356" s="70" t="s">
        <v>418</v>
      </c>
      <c r="C356" s="4" t="s">
        <v>421</v>
      </c>
      <c r="D356" s="4" t="s">
        <v>224</v>
      </c>
      <c r="E356" s="4" t="s">
        <v>208</v>
      </c>
      <c r="F356" s="80">
        <f t="shared" si="1"/>
        <v>0.001872418981</v>
      </c>
      <c r="G356" s="4" t="s">
        <v>194</v>
      </c>
      <c r="H356" s="4" t="s">
        <v>225</v>
      </c>
      <c r="I356" s="4" t="s">
        <v>226</v>
      </c>
      <c r="J356" s="81">
        <f>IFERROR(__xludf.DUMMYFUNCTION("FILTER('賽道紀錄'!E:E, '賽道紀錄'!A:A=B356, '賽道紀錄'!B:B=C356)-F356"),-7.881944444444408E-5)</f>
        <v>-0.00007881944444</v>
      </c>
      <c r="K356" s="4"/>
      <c r="L356" s="4" t="s">
        <v>670</v>
      </c>
      <c r="M356" s="82">
        <f t="shared" si="2"/>
        <v>161.777</v>
      </c>
      <c r="N356" s="27">
        <f t="shared" si="3"/>
        <v>0.001872418981</v>
      </c>
    </row>
    <row r="357">
      <c r="A357" s="77">
        <v>45883.0</v>
      </c>
      <c r="B357" s="4" t="s">
        <v>398</v>
      </c>
      <c r="C357" s="4" t="s">
        <v>381</v>
      </c>
      <c r="D357" s="4" t="s">
        <v>224</v>
      </c>
      <c r="E357" s="4" t="s">
        <v>205</v>
      </c>
      <c r="F357" s="80">
        <f t="shared" si="1"/>
        <v>0.003042534722</v>
      </c>
      <c r="G357" s="4" t="s">
        <v>565</v>
      </c>
      <c r="H357" s="4" t="s">
        <v>231</v>
      </c>
      <c r="I357" s="4" t="s">
        <v>226</v>
      </c>
      <c r="J357" s="81">
        <f>IFERROR(__xludf.DUMMYFUNCTION("FILTER('賽道紀錄'!E:E, '賽道紀錄'!A:A=B357, '賽道紀錄'!B:B=C357)-F357"),-4.3218749999999985E-4)</f>
        <v>-0.0004321875</v>
      </c>
      <c r="K357" s="4"/>
      <c r="L357" s="4" t="s">
        <v>671</v>
      </c>
      <c r="M357" s="82">
        <f t="shared" si="2"/>
        <v>262.875</v>
      </c>
      <c r="N357" s="27">
        <f t="shared" si="3"/>
        <v>0.003042534722</v>
      </c>
    </row>
    <row r="358">
      <c r="A358" s="77">
        <v>45883.0</v>
      </c>
      <c r="B358" s="4" t="s">
        <v>398</v>
      </c>
      <c r="C358" s="4" t="s">
        <v>381</v>
      </c>
      <c r="D358" s="4" t="s">
        <v>224</v>
      </c>
      <c r="E358" s="4" t="s">
        <v>205</v>
      </c>
      <c r="F358" s="80">
        <f t="shared" si="1"/>
        <v>0.0031028125</v>
      </c>
      <c r="G358" s="4" t="s">
        <v>143</v>
      </c>
      <c r="H358" s="4" t="s">
        <v>231</v>
      </c>
      <c r="I358" s="4" t="s">
        <v>226</v>
      </c>
      <c r="J358" s="81">
        <f>IFERROR(__xludf.DUMMYFUNCTION("FILTER('賽道紀錄'!E:E, '賽道紀錄'!A:A=B358, '賽道紀錄'!B:B=C358)-F358"),-4.924652777777779E-4)</f>
        <v>-0.0004924652778</v>
      </c>
      <c r="K358" s="4"/>
      <c r="L358" s="4" t="s">
        <v>672</v>
      </c>
      <c r="M358" s="82">
        <f t="shared" si="2"/>
        <v>268.083</v>
      </c>
      <c r="N358" s="27">
        <f t="shared" si="3"/>
        <v>0.0031028125</v>
      </c>
    </row>
    <row r="359">
      <c r="A359" s="77">
        <v>45883.0</v>
      </c>
      <c r="B359" s="4" t="s">
        <v>398</v>
      </c>
      <c r="C359" s="4" t="s">
        <v>381</v>
      </c>
      <c r="D359" s="4" t="s">
        <v>224</v>
      </c>
      <c r="E359" s="4" t="s">
        <v>205</v>
      </c>
      <c r="F359" s="80">
        <f t="shared" si="1"/>
        <v>0.003063078704</v>
      </c>
      <c r="G359" s="4" t="s">
        <v>181</v>
      </c>
      <c r="H359" s="4" t="s">
        <v>231</v>
      </c>
      <c r="I359" s="4" t="s">
        <v>226</v>
      </c>
      <c r="J359" s="81">
        <f>IFERROR(__xludf.DUMMYFUNCTION("FILTER('賽道紀錄'!E:E, '賽道紀錄'!A:A=B359, '賽道紀錄'!B:B=C359)-F359"),-4.5273148148148104E-4)</f>
        <v>-0.0004527314815</v>
      </c>
      <c r="K359" s="4"/>
      <c r="L359" s="4" t="s">
        <v>673</v>
      </c>
      <c r="M359" s="82">
        <f t="shared" si="2"/>
        <v>264.65</v>
      </c>
      <c r="N359" s="27">
        <f t="shared" si="3"/>
        <v>0.003063078704</v>
      </c>
    </row>
    <row r="360">
      <c r="A360" s="77">
        <v>45883.0</v>
      </c>
      <c r="B360" s="4" t="s">
        <v>398</v>
      </c>
      <c r="C360" s="4" t="s">
        <v>381</v>
      </c>
      <c r="D360" s="4" t="s">
        <v>224</v>
      </c>
      <c r="E360" s="4" t="s">
        <v>674</v>
      </c>
      <c r="F360" s="80">
        <f t="shared" si="1"/>
        <v>0.002910486111</v>
      </c>
      <c r="G360" s="4" t="s">
        <v>139</v>
      </c>
      <c r="H360" s="4" t="s">
        <v>225</v>
      </c>
      <c r="I360" s="4" t="s">
        <v>226</v>
      </c>
      <c r="J360" s="81">
        <f>IFERROR(__xludf.DUMMYFUNCTION("FILTER('賽道紀錄'!E:E, '賽道紀錄'!A:A=B360, '賽道紀錄'!B:B=C360)-F360"),-3.001388888888893E-4)</f>
        <v>-0.0003001388889</v>
      </c>
      <c r="K360" s="4"/>
      <c r="L360" s="4" t="s">
        <v>675</v>
      </c>
      <c r="M360" s="82">
        <f t="shared" si="2"/>
        <v>251.466</v>
      </c>
      <c r="N360" s="27">
        <f t="shared" si="3"/>
        <v>0.002910486111</v>
      </c>
    </row>
    <row r="361">
      <c r="A361" s="77">
        <v>45883.0</v>
      </c>
      <c r="B361" s="4" t="s">
        <v>398</v>
      </c>
      <c r="C361" s="4" t="s">
        <v>383</v>
      </c>
      <c r="D361" s="4" t="s">
        <v>224</v>
      </c>
      <c r="E361" s="4" t="s">
        <v>674</v>
      </c>
      <c r="F361" s="80">
        <f t="shared" si="1"/>
        <v>0.002962280093</v>
      </c>
      <c r="G361" s="4" t="s">
        <v>139</v>
      </c>
      <c r="H361" s="4" t="s">
        <v>225</v>
      </c>
      <c r="I361" s="4" t="s">
        <v>226</v>
      </c>
      <c r="J361" s="81">
        <f>IFERROR(__xludf.DUMMYFUNCTION("FILTER('賽道紀錄'!E:E, '賽道紀錄'!A:A=B361, '賽道紀錄'!B:B=C361)-F361"),-1.3377314814814805E-4)</f>
        <v>-0.0001337731481</v>
      </c>
      <c r="K361" s="4"/>
      <c r="L361" s="4" t="s">
        <v>676</v>
      </c>
      <c r="M361" s="82">
        <f t="shared" si="2"/>
        <v>255.941</v>
      </c>
      <c r="N361" s="27">
        <f t="shared" si="3"/>
        <v>0.002962280093</v>
      </c>
    </row>
    <row r="362">
      <c r="A362" s="77">
        <v>45883.0</v>
      </c>
      <c r="B362" s="4" t="s">
        <v>398</v>
      </c>
      <c r="C362" s="4" t="s">
        <v>383</v>
      </c>
      <c r="D362" s="4" t="s">
        <v>224</v>
      </c>
      <c r="E362" s="4" t="s">
        <v>674</v>
      </c>
      <c r="F362" s="80">
        <f t="shared" si="1"/>
        <v>0.003492858796</v>
      </c>
      <c r="G362" s="4" t="s">
        <v>143</v>
      </c>
      <c r="H362" s="4" t="s">
        <v>225</v>
      </c>
      <c r="I362" s="4" t="s">
        <v>226</v>
      </c>
      <c r="J362" s="81">
        <f>IFERROR(__xludf.DUMMYFUNCTION("FILTER('賽道紀錄'!E:E, '賽道紀錄'!A:A=B362, '賽道紀錄'!B:B=C362)-F362"),-6.643518518518517E-4)</f>
        <v>-0.0006643518519</v>
      </c>
      <c r="K362" s="4"/>
      <c r="L362" s="4" t="s">
        <v>677</v>
      </c>
      <c r="M362" s="82">
        <f t="shared" si="2"/>
        <v>301.783</v>
      </c>
      <c r="N362" s="27">
        <f t="shared" si="3"/>
        <v>0.003492858796</v>
      </c>
    </row>
    <row r="363">
      <c r="A363" s="77">
        <v>45883.0</v>
      </c>
      <c r="B363" s="4" t="s">
        <v>398</v>
      </c>
      <c r="C363" s="4" t="s">
        <v>381</v>
      </c>
      <c r="D363" s="4" t="s">
        <v>224</v>
      </c>
      <c r="E363" s="4" t="s">
        <v>674</v>
      </c>
      <c r="F363" s="80">
        <f t="shared" si="1"/>
        <v>0.003042534722</v>
      </c>
      <c r="G363" s="4" t="s">
        <v>191</v>
      </c>
      <c r="H363" s="4" t="s">
        <v>225</v>
      </c>
      <c r="I363" s="4" t="s">
        <v>226</v>
      </c>
      <c r="J363" s="81">
        <f>IFERROR(__xludf.DUMMYFUNCTION("FILTER('賽道紀錄'!E:E, '賽道紀錄'!A:A=B363, '賽道紀錄'!B:B=C363)-F363"),-4.3218749999999985E-4)</f>
        <v>-0.0004321875</v>
      </c>
      <c r="K363" s="4"/>
      <c r="L363" s="4" t="s">
        <v>671</v>
      </c>
      <c r="M363" s="82">
        <f t="shared" si="2"/>
        <v>262.875</v>
      </c>
      <c r="N363" s="27">
        <f t="shared" si="3"/>
        <v>0.003042534722</v>
      </c>
    </row>
    <row r="364">
      <c r="A364" s="77">
        <v>45884.0</v>
      </c>
      <c r="B364" s="4" t="s">
        <v>398</v>
      </c>
      <c r="C364" s="4" t="s">
        <v>381</v>
      </c>
      <c r="D364" s="4" t="s">
        <v>224</v>
      </c>
      <c r="E364" s="4" t="s">
        <v>205</v>
      </c>
      <c r="F364" s="80">
        <f t="shared" si="1"/>
        <v>0.002938460648</v>
      </c>
      <c r="G364" s="4" t="s">
        <v>181</v>
      </c>
      <c r="H364" s="4" t="s">
        <v>231</v>
      </c>
      <c r="I364" s="4" t="s">
        <v>226</v>
      </c>
      <c r="J364" s="81">
        <f>IFERROR(__xludf.DUMMYFUNCTION("FILTER('賽道紀錄'!E:E, '賽道紀錄'!A:A=B364, '賽道紀錄'!B:B=C364)-F364"),-3.2811342592592614E-4)</f>
        <v>-0.0003281134259</v>
      </c>
      <c r="K364" s="4"/>
      <c r="L364" s="4" t="s">
        <v>678</v>
      </c>
      <c r="M364" s="82">
        <f t="shared" si="2"/>
        <v>253.883</v>
      </c>
      <c r="N364" s="27">
        <f t="shared" si="3"/>
        <v>0.002938460648</v>
      </c>
    </row>
    <row r="365">
      <c r="A365" s="77">
        <v>45884.0</v>
      </c>
      <c r="B365" s="4" t="s">
        <v>398</v>
      </c>
      <c r="C365" s="4" t="s">
        <v>381</v>
      </c>
      <c r="D365" s="4" t="s">
        <v>224</v>
      </c>
      <c r="E365" s="4" t="s">
        <v>235</v>
      </c>
      <c r="F365" s="80">
        <f t="shared" si="1"/>
        <v>0.003311724537</v>
      </c>
      <c r="G365" s="4" t="s">
        <v>169</v>
      </c>
      <c r="H365" s="4" t="s">
        <v>231</v>
      </c>
      <c r="I365" s="4" t="s">
        <v>226</v>
      </c>
      <c r="J365" s="81">
        <f>IFERROR(__xludf.DUMMYFUNCTION("FILTER('賽道紀錄'!E:E, '賽道紀錄'!A:A=B365, '賽道紀錄'!B:B=C365)-F365"),-7.013773148148144E-4)</f>
        <v>-0.0007013773148</v>
      </c>
      <c r="K365" s="4"/>
      <c r="L365" s="4" t="s">
        <v>679</v>
      </c>
      <c r="M365" s="82">
        <f t="shared" si="2"/>
        <v>286.133</v>
      </c>
      <c r="N365" s="27">
        <f t="shared" si="3"/>
        <v>0.003311724537</v>
      </c>
    </row>
    <row r="366">
      <c r="A366" s="77">
        <v>45884.0</v>
      </c>
      <c r="B366" s="4" t="s">
        <v>237</v>
      </c>
      <c r="C366" s="4" t="s">
        <v>223</v>
      </c>
      <c r="D366" s="4" t="s">
        <v>224</v>
      </c>
      <c r="E366" s="4" t="s">
        <v>209</v>
      </c>
      <c r="F366" s="80">
        <f t="shared" si="1"/>
        <v>0.002395833333</v>
      </c>
      <c r="G366" s="4" t="s">
        <v>147</v>
      </c>
      <c r="H366" s="4" t="s">
        <v>225</v>
      </c>
      <c r="I366" s="4" t="s">
        <v>226</v>
      </c>
      <c r="J366" s="81">
        <f>IFERROR(__xludf.DUMMYFUNCTION("FILTER('賽道紀錄'!E:E, '賽道紀錄'!A:A=B366, '賽道紀錄'!B:B=C366)-F366"),-2.175925925926303E-6)</f>
        <v>-0.000002175925926</v>
      </c>
      <c r="K366" s="4"/>
      <c r="L366" s="4" t="s">
        <v>680</v>
      </c>
      <c r="M366" s="82">
        <f t="shared" si="2"/>
        <v>207</v>
      </c>
      <c r="N366" s="27">
        <f t="shared" si="3"/>
        <v>0.002395833333</v>
      </c>
    </row>
    <row r="367">
      <c r="A367" s="77">
        <v>45884.0</v>
      </c>
      <c r="B367" s="4" t="s">
        <v>237</v>
      </c>
      <c r="C367" s="4" t="s">
        <v>223</v>
      </c>
      <c r="D367" s="4" t="s">
        <v>224</v>
      </c>
      <c r="E367" s="83" t="s">
        <v>647</v>
      </c>
      <c r="F367" s="80">
        <f t="shared" si="1"/>
        <v>0.002502025463</v>
      </c>
      <c r="G367" s="4" t="s">
        <v>148</v>
      </c>
      <c r="H367" s="4" t="s">
        <v>225</v>
      </c>
      <c r="I367" s="4" t="s">
        <v>226</v>
      </c>
      <c r="J367" s="81">
        <f>IFERROR(__xludf.DUMMYFUNCTION("FILTER('賽道紀錄'!E:E, '賽道紀錄'!A:A=B367, '賽道紀錄'!B:B=C367)-F367"),-1.08368055555556E-4)</f>
        <v>-0.0001083680556</v>
      </c>
      <c r="K367" s="4"/>
      <c r="L367" s="4" t="s">
        <v>681</v>
      </c>
      <c r="M367" s="82">
        <f t="shared" si="2"/>
        <v>216.175</v>
      </c>
      <c r="N367" s="27">
        <f t="shared" si="3"/>
        <v>0.002502025463</v>
      </c>
    </row>
    <row r="368">
      <c r="A368" s="77">
        <v>45884.0</v>
      </c>
      <c r="B368" s="4" t="s">
        <v>237</v>
      </c>
      <c r="C368" s="4" t="s">
        <v>223</v>
      </c>
      <c r="D368" s="4" t="s">
        <v>224</v>
      </c>
      <c r="E368" s="70" t="s">
        <v>207</v>
      </c>
      <c r="F368" s="80">
        <f t="shared" si="1"/>
        <v>0.002493831019</v>
      </c>
      <c r="G368" s="4" t="s">
        <v>183</v>
      </c>
      <c r="H368" s="4" t="s">
        <v>231</v>
      </c>
      <c r="I368" s="4" t="s">
        <v>226</v>
      </c>
      <c r="J368" s="81">
        <f>IFERROR(__xludf.DUMMYFUNCTION("FILTER('賽道紀錄'!E:E, '賽道紀錄'!A:A=B368, '賽道紀錄'!B:B=C368)-F368"),-1.0017361111111164E-4)</f>
        <v>-0.0001001736111</v>
      </c>
      <c r="K368" s="4"/>
      <c r="L368" s="4" t="s">
        <v>682</v>
      </c>
      <c r="M368" s="82">
        <f t="shared" si="2"/>
        <v>215.467</v>
      </c>
      <c r="N368" s="27">
        <f t="shared" si="3"/>
        <v>0.002493831019</v>
      </c>
    </row>
    <row r="369">
      <c r="A369" s="77">
        <v>45885.0</v>
      </c>
      <c r="B369" s="4" t="s">
        <v>237</v>
      </c>
      <c r="C369" s="4" t="s">
        <v>223</v>
      </c>
      <c r="D369" s="4" t="s">
        <v>224</v>
      </c>
      <c r="E369" s="4" t="s">
        <v>205</v>
      </c>
      <c r="F369" s="80">
        <f t="shared" si="1"/>
        <v>0.002606481481</v>
      </c>
      <c r="G369" s="4" t="s">
        <v>583</v>
      </c>
      <c r="H369" s="4" t="s">
        <v>231</v>
      </c>
      <c r="I369" s="4" t="s">
        <v>226</v>
      </c>
      <c r="J369" s="81">
        <f>IFERROR(__xludf.DUMMYFUNCTION("FILTER('賽道紀錄'!E:E, '賽道紀錄'!A:A=B369, '賽道紀錄'!B:B=C369)-F369"),-2.1282407407407448E-4)</f>
        <v>-0.0002128240741</v>
      </c>
      <c r="K369" s="4"/>
      <c r="L369" s="4" t="s">
        <v>683</v>
      </c>
      <c r="M369" s="82">
        <f t="shared" si="2"/>
        <v>225.2</v>
      </c>
      <c r="N369" s="27">
        <f t="shared" si="3"/>
        <v>0.002606481481</v>
      </c>
    </row>
    <row r="370">
      <c r="A370" s="77">
        <v>45885.0</v>
      </c>
      <c r="B370" s="4" t="s">
        <v>398</v>
      </c>
      <c r="C370" s="4" t="s">
        <v>381</v>
      </c>
      <c r="D370" s="4" t="s">
        <v>224</v>
      </c>
      <c r="E370" s="4" t="s">
        <v>205</v>
      </c>
      <c r="F370" s="80">
        <f t="shared" si="1"/>
        <v>0.002952152778</v>
      </c>
      <c r="G370" s="4" t="s">
        <v>169</v>
      </c>
      <c r="H370" s="4" t="s">
        <v>231</v>
      </c>
      <c r="I370" s="4" t="s">
        <v>226</v>
      </c>
      <c r="J370" s="81">
        <f>IFERROR(__xludf.DUMMYFUNCTION("FILTER('賽道紀錄'!E:E, '賽道紀錄'!A:A=B370, '賽道紀錄'!B:B=C370)-F370"),-3.418055555555557E-4)</f>
        <v>-0.0003418055556</v>
      </c>
      <c r="K370" s="4"/>
      <c r="L370" s="4" t="s">
        <v>684</v>
      </c>
      <c r="M370" s="82">
        <f t="shared" si="2"/>
        <v>255.066</v>
      </c>
      <c r="N370" s="27">
        <f t="shared" si="3"/>
        <v>0.002952152778</v>
      </c>
    </row>
    <row r="371">
      <c r="A371" s="77">
        <v>45885.0</v>
      </c>
      <c r="B371" s="4" t="s">
        <v>398</v>
      </c>
      <c r="C371" s="4" t="s">
        <v>381</v>
      </c>
      <c r="D371" s="4" t="s">
        <v>224</v>
      </c>
      <c r="E371" s="4" t="s">
        <v>206</v>
      </c>
      <c r="F371" s="80">
        <f t="shared" si="1"/>
        <v>0.002962766204</v>
      </c>
      <c r="G371" s="4" t="s">
        <v>166</v>
      </c>
      <c r="H371" s="4" t="s">
        <v>231</v>
      </c>
      <c r="I371" s="4" t="s">
        <v>226</v>
      </c>
      <c r="J371" s="81">
        <f>IFERROR(__xludf.DUMMYFUNCTION("FILTER('賽道紀錄'!E:E, '賽道紀錄'!A:A=B371, '賽道紀錄'!B:B=C371)-F371"),-3.5241898148148133E-4)</f>
        <v>-0.0003524189815</v>
      </c>
      <c r="K371" s="4"/>
      <c r="L371" s="4" t="s">
        <v>685</v>
      </c>
      <c r="M371" s="82">
        <f t="shared" si="2"/>
        <v>255.983</v>
      </c>
      <c r="N371" s="27">
        <f t="shared" si="3"/>
        <v>0.002962766204</v>
      </c>
    </row>
    <row r="372">
      <c r="A372" s="77">
        <v>45885.0</v>
      </c>
      <c r="B372" s="4" t="s">
        <v>398</v>
      </c>
      <c r="C372" s="4" t="s">
        <v>383</v>
      </c>
      <c r="D372" s="4" t="s">
        <v>224</v>
      </c>
      <c r="E372" s="4" t="s">
        <v>206</v>
      </c>
      <c r="F372" s="80">
        <f t="shared" si="1"/>
        <v>0.002929201389</v>
      </c>
      <c r="G372" s="4" t="s">
        <v>166</v>
      </c>
      <c r="H372" s="4" t="s">
        <v>231</v>
      </c>
      <c r="I372" s="4" t="s">
        <v>226</v>
      </c>
      <c r="J372" s="81">
        <f>IFERROR(__xludf.DUMMYFUNCTION("FILTER('賽道紀錄'!E:E, '賽道紀錄'!A:A=B372, '賽道紀錄'!B:B=C372)-F372"),-1.0069444444444405E-4)</f>
        <v>-0.0001006944444</v>
      </c>
      <c r="K372" s="4"/>
      <c r="L372" s="4" t="s">
        <v>686</v>
      </c>
      <c r="M372" s="82">
        <f t="shared" si="2"/>
        <v>253.083</v>
      </c>
      <c r="N372" s="27">
        <f t="shared" si="3"/>
        <v>0.002929201389</v>
      </c>
    </row>
    <row r="373">
      <c r="A373" s="77">
        <v>45885.0</v>
      </c>
      <c r="B373" s="4" t="s">
        <v>398</v>
      </c>
      <c r="C373" s="4" t="s">
        <v>381</v>
      </c>
      <c r="D373" s="4" t="s">
        <v>224</v>
      </c>
      <c r="E373" s="4" t="s">
        <v>206</v>
      </c>
      <c r="F373" s="80">
        <f t="shared" si="1"/>
        <v>0.00292787037</v>
      </c>
      <c r="G373" s="4" t="s">
        <v>166</v>
      </c>
      <c r="H373" s="4" t="s">
        <v>231</v>
      </c>
      <c r="I373" s="4" t="s">
        <v>226</v>
      </c>
      <c r="J373" s="81">
        <f>IFERROR(__xludf.DUMMYFUNCTION("FILTER('賽道紀錄'!E:E, '賽道紀錄'!A:A=B373, '賽道紀錄'!B:B=C373)-F373"),-3.1752314814814794E-4)</f>
        <v>-0.0003175231481</v>
      </c>
      <c r="K373" s="4"/>
      <c r="L373" s="4" t="s">
        <v>687</v>
      </c>
      <c r="M373" s="82">
        <f t="shared" si="2"/>
        <v>252.968</v>
      </c>
      <c r="N373" s="27">
        <f t="shared" si="3"/>
        <v>0.00292787037</v>
      </c>
    </row>
    <row r="374">
      <c r="A374" s="77">
        <v>45885.0</v>
      </c>
      <c r="B374" s="4" t="s">
        <v>688</v>
      </c>
      <c r="C374" s="4" t="s">
        <v>441</v>
      </c>
      <c r="D374" s="87" t="s">
        <v>224</v>
      </c>
      <c r="E374" s="4" t="s">
        <v>205</v>
      </c>
      <c r="F374" s="80">
        <f t="shared" si="1"/>
        <v>0.00246244213</v>
      </c>
      <c r="G374" s="4" t="s">
        <v>689</v>
      </c>
      <c r="H374" s="4" t="s">
        <v>231</v>
      </c>
      <c r="I374" s="4" t="s">
        <v>226</v>
      </c>
      <c r="J374" s="81">
        <f>IFERROR(__xludf.DUMMYFUNCTION("FILTER('賽道紀錄'!E:E, '賽道紀錄'!A:A=B374, '賽道紀錄'!B:B=C374)-F374"),0.0)</f>
        <v>0</v>
      </c>
      <c r="K374" s="4"/>
      <c r="L374" s="4" t="s">
        <v>690</v>
      </c>
      <c r="M374" s="82">
        <f t="shared" si="2"/>
        <v>212.755</v>
      </c>
      <c r="N374" s="27">
        <f t="shared" si="3"/>
        <v>0.00246244213</v>
      </c>
    </row>
    <row r="375">
      <c r="A375" s="77">
        <v>45885.0</v>
      </c>
      <c r="B375" s="4" t="s">
        <v>237</v>
      </c>
      <c r="C375" s="4" t="s">
        <v>223</v>
      </c>
      <c r="D375" s="4" t="s">
        <v>224</v>
      </c>
      <c r="E375" s="83" t="s">
        <v>647</v>
      </c>
      <c r="F375" s="80">
        <f t="shared" si="1"/>
        <v>0.002475208333</v>
      </c>
      <c r="G375" s="4" t="s">
        <v>147</v>
      </c>
      <c r="H375" s="4" t="s">
        <v>225</v>
      </c>
      <c r="I375" s="4" t="s">
        <v>226</v>
      </c>
      <c r="J375" s="81">
        <f>IFERROR(__xludf.DUMMYFUNCTION("FILTER('賽道紀錄'!E:E, '賽道紀錄'!A:A=B375, '賽道紀錄'!B:B=C375)-F375"),-8.155092592592589E-5)</f>
        <v>-0.00008155092593</v>
      </c>
      <c r="K375" s="4"/>
      <c r="L375" s="4" t="s">
        <v>691</v>
      </c>
      <c r="M375" s="82">
        <f t="shared" si="2"/>
        <v>213.858</v>
      </c>
      <c r="N375" s="27">
        <f t="shared" si="3"/>
        <v>0.002475208333</v>
      </c>
    </row>
    <row r="376">
      <c r="A376" s="77">
        <v>45885.0</v>
      </c>
      <c r="B376" s="4" t="s">
        <v>322</v>
      </c>
      <c r="C376" s="4" t="s">
        <v>242</v>
      </c>
      <c r="D376" s="83" t="s">
        <v>224</v>
      </c>
      <c r="E376" s="4" t="s">
        <v>205</v>
      </c>
      <c r="F376" s="80">
        <f t="shared" si="1"/>
        <v>0.003848460648</v>
      </c>
      <c r="G376" s="4" t="s">
        <v>692</v>
      </c>
      <c r="H376" s="4" t="s">
        <v>231</v>
      </c>
      <c r="I376" s="4" t="s">
        <v>226</v>
      </c>
      <c r="J376" s="81">
        <f>IFERROR(__xludf.DUMMYFUNCTION("FILTER('賽道紀錄'!E:E, '賽道紀錄'!A:A=B376, '賽道紀錄'!B:B=C376)-F376"),-0.0015170486111111114)</f>
        <v>-0.001517048611</v>
      </c>
      <c r="K376" s="4"/>
      <c r="L376" s="4" t="s">
        <v>693</v>
      </c>
      <c r="M376" s="82">
        <f t="shared" si="2"/>
        <v>332.507</v>
      </c>
      <c r="N376" s="27">
        <f t="shared" si="3"/>
        <v>0.003848460648</v>
      </c>
    </row>
    <row r="377">
      <c r="A377" s="77">
        <v>45885.0</v>
      </c>
      <c r="B377" s="4" t="s">
        <v>237</v>
      </c>
      <c r="C377" s="4" t="s">
        <v>242</v>
      </c>
      <c r="D377" s="4" t="s">
        <v>224</v>
      </c>
      <c r="E377" s="70" t="s">
        <v>209</v>
      </c>
      <c r="F377" s="80">
        <f t="shared" si="1"/>
        <v>0.002610914352</v>
      </c>
      <c r="G377" s="4" t="s">
        <v>147</v>
      </c>
      <c r="H377" s="4" t="s">
        <v>225</v>
      </c>
      <c r="I377" s="4" t="s">
        <v>226</v>
      </c>
      <c r="J377" s="81">
        <f>IFERROR(__xludf.DUMMYFUNCTION("FILTER('賽道紀錄'!E:E, '賽道紀錄'!A:A=B377, '賽道紀錄'!B:B=C377)-F377"),0.0)</f>
        <v>0</v>
      </c>
      <c r="K377" s="4"/>
      <c r="L377" s="4" t="s">
        <v>694</v>
      </c>
      <c r="M377" s="82">
        <f t="shared" si="2"/>
        <v>225.583</v>
      </c>
      <c r="N377" s="27">
        <f t="shared" si="3"/>
        <v>0.002610914352</v>
      </c>
    </row>
    <row r="378">
      <c r="A378" s="77">
        <v>45885.0</v>
      </c>
      <c r="B378" s="4" t="s">
        <v>322</v>
      </c>
      <c r="C378" s="4" t="s">
        <v>242</v>
      </c>
      <c r="D378" s="83" t="s">
        <v>224</v>
      </c>
      <c r="E378" s="4" t="s">
        <v>674</v>
      </c>
      <c r="F378" s="80">
        <f t="shared" si="1"/>
        <v>0.002470405093</v>
      </c>
      <c r="G378" s="4" t="s">
        <v>695</v>
      </c>
      <c r="H378" s="4" t="s">
        <v>225</v>
      </c>
      <c r="I378" s="4" t="s">
        <v>226</v>
      </c>
      <c r="J378" s="81">
        <f>IFERROR(__xludf.DUMMYFUNCTION("FILTER('賽道紀錄'!E:E, '賽道紀錄'!A:A=B378, '賽道紀錄'!B:B=C378)-F378"),-1.3899305555555583E-4)</f>
        <v>-0.0001389930556</v>
      </c>
      <c r="K378" s="4"/>
      <c r="L378" s="4" t="s">
        <v>696</v>
      </c>
      <c r="M378" s="82">
        <f t="shared" si="2"/>
        <v>213.443</v>
      </c>
      <c r="N378" s="27">
        <f t="shared" si="3"/>
        <v>0.002470405093</v>
      </c>
    </row>
    <row r="379">
      <c r="A379" s="77">
        <v>45886.0</v>
      </c>
      <c r="B379" s="4" t="s">
        <v>279</v>
      </c>
      <c r="D379" s="83" t="s">
        <v>224</v>
      </c>
      <c r="E379" s="4" t="s">
        <v>674</v>
      </c>
      <c r="F379" s="80">
        <f t="shared" si="1"/>
        <v>0.002680833333</v>
      </c>
      <c r="G379" s="4" t="s">
        <v>176</v>
      </c>
      <c r="H379" s="4" t="s">
        <v>225</v>
      </c>
      <c r="I379" s="4" t="s">
        <v>226</v>
      </c>
      <c r="J379" s="81">
        <f>IFERROR(__xludf.DUMMYFUNCTION("FILTER('賽道紀錄'!E:E, '賽道紀錄'!A:A=B379, '賽道紀錄'!B:B=C379)-F379"),-1.7089120370370348E-4)</f>
        <v>-0.0001708912037</v>
      </c>
      <c r="K379" s="4"/>
      <c r="L379" s="4" t="s">
        <v>697</v>
      </c>
      <c r="M379" s="82">
        <f t="shared" si="2"/>
        <v>231.624</v>
      </c>
      <c r="N379" s="27">
        <f t="shared" si="3"/>
        <v>0.002680833333</v>
      </c>
    </row>
    <row r="380">
      <c r="A380" s="77">
        <v>45886.0</v>
      </c>
      <c r="B380" s="14" t="s">
        <v>380</v>
      </c>
      <c r="C380" s="4" t="s">
        <v>381</v>
      </c>
      <c r="D380" s="83" t="s">
        <v>224</v>
      </c>
      <c r="E380" s="4" t="s">
        <v>674</v>
      </c>
      <c r="F380" s="80">
        <f t="shared" si="1"/>
        <v>0.002325520833</v>
      </c>
      <c r="G380" s="4" t="s">
        <v>175</v>
      </c>
      <c r="H380" s="4" t="s">
        <v>225</v>
      </c>
      <c r="I380" s="4" t="s">
        <v>226</v>
      </c>
      <c r="J380" s="81">
        <f>IFERROR(__xludf.DUMMYFUNCTION("FILTER('賽道紀錄'!E:E, '賽道紀錄'!A:A=B380, '賽道紀錄'!B:B=C380)-F380"),-6.023148148148142E-5)</f>
        <v>-0.00006023148148</v>
      </c>
      <c r="K380" s="4"/>
      <c r="L380" s="4" t="s">
        <v>698</v>
      </c>
      <c r="M380" s="82">
        <f t="shared" si="2"/>
        <v>200.925</v>
      </c>
      <c r="N380" s="27">
        <f t="shared" si="3"/>
        <v>0.002325520833</v>
      </c>
    </row>
    <row r="381">
      <c r="A381" s="77">
        <v>45886.0</v>
      </c>
      <c r="B381" s="14" t="s">
        <v>380</v>
      </c>
      <c r="C381" s="4" t="s">
        <v>383</v>
      </c>
      <c r="D381" s="83" t="s">
        <v>224</v>
      </c>
      <c r="E381" s="4" t="s">
        <v>674</v>
      </c>
      <c r="F381" s="80">
        <f t="shared" si="1"/>
        <v>0.002278055556</v>
      </c>
      <c r="G381" s="4" t="s">
        <v>175</v>
      </c>
      <c r="H381" s="4" t="s">
        <v>225</v>
      </c>
      <c r="I381" s="4" t="s">
        <v>226</v>
      </c>
      <c r="J381" s="81">
        <f>IFERROR(__xludf.DUMMYFUNCTION("FILTER('賽道紀錄'!E:E, '賽道紀錄'!A:A=B381, '賽道紀錄'!B:B=C381)-F381"),0.0)</f>
        <v>0</v>
      </c>
      <c r="K381" s="4"/>
      <c r="L381" s="4" t="s">
        <v>699</v>
      </c>
      <c r="M381" s="82">
        <f t="shared" si="2"/>
        <v>196.824</v>
      </c>
      <c r="N381" s="27">
        <f t="shared" si="3"/>
        <v>0.002278055556</v>
      </c>
    </row>
    <row r="382">
      <c r="A382" s="77">
        <v>45886.0</v>
      </c>
      <c r="B382" s="70" t="s">
        <v>222</v>
      </c>
      <c r="C382" s="4" t="s">
        <v>223</v>
      </c>
      <c r="D382" s="83" t="s">
        <v>224</v>
      </c>
      <c r="E382" s="4" t="s">
        <v>674</v>
      </c>
      <c r="F382" s="80">
        <f t="shared" si="1"/>
        <v>0.002204675926</v>
      </c>
      <c r="G382" s="4" t="s">
        <v>700</v>
      </c>
      <c r="H382" s="4" t="s">
        <v>225</v>
      </c>
      <c r="I382" s="4" t="s">
        <v>226</v>
      </c>
      <c r="J382" s="81">
        <f>IFERROR(__xludf.DUMMYFUNCTION("FILTER('賽道紀錄'!E:E, '賽道紀錄'!A:A=B382, '賽道紀錄'!B:B=C382)-F382"),-1.52766203703704E-4)</f>
        <v>-0.0001527662037</v>
      </c>
      <c r="K382" s="4"/>
      <c r="L382" s="4" t="s">
        <v>701</v>
      </c>
      <c r="M382" s="82">
        <f t="shared" si="2"/>
        <v>190.484</v>
      </c>
      <c r="N382" s="27">
        <f t="shared" si="3"/>
        <v>0.002204675926</v>
      </c>
    </row>
    <row r="383">
      <c r="A383" s="77">
        <v>45886.0</v>
      </c>
      <c r="B383" s="70" t="s">
        <v>222</v>
      </c>
      <c r="C383" s="4" t="s">
        <v>242</v>
      </c>
      <c r="D383" s="83" t="s">
        <v>224</v>
      </c>
      <c r="E383" s="4" t="s">
        <v>674</v>
      </c>
      <c r="F383" s="80">
        <f t="shared" si="1"/>
        <v>0.002389363426</v>
      </c>
      <c r="G383" s="4" t="s">
        <v>700</v>
      </c>
      <c r="H383" s="4" t="s">
        <v>225</v>
      </c>
      <c r="I383" s="4" t="s">
        <v>226</v>
      </c>
      <c r="J383" s="81">
        <f>IFERROR(__xludf.DUMMYFUNCTION("FILTER('賽道紀錄'!E:E, '賽道紀錄'!A:A=B383, '賽道紀錄'!B:B=C383)-F383"),0.0)</f>
        <v>0</v>
      </c>
      <c r="K383" s="4"/>
      <c r="L383" s="4" t="s">
        <v>702</v>
      </c>
      <c r="M383" s="82">
        <f t="shared" si="2"/>
        <v>206.441</v>
      </c>
      <c r="N383" s="27">
        <f t="shared" si="3"/>
        <v>0.002389363426</v>
      </c>
    </row>
    <row r="384">
      <c r="A384" s="77">
        <v>45886.0</v>
      </c>
      <c r="B384" s="4" t="s">
        <v>435</v>
      </c>
      <c r="C384" s="4" t="s">
        <v>223</v>
      </c>
      <c r="D384" s="83" t="s">
        <v>224</v>
      </c>
      <c r="E384" s="4" t="s">
        <v>674</v>
      </c>
      <c r="F384" s="80">
        <f t="shared" si="1"/>
        <v>0.00278712963</v>
      </c>
      <c r="G384" s="4" t="s">
        <v>317</v>
      </c>
      <c r="H384" s="4" t="s">
        <v>225</v>
      </c>
      <c r="I384" s="4" t="s">
        <v>226</v>
      </c>
      <c r="J384" s="81">
        <f>IFERROR(__xludf.DUMMYFUNCTION("FILTER('賽道紀錄'!E:E, '賽道紀錄'!A:A=B384, '賽道紀錄'!B:B=C384)-F384"),-3.299537037037034E-4)</f>
        <v>-0.0003299537037</v>
      </c>
      <c r="K384" s="4"/>
      <c r="L384" s="4" t="s">
        <v>703</v>
      </c>
      <c r="M384" s="82">
        <f t="shared" si="2"/>
        <v>240.808</v>
      </c>
      <c r="N384" s="27">
        <f t="shared" si="3"/>
        <v>0.00278712963</v>
      </c>
    </row>
    <row r="385">
      <c r="A385" s="77">
        <v>45886.0</v>
      </c>
      <c r="B385" s="4" t="s">
        <v>435</v>
      </c>
      <c r="C385" s="4" t="s">
        <v>242</v>
      </c>
      <c r="D385" s="83" t="s">
        <v>224</v>
      </c>
      <c r="E385" s="4" t="s">
        <v>674</v>
      </c>
      <c r="F385" s="80">
        <f t="shared" si="1"/>
        <v>0.0029959375</v>
      </c>
      <c r="G385" s="4" t="s">
        <v>317</v>
      </c>
      <c r="H385" s="4" t="s">
        <v>225</v>
      </c>
      <c r="I385" s="4" t="s">
        <v>226</v>
      </c>
      <c r="J385" s="81">
        <f>IFERROR(__xludf.DUMMYFUNCTION("FILTER('賽道紀錄'!E:E, '賽道紀錄'!A:A=B385, '賽道紀錄'!B:B=C385)-F385"),-7.386574074074023E-5)</f>
        <v>-0.00007386574074</v>
      </c>
      <c r="K385" s="4"/>
      <c r="L385" s="4" t="s">
        <v>704</v>
      </c>
      <c r="M385" s="82">
        <f t="shared" si="2"/>
        <v>258.849</v>
      </c>
      <c r="N385" s="27">
        <f t="shared" si="3"/>
        <v>0.0029959375</v>
      </c>
    </row>
    <row r="386">
      <c r="A386" s="77">
        <v>45886.0</v>
      </c>
      <c r="B386" s="4" t="s">
        <v>279</v>
      </c>
      <c r="D386" s="83" t="s">
        <v>224</v>
      </c>
      <c r="E386" s="4" t="s">
        <v>205</v>
      </c>
      <c r="F386" s="80">
        <f t="shared" si="1"/>
        <v>0.003004050926</v>
      </c>
      <c r="G386" s="4" t="s">
        <v>162</v>
      </c>
      <c r="H386" s="4" t="s">
        <v>231</v>
      </c>
      <c r="I386" s="4" t="s">
        <v>226</v>
      </c>
      <c r="J386" s="81">
        <f>IFERROR(__xludf.DUMMYFUNCTION("FILTER('賽道紀錄'!E:E, '賽道紀錄'!A:A=B386, '賽道紀錄'!B:B=C386)-F386"),-4.941087962962963E-4)</f>
        <v>-0.0004941087963</v>
      </c>
      <c r="K386" s="4"/>
      <c r="L386" s="4" t="s">
        <v>705</v>
      </c>
      <c r="M386" s="82">
        <f t="shared" si="2"/>
        <v>259.55</v>
      </c>
      <c r="N386" s="27">
        <f t="shared" si="3"/>
        <v>0.003004050926</v>
      </c>
    </row>
    <row r="387">
      <c r="A387" s="77">
        <v>45886.0</v>
      </c>
      <c r="B387" s="4" t="s">
        <v>297</v>
      </c>
      <c r="C387" s="4" t="s">
        <v>223</v>
      </c>
      <c r="D387" s="83" t="s">
        <v>224</v>
      </c>
      <c r="E387" s="4" t="s">
        <v>205</v>
      </c>
      <c r="F387" s="80">
        <f t="shared" si="1"/>
        <v>0.003362847222</v>
      </c>
      <c r="G387" s="4" t="s">
        <v>124</v>
      </c>
      <c r="H387" s="4" t="s">
        <v>231</v>
      </c>
      <c r="I387" s="4" t="s">
        <v>226</v>
      </c>
      <c r="J387" s="81">
        <f>IFERROR(__xludf.DUMMYFUNCTION("FILTER('賽道紀錄'!E:E, '賽道紀錄'!A:A=B387, '賽道紀錄'!B:B=C387)-F387"),-8.733796296296298E-4)</f>
        <v>-0.0008733796296</v>
      </c>
      <c r="K387" s="4"/>
      <c r="L387" s="4" t="s">
        <v>706</v>
      </c>
      <c r="M387" s="82">
        <f t="shared" si="2"/>
        <v>290.55</v>
      </c>
      <c r="N387" s="27">
        <f t="shared" si="3"/>
        <v>0.003362847222</v>
      </c>
    </row>
    <row r="388">
      <c r="A388" s="92">
        <v>45887.0</v>
      </c>
      <c r="B388" s="4" t="s">
        <v>707</v>
      </c>
      <c r="C388" s="4" t="s">
        <v>441</v>
      </c>
      <c r="D388" s="83" t="s">
        <v>224</v>
      </c>
      <c r="E388" s="4" t="s">
        <v>205</v>
      </c>
      <c r="F388" s="80">
        <f t="shared" si="1"/>
        <v>0.002812118056</v>
      </c>
      <c r="G388" s="4" t="s">
        <v>708</v>
      </c>
      <c r="H388" s="4" t="s">
        <v>231</v>
      </c>
      <c r="I388" s="4" t="s">
        <v>226</v>
      </c>
      <c r="J388" s="81">
        <f>IFERROR(__xludf.DUMMYFUNCTION("FILTER('賽道紀錄'!E:E, '賽道紀錄'!A:A=B388, '賽道紀錄'!B:B=C388)-F388"),0.0)</f>
        <v>0</v>
      </c>
      <c r="K388" s="4"/>
      <c r="L388" s="4" t="s">
        <v>709</v>
      </c>
      <c r="M388" s="82">
        <f t="shared" si="2"/>
        <v>242.967</v>
      </c>
      <c r="N388" s="27">
        <f t="shared" si="3"/>
        <v>0.002812118056</v>
      </c>
    </row>
    <row r="389">
      <c r="A389" s="92">
        <v>45887.0</v>
      </c>
      <c r="B389" s="4" t="s">
        <v>710</v>
      </c>
      <c r="C389" s="4" t="s">
        <v>443</v>
      </c>
      <c r="D389" s="83" t="s">
        <v>224</v>
      </c>
      <c r="E389" s="4" t="s">
        <v>205</v>
      </c>
      <c r="F389" s="80">
        <f t="shared" si="1"/>
        <v>0.003980324074</v>
      </c>
      <c r="G389" s="4" t="s">
        <v>124</v>
      </c>
      <c r="H389" s="4" t="s">
        <v>231</v>
      </c>
      <c r="I389" s="4" t="s">
        <v>226</v>
      </c>
      <c r="J389" s="81">
        <f>IFERROR(__xludf.DUMMYFUNCTION("FILTER('賽道紀錄'!E:E, '賽道紀錄'!A:A=B389, '賽道紀錄'!B:B=C389)-F389"),0.0029641203703703704)</f>
        <v>0.00296412037</v>
      </c>
      <c r="K389" s="4"/>
      <c r="L389" s="4" t="s">
        <v>711</v>
      </c>
      <c r="M389" s="82">
        <f t="shared" si="2"/>
        <v>343.9</v>
      </c>
      <c r="N389" s="27">
        <f t="shared" si="3"/>
        <v>0.003980324074</v>
      </c>
    </row>
    <row r="390">
      <c r="A390" s="92">
        <v>45887.0</v>
      </c>
      <c r="B390" s="4" t="s">
        <v>297</v>
      </c>
      <c r="C390" s="4" t="s">
        <v>223</v>
      </c>
      <c r="D390" s="83" t="s">
        <v>224</v>
      </c>
      <c r="E390" s="4" t="s">
        <v>304</v>
      </c>
      <c r="F390" s="80">
        <f t="shared" si="1"/>
        <v>0.002602766204</v>
      </c>
      <c r="G390" s="4" t="s">
        <v>195</v>
      </c>
      <c r="H390" s="4" t="s">
        <v>231</v>
      </c>
      <c r="I390" s="4" t="s">
        <v>226</v>
      </c>
      <c r="J390" s="81">
        <f>IFERROR(__xludf.DUMMYFUNCTION("FILTER('賽道紀錄'!E:E, '賽道紀錄'!A:A=B390, '賽道紀錄'!B:B=C390)-F390"),-1.1329861111111089E-4)</f>
        <v>-0.0001132986111</v>
      </c>
      <c r="K390" s="4"/>
      <c r="L390" s="4" t="s">
        <v>712</v>
      </c>
      <c r="M390" s="82">
        <f t="shared" si="2"/>
        <v>224.879</v>
      </c>
      <c r="N390" s="27">
        <f t="shared" si="3"/>
        <v>0.002602766204</v>
      </c>
    </row>
    <row r="391">
      <c r="A391" s="92">
        <v>45887.0</v>
      </c>
      <c r="B391" s="4" t="s">
        <v>297</v>
      </c>
      <c r="C391" s="4" t="s">
        <v>223</v>
      </c>
      <c r="D391" s="83" t="s">
        <v>224</v>
      </c>
      <c r="E391" s="4" t="s">
        <v>304</v>
      </c>
      <c r="F391" s="80">
        <f t="shared" si="1"/>
        <v>0.002542511574</v>
      </c>
      <c r="G391" s="4" t="s">
        <v>123</v>
      </c>
      <c r="H391" s="4" t="s">
        <v>231</v>
      </c>
      <c r="I391" s="4" t="s">
        <v>226</v>
      </c>
      <c r="J391" s="81">
        <f>IFERROR(__xludf.DUMMYFUNCTION("FILTER('賽道紀錄'!E:E, '賽道紀錄'!A:A=B391, '賽道紀錄'!B:B=C391)-F391"),-5.3043981481481605E-5)</f>
        <v>-0.00005304398148</v>
      </c>
      <c r="K391" s="4"/>
      <c r="L391" s="4" t="s">
        <v>713</v>
      </c>
      <c r="M391" s="82">
        <f t="shared" si="2"/>
        <v>219.673</v>
      </c>
      <c r="N391" s="27">
        <f t="shared" si="3"/>
        <v>0.002542511574</v>
      </c>
    </row>
    <row r="392">
      <c r="A392" s="92">
        <v>45887.0</v>
      </c>
      <c r="B392" s="4" t="s">
        <v>297</v>
      </c>
      <c r="C392" s="4" t="s">
        <v>223</v>
      </c>
      <c r="D392" s="83" t="s">
        <v>224</v>
      </c>
      <c r="E392" s="4" t="s">
        <v>205</v>
      </c>
      <c r="F392" s="80">
        <f t="shared" si="1"/>
        <v>0.002568287037</v>
      </c>
      <c r="G392" s="4" t="s">
        <v>177</v>
      </c>
      <c r="H392" s="4" t="s">
        <v>231</v>
      </c>
      <c r="I392" s="4" t="s">
        <v>226</v>
      </c>
      <c r="J392" s="81">
        <f>IFERROR(__xludf.DUMMYFUNCTION("FILTER('賽道紀錄'!E:E, '賽道紀錄'!A:A=B392, '賽道紀錄'!B:B=C392)-F392"),-7.881944444444429E-5)</f>
        <v>-0.00007881944444</v>
      </c>
      <c r="K392" s="4"/>
      <c r="L392" s="4" t="s">
        <v>714</v>
      </c>
      <c r="M392" s="82">
        <f t="shared" si="2"/>
        <v>221.9</v>
      </c>
      <c r="N392" s="27">
        <f t="shared" si="3"/>
        <v>0.002568287037</v>
      </c>
    </row>
    <row r="393">
      <c r="A393" s="92">
        <v>45887.0</v>
      </c>
      <c r="B393" s="4" t="s">
        <v>297</v>
      </c>
      <c r="C393" s="4" t="s">
        <v>223</v>
      </c>
      <c r="D393" s="83" t="s">
        <v>224</v>
      </c>
      <c r="E393" s="4" t="s">
        <v>229</v>
      </c>
      <c r="F393" s="80">
        <f t="shared" si="1"/>
        <v>0.002665173611</v>
      </c>
      <c r="G393" s="4" t="s">
        <v>123</v>
      </c>
      <c r="H393" s="4" t="s">
        <v>225</v>
      </c>
      <c r="I393" s="4" t="s">
        <v>226</v>
      </c>
      <c r="J393" s="81">
        <f>IFERROR(__xludf.DUMMYFUNCTION("FILTER('賽道紀錄'!E:E, '賽道紀錄'!A:A=B393, '賽道紀錄'!B:B=C393)-F393"),-1.7570601851851862E-4)</f>
        <v>-0.0001757060185</v>
      </c>
      <c r="K393" s="4"/>
      <c r="L393" s="4" t="s">
        <v>715</v>
      </c>
      <c r="M393" s="82">
        <f t="shared" si="2"/>
        <v>230.271</v>
      </c>
      <c r="N393" s="27">
        <f t="shared" si="3"/>
        <v>0.002665173611</v>
      </c>
    </row>
    <row r="394">
      <c r="A394" s="92">
        <v>45890.0</v>
      </c>
      <c r="B394" s="4" t="s">
        <v>297</v>
      </c>
      <c r="C394" s="4" t="s">
        <v>223</v>
      </c>
      <c r="D394" s="83" t="s">
        <v>224</v>
      </c>
      <c r="E394" s="4" t="s">
        <v>304</v>
      </c>
      <c r="F394" s="80">
        <f t="shared" si="1"/>
        <v>0.002500844907</v>
      </c>
      <c r="G394" s="4" t="s">
        <v>123</v>
      </c>
      <c r="H394" s="4" t="s">
        <v>231</v>
      </c>
      <c r="I394" s="4" t="s">
        <v>226</v>
      </c>
      <c r="J394" s="81">
        <f>IFERROR(__xludf.DUMMYFUNCTION("FILTER('賽道紀錄'!E:E, '賽道紀錄'!A:A=B394, '賽道紀錄'!B:B=C394)-F394"),-1.1377314814814757E-5)</f>
        <v>-0.00001137731481</v>
      </c>
      <c r="K394" s="4"/>
      <c r="L394" s="4" t="s">
        <v>716</v>
      </c>
      <c r="M394" s="82">
        <f t="shared" si="2"/>
        <v>216.073</v>
      </c>
      <c r="N394" s="27">
        <f t="shared" si="3"/>
        <v>0.002500844907</v>
      </c>
    </row>
    <row r="395">
      <c r="A395" s="92">
        <v>45890.0</v>
      </c>
      <c r="B395" s="4" t="s">
        <v>398</v>
      </c>
      <c r="C395" s="4" t="s">
        <v>381</v>
      </c>
      <c r="D395" s="83" t="s">
        <v>224</v>
      </c>
      <c r="E395" s="4" t="s">
        <v>205</v>
      </c>
      <c r="F395" s="80">
        <f t="shared" si="1"/>
        <v>0.002971261574</v>
      </c>
      <c r="G395" s="4" t="s">
        <v>169</v>
      </c>
      <c r="H395" s="4" t="s">
        <v>231</v>
      </c>
      <c r="I395" s="4" t="s">
        <v>226</v>
      </c>
      <c r="J395" s="81">
        <f>IFERROR(__xludf.DUMMYFUNCTION("FILTER('賽道紀錄'!E:E, '賽道紀錄'!A:A=B395, '賽道紀錄'!B:B=C395)-F395"),-3.6091435185185185E-4)</f>
        <v>-0.0003609143519</v>
      </c>
      <c r="K395" s="4"/>
      <c r="L395" s="4" t="s">
        <v>717</v>
      </c>
      <c r="M395" s="82">
        <f t="shared" si="2"/>
        <v>256.717</v>
      </c>
      <c r="N395" s="27">
        <f t="shared" si="3"/>
        <v>0.002971261574</v>
      </c>
    </row>
    <row r="396">
      <c r="A396" s="92">
        <v>45890.0</v>
      </c>
      <c r="B396" s="4" t="s">
        <v>398</v>
      </c>
      <c r="C396" s="4" t="s">
        <v>381</v>
      </c>
      <c r="D396" s="83" t="s">
        <v>224</v>
      </c>
      <c r="E396" s="4" t="s">
        <v>674</v>
      </c>
      <c r="F396" s="80">
        <f t="shared" si="1"/>
        <v>0.002842974537</v>
      </c>
      <c r="G396" s="4" t="s">
        <v>139</v>
      </c>
      <c r="H396" s="4" t="s">
        <v>225</v>
      </c>
      <c r="I396" s="4" t="s">
        <v>226</v>
      </c>
      <c r="J396" s="81">
        <f>IFERROR(__xludf.DUMMYFUNCTION("FILTER('賽道紀錄'!E:E, '賽道紀錄'!A:A=B396, '賽道紀錄'!B:B=C396)-F396"),-2.3262731481481528E-4)</f>
        <v>-0.0002326273148</v>
      </c>
      <c r="K396" s="4"/>
      <c r="L396" s="4" t="s">
        <v>718</v>
      </c>
      <c r="M396" s="82">
        <f t="shared" si="2"/>
        <v>245.633</v>
      </c>
      <c r="N396" s="27">
        <f t="shared" si="3"/>
        <v>0.002842974537</v>
      </c>
    </row>
    <row r="397">
      <c r="A397" s="92">
        <v>45890.0</v>
      </c>
      <c r="B397" s="4" t="s">
        <v>398</v>
      </c>
      <c r="C397" s="4" t="s">
        <v>381</v>
      </c>
      <c r="D397" s="83" t="s">
        <v>224</v>
      </c>
      <c r="E397" s="4" t="s">
        <v>229</v>
      </c>
      <c r="F397" s="80">
        <f t="shared" si="1"/>
        <v>0.002932465278</v>
      </c>
      <c r="G397" s="4" t="s">
        <v>143</v>
      </c>
      <c r="H397" s="4" t="s">
        <v>231</v>
      </c>
      <c r="I397" s="4" t="s">
        <v>226</v>
      </c>
      <c r="J397" s="81">
        <f>IFERROR(__xludf.DUMMYFUNCTION("FILTER('賽道紀錄'!E:E, '賽道紀錄'!A:A=B397, '賽道紀錄'!B:B=C397)-F397"),-3.2211805555555596E-4)</f>
        <v>-0.0003221180556</v>
      </c>
      <c r="K397" s="4"/>
      <c r="L397" s="4" t="s">
        <v>719</v>
      </c>
      <c r="M397" s="82">
        <f t="shared" si="2"/>
        <v>253.365</v>
      </c>
      <c r="N397" s="27">
        <f t="shared" si="3"/>
        <v>0.002932465278</v>
      </c>
    </row>
    <row r="398">
      <c r="A398" s="77">
        <v>45892.0</v>
      </c>
      <c r="B398" s="4" t="s">
        <v>237</v>
      </c>
      <c r="C398" s="4" t="s">
        <v>223</v>
      </c>
      <c r="D398" s="4" t="s">
        <v>720</v>
      </c>
      <c r="E398" s="4" t="s">
        <v>206</v>
      </c>
      <c r="F398" s="80">
        <f t="shared" si="1"/>
        <v>0.002711030093</v>
      </c>
      <c r="G398" s="4" t="s">
        <v>177</v>
      </c>
      <c r="H398" s="4" t="s">
        <v>231</v>
      </c>
      <c r="I398" s="4" t="s">
        <v>226</v>
      </c>
      <c r="J398" s="81">
        <f>IFERROR(__xludf.DUMMYFUNCTION("FILTER('賽道紀錄'!E:E, '賽道紀錄'!A:A=B398, '賽道紀錄'!B:B=C398)-F398"),-3.173726851851853E-4)</f>
        <v>-0.0003173726852</v>
      </c>
      <c r="K398" s="4"/>
      <c r="L398" s="4" t="s">
        <v>721</v>
      </c>
      <c r="M398" s="82">
        <f t="shared" si="2"/>
        <v>234.233</v>
      </c>
      <c r="N398" s="27">
        <f t="shared" si="3"/>
        <v>0.002711030093</v>
      </c>
    </row>
    <row r="399">
      <c r="A399" s="77">
        <v>45892.0</v>
      </c>
      <c r="B399" s="4" t="s">
        <v>410</v>
      </c>
      <c r="C399" s="4" t="s">
        <v>223</v>
      </c>
      <c r="D399" s="4" t="s">
        <v>205</v>
      </c>
      <c r="E399" s="4" t="s">
        <v>205</v>
      </c>
      <c r="F399" s="80">
        <f t="shared" si="1"/>
        <v>0.004951585648</v>
      </c>
      <c r="G399" s="4" t="s">
        <v>125</v>
      </c>
      <c r="H399" s="4" t="s">
        <v>231</v>
      </c>
      <c r="I399" s="4" t="s">
        <v>313</v>
      </c>
      <c r="J399" s="81">
        <f>IFERROR(__xludf.DUMMYFUNCTION("FILTER('賽道紀錄'!E:E, '賽道紀錄'!A:A=B399, '賽道紀錄'!B:B=C399)-F399"),-0.001080555555555556)</f>
        <v>-0.001080555556</v>
      </c>
      <c r="K399" s="4"/>
      <c r="L399" s="4" t="s">
        <v>722</v>
      </c>
      <c r="M399" s="82">
        <f t="shared" si="2"/>
        <v>427.817</v>
      </c>
      <c r="N399" s="27">
        <f t="shared" si="3"/>
        <v>0.004951585648</v>
      </c>
    </row>
    <row r="400">
      <c r="A400" s="77">
        <v>45893.0</v>
      </c>
      <c r="B400" s="4" t="s">
        <v>723</v>
      </c>
      <c r="C400" s="4" t="s">
        <v>724</v>
      </c>
      <c r="D400" s="4" t="s">
        <v>594</v>
      </c>
      <c r="E400" s="4" t="s">
        <v>205</v>
      </c>
      <c r="F400" s="80">
        <f t="shared" si="1"/>
        <v>0.006235532407</v>
      </c>
      <c r="G400" s="4" t="s">
        <v>162</v>
      </c>
      <c r="H400" s="4" t="s">
        <v>231</v>
      </c>
      <c r="I400" s="4" t="s">
        <v>313</v>
      </c>
      <c r="J400" s="81">
        <f>IFERROR(__xludf.DUMMYFUNCTION("FILTER('賽道紀錄'!E:E, '賽道紀錄'!A:A=B400, '賽道紀錄'!B:B=C400)-F400"),-0.001216076388888889)</f>
        <v>-0.001216076389</v>
      </c>
      <c r="K400" s="4"/>
      <c r="L400" s="4" t="s">
        <v>725</v>
      </c>
      <c r="M400" s="82">
        <f t="shared" si="2"/>
        <v>538.75</v>
      </c>
      <c r="N400" s="27">
        <f t="shared" si="3"/>
        <v>0.006235532407</v>
      </c>
    </row>
    <row r="401">
      <c r="A401" s="77">
        <v>45893.0</v>
      </c>
      <c r="B401" s="4" t="s">
        <v>723</v>
      </c>
      <c r="C401" s="4" t="s">
        <v>726</v>
      </c>
      <c r="D401" s="4" t="s">
        <v>594</v>
      </c>
      <c r="E401" s="4" t="s">
        <v>205</v>
      </c>
      <c r="F401" s="80">
        <f t="shared" si="1"/>
        <v>0.001652581019</v>
      </c>
      <c r="G401" s="4" t="s">
        <v>162</v>
      </c>
      <c r="H401" s="4" t="s">
        <v>231</v>
      </c>
      <c r="I401" s="4" t="s">
        <v>313</v>
      </c>
      <c r="J401" s="81">
        <f>IFERROR(__xludf.DUMMYFUNCTION("FILTER('賽道紀錄'!E:E, '賽道紀錄'!A:A=B401, '賽道紀錄'!B:B=C401)-F401"),0.0)</f>
        <v>0</v>
      </c>
      <c r="K401" s="4"/>
      <c r="L401" s="4" t="s">
        <v>727</v>
      </c>
      <c r="M401" s="82">
        <f t="shared" si="2"/>
        <v>142.783</v>
      </c>
      <c r="N401" s="27">
        <f t="shared" si="3"/>
        <v>0.001652581019</v>
      </c>
    </row>
    <row r="402">
      <c r="A402" s="77">
        <v>45893.0</v>
      </c>
      <c r="B402" s="4" t="s">
        <v>723</v>
      </c>
      <c r="C402" s="4" t="s">
        <v>726</v>
      </c>
      <c r="D402" s="4" t="s">
        <v>594</v>
      </c>
      <c r="E402" s="4" t="s">
        <v>728</v>
      </c>
      <c r="F402" s="80">
        <f t="shared" si="1"/>
        <v>0.001823726852</v>
      </c>
      <c r="G402" s="4" t="s">
        <v>729</v>
      </c>
      <c r="H402" s="4" t="s">
        <v>225</v>
      </c>
      <c r="I402" s="4" t="s">
        <v>313</v>
      </c>
      <c r="J402" s="81">
        <f>IFERROR(__xludf.DUMMYFUNCTION("FILTER('賽道紀錄'!E:E, '賽道紀錄'!A:A=B402, '賽道紀錄'!B:B=C402)-F402"),-1.7114583333333326E-4)</f>
        <v>-0.0001711458333</v>
      </c>
      <c r="K402" s="4"/>
      <c r="L402" s="4" t="s">
        <v>730</v>
      </c>
      <c r="M402" s="82">
        <f t="shared" si="2"/>
        <v>157.57</v>
      </c>
      <c r="N402" s="27">
        <f t="shared" si="3"/>
        <v>0.001823726852</v>
      </c>
    </row>
    <row r="403">
      <c r="A403" s="77">
        <v>45893.0</v>
      </c>
      <c r="B403" s="4" t="s">
        <v>389</v>
      </c>
      <c r="C403" s="4" t="s">
        <v>223</v>
      </c>
      <c r="D403" s="4" t="s">
        <v>311</v>
      </c>
      <c r="E403" s="4" t="s">
        <v>205</v>
      </c>
      <c r="F403" s="80">
        <f t="shared" si="1"/>
        <v>0.003433645833</v>
      </c>
      <c r="G403" s="4" t="s">
        <v>731</v>
      </c>
      <c r="H403" s="4" t="s">
        <v>231</v>
      </c>
      <c r="I403" s="4" t="s">
        <v>313</v>
      </c>
      <c r="J403" s="81">
        <f>IFERROR(__xludf.DUMMYFUNCTION("FILTER('賽道紀錄'!E:E, '賽道紀錄'!A:A=B403, '賽道紀錄'!B:B=C403)-F403"),0.003510798611111111)</f>
        <v>0.003510798611</v>
      </c>
      <c r="K403" s="4"/>
      <c r="L403" s="4" t="s">
        <v>732</v>
      </c>
      <c r="M403" s="82">
        <f t="shared" si="2"/>
        <v>296.667</v>
      </c>
      <c r="N403" s="27">
        <f t="shared" si="3"/>
        <v>0.003433645833</v>
      </c>
    </row>
    <row r="404">
      <c r="A404" s="92">
        <v>45894.0</v>
      </c>
      <c r="B404" s="4" t="s">
        <v>398</v>
      </c>
      <c r="C404" s="4" t="s">
        <v>381</v>
      </c>
      <c r="D404" s="83" t="s">
        <v>224</v>
      </c>
      <c r="E404" s="83" t="s">
        <v>647</v>
      </c>
      <c r="F404" s="80">
        <f t="shared" si="1"/>
        <v>0.002924479167</v>
      </c>
      <c r="G404" s="5" t="s">
        <v>191</v>
      </c>
      <c r="H404" s="4" t="s">
        <v>225</v>
      </c>
      <c r="I404" s="4" t="s">
        <v>226</v>
      </c>
      <c r="J404" s="81">
        <f>IFERROR(__xludf.DUMMYFUNCTION("FILTER('賽道紀錄'!E:E, '賽道紀錄'!A:A=B404, '賽道紀錄'!B:B=C404)-F404"),-3.1413194444444457E-4)</f>
        <v>-0.0003141319444</v>
      </c>
      <c r="K404" s="4"/>
      <c r="L404" s="4" t="s">
        <v>733</v>
      </c>
      <c r="M404" s="82">
        <f t="shared" si="2"/>
        <v>252.675</v>
      </c>
      <c r="N404" s="27">
        <f t="shared" si="3"/>
        <v>0.002924479167</v>
      </c>
    </row>
    <row r="405">
      <c r="A405" s="77">
        <v>45895.0</v>
      </c>
      <c r="B405" s="4" t="s">
        <v>237</v>
      </c>
      <c r="C405" s="4" t="s">
        <v>223</v>
      </c>
      <c r="D405" s="4" t="s">
        <v>720</v>
      </c>
      <c r="E405" s="4" t="s">
        <v>205</v>
      </c>
      <c r="F405" s="80">
        <f t="shared" si="1"/>
        <v>0.002838738426</v>
      </c>
      <c r="G405" s="4" t="s">
        <v>175</v>
      </c>
      <c r="H405" s="4" t="s">
        <v>231</v>
      </c>
      <c r="I405" s="4" t="s">
        <v>226</v>
      </c>
      <c r="J405" s="81">
        <f>IFERROR(__xludf.DUMMYFUNCTION("FILTER('賽道紀錄'!E:E, '賽道紀錄'!A:A=B405, '賽道紀錄'!B:B=C405)-F405"),-4.4508101851851826E-4)</f>
        <v>-0.0004450810185</v>
      </c>
      <c r="K405" s="4"/>
      <c r="L405" s="4" t="s">
        <v>734</v>
      </c>
      <c r="M405" s="82">
        <f t="shared" si="2"/>
        <v>245.267</v>
      </c>
      <c r="N405" s="27">
        <f t="shared" si="3"/>
        <v>0.002838738426</v>
      </c>
    </row>
    <row r="406">
      <c r="A406" s="77">
        <v>45895.0</v>
      </c>
      <c r="B406" s="4" t="s">
        <v>237</v>
      </c>
      <c r="C406" s="4" t="s">
        <v>223</v>
      </c>
      <c r="D406" s="4" t="s">
        <v>720</v>
      </c>
      <c r="E406" s="4" t="s">
        <v>229</v>
      </c>
      <c r="F406" s="80">
        <f t="shared" si="1"/>
        <v>0.002790173611</v>
      </c>
      <c r="G406" s="4" t="s">
        <v>192</v>
      </c>
      <c r="H406" s="4" t="s">
        <v>231</v>
      </c>
      <c r="I406" s="4" t="s">
        <v>226</v>
      </c>
      <c r="J406" s="81">
        <f>IFERROR(__xludf.DUMMYFUNCTION("FILTER('賽道紀錄'!E:E, '賽道紀錄'!A:A=B406, '賽道紀錄'!B:B=C406)-F406"),-3.9651620370370405E-4)</f>
        <v>-0.0003965162037</v>
      </c>
      <c r="K406" s="4"/>
      <c r="L406" s="4" t="s">
        <v>735</v>
      </c>
      <c r="M406" s="82">
        <f t="shared" si="2"/>
        <v>241.071</v>
      </c>
      <c r="N406" s="27">
        <f t="shared" si="3"/>
        <v>0.002790173611</v>
      </c>
    </row>
    <row r="407">
      <c r="A407" s="77">
        <v>45895.0</v>
      </c>
      <c r="B407" s="4" t="s">
        <v>435</v>
      </c>
      <c r="C407" s="4" t="s">
        <v>242</v>
      </c>
      <c r="D407" s="4" t="s">
        <v>720</v>
      </c>
      <c r="E407" s="4" t="s">
        <v>206</v>
      </c>
      <c r="F407" s="80">
        <f t="shared" si="1"/>
        <v>0.002984953704</v>
      </c>
      <c r="G407" s="4" t="s">
        <v>317</v>
      </c>
      <c r="H407" s="4" t="s">
        <v>231</v>
      </c>
      <c r="I407" s="4" t="s">
        <v>226</v>
      </c>
      <c r="J407" s="81">
        <f>IFERROR(__xludf.DUMMYFUNCTION("FILTER('賽道紀錄'!E:E, '賽道紀錄'!A:A=B407, '賽道紀錄'!B:B=C407)-F407"),-6.288194444444353E-5)</f>
        <v>-0.00006288194444</v>
      </c>
      <c r="K407" s="4"/>
      <c r="L407" s="4" t="s">
        <v>736</v>
      </c>
      <c r="M407" s="82">
        <f t="shared" si="2"/>
        <v>257.9</v>
      </c>
      <c r="N407" s="27">
        <f t="shared" si="3"/>
        <v>0.002984953704</v>
      </c>
    </row>
    <row r="408">
      <c r="A408" s="77">
        <v>45896.0</v>
      </c>
      <c r="B408" s="4" t="s">
        <v>237</v>
      </c>
      <c r="C408" s="4" t="s">
        <v>223</v>
      </c>
      <c r="D408" s="4" t="s">
        <v>720</v>
      </c>
      <c r="E408" s="70" t="s">
        <v>209</v>
      </c>
      <c r="F408" s="80">
        <f t="shared" si="1"/>
        <v>0.002393657407</v>
      </c>
      <c r="G408" s="4" t="s">
        <v>147</v>
      </c>
      <c r="H408" s="4" t="s">
        <v>225</v>
      </c>
      <c r="I408" s="4" t="s">
        <v>226</v>
      </c>
      <c r="J408" s="81">
        <f>IFERROR(__xludf.DUMMYFUNCTION("FILTER('賽道紀錄'!E:E, '賽道紀錄'!A:A=B408, '賽道紀錄'!B:B=C408)-F408"),0.0)</f>
        <v>0</v>
      </c>
      <c r="K408" s="4"/>
      <c r="L408" s="4" t="s">
        <v>737</v>
      </c>
      <c r="M408" s="82">
        <f t="shared" si="2"/>
        <v>206.812</v>
      </c>
      <c r="N408" s="27">
        <f t="shared" si="3"/>
        <v>0.002393657407</v>
      </c>
    </row>
    <row r="409">
      <c r="A409" s="77">
        <v>45896.0</v>
      </c>
      <c r="B409" s="4" t="s">
        <v>237</v>
      </c>
      <c r="C409" s="4" t="s">
        <v>223</v>
      </c>
      <c r="D409" s="4" t="s">
        <v>720</v>
      </c>
      <c r="E409" s="83" t="s">
        <v>647</v>
      </c>
      <c r="F409" s="80">
        <f t="shared" si="1"/>
        <v>0.002530763889</v>
      </c>
      <c r="G409" s="4" t="s">
        <v>148</v>
      </c>
      <c r="H409" s="4" t="s">
        <v>225</v>
      </c>
      <c r="I409" s="4" t="s">
        <v>226</v>
      </c>
      <c r="J409" s="81">
        <f>IFERROR(__xludf.DUMMYFUNCTION("FILTER('賽道紀錄'!E:E, '賽道紀錄'!A:A=B409, '賽道紀錄'!B:B=C409)-F409"),-1.3710648148148154E-4)</f>
        <v>-0.0001371064815</v>
      </c>
      <c r="K409" s="4"/>
      <c r="L409" s="4" t="s">
        <v>738</v>
      </c>
      <c r="M409" s="82">
        <f t="shared" si="2"/>
        <v>218.658</v>
      </c>
      <c r="N409" s="27">
        <f t="shared" si="3"/>
        <v>0.002530763889</v>
      </c>
    </row>
    <row r="410">
      <c r="A410" s="77">
        <v>45896.0</v>
      </c>
      <c r="B410" s="4" t="s">
        <v>435</v>
      </c>
      <c r="C410" s="4" t="s">
        <v>242</v>
      </c>
      <c r="D410" s="4" t="s">
        <v>720</v>
      </c>
      <c r="E410" s="4" t="s">
        <v>205</v>
      </c>
      <c r="F410" s="80">
        <f t="shared" si="1"/>
        <v>0.003350115741</v>
      </c>
      <c r="G410" s="4" t="s">
        <v>147</v>
      </c>
      <c r="H410" s="4" t="s">
        <v>231</v>
      </c>
      <c r="I410" s="4" t="s">
        <v>226</v>
      </c>
      <c r="J410" s="81">
        <f>IFERROR(__xludf.DUMMYFUNCTION("FILTER('賽道紀錄'!E:E, '賽道紀錄'!A:A=B410, '賽道紀錄'!B:B=C410)-F410"),-4.2804398148148107E-4)</f>
        <v>-0.0004280439815</v>
      </c>
      <c r="K410" s="4"/>
      <c r="L410" s="4" t="s">
        <v>739</v>
      </c>
      <c r="M410" s="82">
        <f t="shared" si="2"/>
        <v>289.45</v>
      </c>
      <c r="N410" s="27">
        <f t="shared" si="3"/>
        <v>0.003350115741</v>
      </c>
    </row>
    <row r="411">
      <c r="A411" s="77">
        <v>45897.0</v>
      </c>
      <c r="B411" s="4" t="s">
        <v>237</v>
      </c>
      <c r="C411" s="4" t="s">
        <v>223</v>
      </c>
      <c r="D411" s="4" t="s">
        <v>720</v>
      </c>
      <c r="E411" s="83" t="s">
        <v>647</v>
      </c>
      <c r="F411" s="80">
        <f t="shared" si="1"/>
        <v>0.002463344907</v>
      </c>
      <c r="G411" s="4" t="s">
        <v>147</v>
      </c>
      <c r="H411" s="4" t="s">
        <v>225</v>
      </c>
      <c r="I411" s="4" t="s">
        <v>226</v>
      </c>
      <c r="J411" s="81">
        <f>IFERROR(__xludf.DUMMYFUNCTION("FILTER('賽道紀錄'!E:E, '賽道紀錄'!A:A=B411, '賽道紀錄'!B:B=C411)-F411"),-6.96875000000003E-5)</f>
        <v>-0.0000696875</v>
      </c>
      <c r="K411" s="4"/>
      <c r="L411" s="4" t="s">
        <v>740</v>
      </c>
      <c r="M411" s="82">
        <f t="shared" si="2"/>
        <v>212.833</v>
      </c>
      <c r="N411" s="27">
        <f t="shared" si="3"/>
        <v>0.002463344907</v>
      </c>
    </row>
    <row r="412">
      <c r="A412" s="92">
        <v>45897.0</v>
      </c>
      <c r="B412" s="4" t="s">
        <v>297</v>
      </c>
      <c r="C412" s="4" t="s">
        <v>223</v>
      </c>
      <c r="D412" s="83" t="s">
        <v>224</v>
      </c>
      <c r="E412" s="4" t="s">
        <v>304</v>
      </c>
      <c r="F412" s="80">
        <f t="shared" si="1"/>
        <v>0.002488356481</v>
      </c>
      <c r="G412" s="4" t="s">
        <v>123</v>
      </c>
      <c r="H412" s="4" t="s">
        <v>231</v>
      </c>
      <c r="I412" s="4" t="s">
        <v>226</v>
      </c>
      <c r="J412" s="81">
        <f>IFERROR(__xludf.DUMMYFUNCTION("FILTER('賽道紀錄'!E:E, '賽道紀錄'!A:A=B412, '賽道紀錄'!B:B=C412)-F412"),1.1111111111110177E-6)</f>
        <v>0.000001111111111</v>
      </c>
      <c r="K412" s="4"/>
      <c r="L412" s="4" t="s">
        <v>741</v>
      </c>
      <c r="M412" s="82">
        <f t="shared" si="2"/>
        <v>214.994</v>
      </c>
      <c r="N412" s="27">
        <f t="shared" si="3"/>
        <v>0.002488356481</v>
      </c>
    </row>
    <row r="413">
      <c r="A413" s="92">
        <v>45897.0</v>
      </c>
      <c r="B413" s="4" t="s">
        <v>297</v>
      </c>
      <c r="C413" s="4" t="s">
        <v>223</v>
      </c>
      <c r="D413" s="83" t="s">
        <v>224</v>
      </c>
      <c r="E413" s="4" t="s">
        <v>205</v>
      </c>
      <c r="F413" s="80">
        <f t="shared" si="1"/>
        <v>0.002715659722</v>
      </c>
      <c r="G413" s="4" t="s">
        <v>177</v>
      </c>
      <c r="H413" s="4" t="s">
        <v>231</v>
      </c>
      <c r="I413" s="4" t="s">
        <v>226</v>
      </c>
      <c r="J413" s="81">
        <f>IFERROR(__xludf.DUMMYFUNCTION("FILTER('賽道紀錄'!E:E, '賽道紀錄'!A:A=B413, '賽道紀錄'!B:B=C413)-F413"),-2.2619212962962957E-4)</f>
        <v>-0.0002261921296</v>
      </c>
      <c r="K413" s="4"/>
      <c r="L413" s="4" t="s">
        <v>742</v>
      </c>
      <c r="M413" s="82">
        <f t="shared" si="2"/>
        <v>234.633</v>
      </c>
      <c r="N413" s="27">
        <f t="shared" si="3"/>
        <v>0.002715659722</v>
      </c>
    </row>
    <row r="414">
      <c r="A414" s="92">
        <v>45897.0</v>
      </c>
      <c r="B414" s="4" t="s">
        <v>297</v>
      </c>
      <c r="C414" s="4" t="s">
        <v>223</v>
      </c>
      <c r="D414" s="83" t="s">
        <v>224</v>
      </c>
      <c r="E414" s="4" t="s">
        <v>206</v>
      </c>
      <c r="F414" s="80">
        <f t="shared" si="1"/>
        <v>0.002904895833</v>
      </c>
      <c r="G414" s="4" t="s">
        <v>195</v>
      </c>
      <c r="H414" s="4" t="s">
        <v>231</v>
      </c>
      <c r="I414" s="4" t="s">
        <v>226</v>
      </c>
      <c r="J414" s="81">
        <f>IFERROR(__xludf.DUMMYFUNCTION("FILTER('賽道紀錄'!E:E, '賽道紀錄'!A:A=B414, '賽道紀錄'!B:B=C414)-F414"),-4.1542824074074095E-4)</f>
        <v>-0.0004154282407</v>
      </c>
      <c r="K414" s="4"/>
      <c r="L414" s="4" t="s">
        <v>743</v>
      </c>
      <c r="M414" s="82">
        <f t="shared" si="2"/>
        <v>250.983</v>
      </c>
      <c r="N414" s="27">
        <f t="shared" si="3"/>
        <v>0.002904895833</v>
      </c>
    </row>
    <row r="415">
      <c r="A415" s="92">
        <v>45897.0</v>
      </c>
      <c r="B415" s="4" t="s">
        <v>744</v>
      </c>
      <c r="D415" s="83" t="s">
        <v>224</v>
      </c>
      <c r="E415" s="4" t="s">
        <v>205</v>
      </c>
      <c r="F415" s="80">
        <f t="shared" si="1"/>
        <v>0.001321574074</v>
      </c>
      <c r="G415" s="4" t="s">
        <v>745</v>
      </c>
      <c r="H415" s="4" t="s">
        <v>231</v>
      </c>
      <c r="I415" s="4" t="s">
        <v>226</v>
      </c>
      <c r="J415" s="81">
        <f>IFERROR(__xludf.DUMMYFUNCTION("FILTER('賽道紀錄'!E:E, '賽道紀錄'!A:A=B415, '賽道紀錄'!B:B=C415)-F415"),-1.1231481481481466E-4)</f>
        <v>-0.0001123148148</v>
      </c>
      <c r="K415" s="4"/>
      <c r="L415" s="4" t="s">
        <v>746</v>
      </c>
      <c r="M415" s="82">
        <f t="shared" si="2"/>
        <v>114.184</v>
      </c>
      <c r="N415" s="27">
        <f t="shared" si="3"/>
        <v>0.001321574074</v>
      </c>
    </row>
    <row r="416">
      <c r="A416" s="92">
        <v>45897.0</v>
      </c>
      <c r="B416" s="4" t="s">
        <v>744</v>
      </c>
      <c r="D416" s="83" t="s">
        <v>224</v>
      </c>
      <c r="E416" s="4" t="s">
        <v>206</v>
      </c>
      <c r="F416" s="80">
        <f t="shared" si="1"/>
        <v>0.001254050926</v>
      </c>
      <c r="G416" s="4" t="s">
        <v>747</v>
      </c>
      <c r="H416" s="4" t="s">
        <v>231</v>
      </c>
      <c r="I416" s="4" t="s">
        <v>226</v>
      </c>
      <c r="J416" s="81">
        <f>IFERROR(__xludf.DUMMYFUNCTION("FILTER('賽道紀錄'!E:E, '賽道紀錄'!A:A=B416, '賽道紀錄'!B:B=C416)-F416"),-4.4791666666666504E-5)</f>
        <v>-0.00004479166667</v>
      </c>
      <c r="K416" s="4"/>
      <c r="L416" s="4" t="s">
        <v>748</v>
      </c>
      <c r="M416" s="82">
        <f t="shared" si="2"/>
        <v>108.35</v>
      </c>
      <c r="N416" s="27">
        <f t="shared" si="3"/>
        <v>0.001254050926</v>
      </c>
    </row>
    <row r="417">
      <c r="A417" s="92">
        <v>45897.0</v>
      </c>
      <c r="B417" s="4" t="s">
        <v>744</v>
      </c>
      <c r="D417" s="83" t="s">
        <v>224</v>
      </c>
      <c r="E417" s="4" t="s">
        <v>749</v>
      </c>
      <c r="F417" s="80">
        <f t="shared" si="1"/>
        <v>0.00167494213</v>
      </c>
      <c r="G417" s="4" t="s">
        <v>750</v>
      </c>
      <c r="H417" s="4" t="s">
        <v>225</v>
      </c>
      <c r="I417" s="4" t="s">
        <v>226</v>
      </c>
      <c r="J417" s="81">
        <f>IFERROR(__xludf.DUMMYFUNCTION("FILTER('賽道紀錄'!E:E, '賽道紀錄'!A:A=B417, '賽道紀錄'!B:B=C417)-F417"),-4.656828703703704E-4)</f>
        <v>-0.0004656828704</v>
      </c>
      <c r="K417" s="4"/>
      <c r="L417" s="4" t="s">
        <v>751</v>
      </c>
      <c r="M417" s="82">
        <f t="shared" si="2"/>
        <v>144.715</v>
      </c>
      <c r="N417" s="27">
        <f t="shared" si="3"/>
        <v>0.00167494213</v>
      </c>
    </row>
    <row r="418" ht="15.0" customHeight="1">
      <c r="A418" s="92">
        <v>45897.0</v>
      </c>
      <c r="B418" s="4" t="s">
        <v>744</v>
      </c>
      <c r="D418" s="83" t="s">
        <v>224</v>
      </c>
      <c r="E418" s="4" t="s">
        <v>205</v>
      </c>
      <c r="F418" s="80">
        <f t="shared" si="1"/>
        <v>0.001530474537</v>
      </c>
      <c r="G418" s="4" t="s">
        <v>752</v>
      </c>
      <c r="H418" s="4" t="s">
        <v>231</v>
      </c>
      <c r="I418" s="4" t="s">
        <v>226</v>
      </c>
      <c r="J418" s="81">
        <f>IFERROR(__xludf.DUMMYFUNCTION("FILTER('賽道紀錄'!E:E, '賽道紀錄'!A:A=B418, '賽道紀錄'!B:B=C418)-F418"),-3.212152777777777E-4)</f>
        <v>-0.0003212152778</v>
      </c>
      <c r="K418" s="4"/>
      <c r="L418" s="4" t="s">
        <v>753</v>
      </c>
      <c r="M418" s="82">
        <f t="shared" si="2"/>
        <v>132.233</v>
      </c>
      <c r="N418" s="27">
        <f t="shared" si="3"/>
        <v>0.001530474537</v>
      </c>
    </row>
    <row r="419">
      <c r="A419" s="77">
        <v>45899.0</v>
      </c>
      <c r="B419" s="4" t="s">
        <v>688</v>
      </c>
      <c r="C419" s="4" t="s">
        <v>441</v>
      </c>
      <c r="D419" s="87" t="s">
        <v>224</v>
      </c>
      <c r="E419" s="4" t="s">
        <v>206</v>
      </c>
      <c r="F419" s="80">
        <f t="shared" si="1"/>
        <v>0.002642361111</v>
      </c>
      <c r="G419" s="4" t="s">
        <v>145</v>
      </c>
      <c r="H419" s="4" t="s">
        <v>231</v>
      </c>
      <c r="I419" s="4" t="s">
        <v>226</v>
      </c>
      <c r="J419" s="81">
        <f>IFERROR(__xludf.DUMMYFUNCTION("FILTER('賽道紀錄'!E:E, '賽道紀錄'!A:A=B419, '賽道紀錄'!B:B=C419)-F419"),-1.7991898148148186E-4)</f>
        <v>-0.0001799189815</v>
      </c>
      <c r="K419" s="4"/>
      <c r="L419" s="4" t="s">
        <v>754</v>
      </c>
      <c r="M419" s="82">
        <f t="shared" si="2"/>
        <v>228.3</v>
      </c>
      <c r="N419" s="27">
        <f t="shared" si="3"/>
        <v>0.002642361111</v>
      </c>
    </row>
    <row r="420">
      <c r="A420" s="77">
        <v>45899.0</v>
      </c>
      <c r="B420" s="4" t="s">
        <v>688</v>
      </c>
      <c r="C420" s="4" t="s">
        <v>443</v>
      </c>
      <c r="D420" s="87" t="s">
        <v>224</v>
      </c>
      <c r="E420" s="4" t="s">
        <v>206</v>
      </c>
      <c r="F420" s="80">
        <f t="shared" si="1"/>
        <v>0.00260349537</v>
      </c>
      <c r="G420" s="4" t="s">
        <v>145</v>
      </c>
      <c r="H420" s="4" t="s">
        <v>231</v>
      </c>
      <c r="I420" s="4" t="s">
        <v>226</v>
      </c>
      <c r="J420" s="81">
        <f>IFERROR(__xludf.DUMMYFUNCTION("FILTER('賽道紀錄'!E:E, '賽道紀錄'!A:A=B420, '賽道紀錄'!B:B=C420)-F420"),0.0)</f>
        <v>0</v>
      </c>
      <c r="K420" s="4"/>
      <c r="L420" s="4" t="s">
        <v>755</v>
      </c>
      <c r="M420" s="82">
        <f t="shared" si="2"/>
        <v>224.942</v>
      </c>
      <c r="N420" s="27">
        <f t="shared" si="3"/>
        <v>0.00260349537</v>
      </c>
    </row>
    <row r="421">
      <c r="A421" s="92">
        <v>45901.0</v>
      </c>
      <c r="B421" s="4" t="s">
        <v>398</v>
      </c>
      <c r="C421" s="4" t="s">
        <v>381</v>
      </c>
      <c r="D421" s="83" t="s">
        <v>224</v>
      </c>
      <c r="E421" s="4" t="s">
        <v>674</v>
      </c>
      <c r="F421" s="80">
        <f t="shared" si="1"/>
        <v>0.002811342593</v>
      </c>
      <c r="G421" s="4" t="s">
        <v>166</v>
      </c>
      <c r="H421" s="4" t="s">
        <v>225</v>
      </c>
      <c r="I421" s="4" t="s">
        <v>226</v>
      </c>
      <c r="J421" s="81">
        <f>IFERROR(__xludf.DUMMYFUNCTION("FILTER('賽道紀錄'!E:E, '賽道紀錄'!A:A=B421, '賽道紀錄'!B:B=C421)-F421"),-2.0099537037037048E-4)</f>
        <v>-0.0002009953704</v>
      </c>
      <c r="K421" s="4"/>
      <c r="L421" s="4" t="s">
        <v>756</v>
      </c>
      <c r="M421" s="82">
        <f t="shared" si="2"/>
        <v>242.9</v>
      </c>
      <c r="N421" s="27">
        <f t="shared" si="3"/>
        <v>0.002811342593</v>
      </c>
    </row>
    <row r="422">
      <c r="A422" s="92">
        <v>45901.0</v>
      </c>
      <c r="B422" s="4" t="s">
        <v>398</v>
      </c>
      <c r="C422" s="4" t="s">
        <v>383</v>
      </c>
      <c r="D422" s="83" t="s">
        <v>224</v>
      </c>
      <c r="E422" s="4" t="s">
        <v>674</v>
      </c>
      <c r="F422" s="80">
        <f t="shared" si="1"/>
        <v>0.002828506944</v>
      </c>
      <c r="G422" s="4" t="s">
        <v>166</v>
      </c>
      <c r="H422" s="4" t="s">
        <v>225</v>
      </c>
      <c r="I422" s="4" t="s">
        <v>226</v>
      </c>
      <c r="J422" s="81">
        <f>IFERROR(__xludf.DUMMYFUNCTION("FILTER('賽道紀錄'!E:E, '賽道紀錄'!A:A=B422, '賽道紀錄'!B:B=C422)-F422"),0.0)</f>
        <v>0</v>
      </c>
      <c r="K422" s="4"/>
      <c r="L422" s="4" t="s">
        <v>757</v>
      </c>
      <c r="M422" s="82">
        <f t="shared" si="2"/>
        <v>244.383</v>
      </c>
      <c r="N422" s="27">
        <f t="shared" si="3"/>
        <v>0.002828506944</v>
      </c>
    </row>
    <row r="423">
      <c r="A423" s="92">
        <v>45901.0</v>
      </c>
      <c r="B423" s="4" t="s">
        <v>744</v>
      </c>
      <c r="D423" s="83" t="s">
        <v>224</v>
      </c>
      <c r="E423" s="4" t="s">
        <v>229</v>
      </c>
      <c r="F423" s="80">
        <f t="shared" si="1"/>
        <v>0.001209259259</v>
      </c>
      <c r="G423" s="4" t="s">
        <v>752</v>
      </c>
      <c r="H423" s="4" t="s">
        <v>231</v>
      </c>
      <c r="I423" s="4" t="s">
        <v>226</v>
      </c>
      <c r="J423" s="81">
        <f>IFERROR(__xludf.DUMMYFUNCTION("FILTER('賽道紀錄'!E:E, '賽道紀錄'!A:A=B423, '賽道紀錄'!B:B=C423)-F423"),0.0)</f>
        <v>0</v>
      </c>
      <c r="K423" s="4"/>
      <c r="L423" s="4" t="s">
        <v>758</v>
      </c>
      <c r="M423" s="82">
        <f t="shared" si="2"/>
        <v>104.48</v>
      </c>
      <c r="N423" s="27">
        <f t="shared" si="3"/>
        <v>0.001209259259</v>
      </c>
    </row>
    <row r="424">
      <c r="A424" s="92">
        <v>45902.0</v>
      </c>
      <c r="B424" s="4" t="s">
        <v>398</v>
      </c>
      <c r="C424" s="4" t="s">
        <v>381</v>
      </c>
      <c r="D424" s="83" t="s">
        <v>224</v>
      </c>
      <c r="E424" s="83" t="s">
        <v>647</v>
      </c>
      <c r="F424" s="80">
        <f t="shared" si="1"/>
        <v>0.002836134259</v>
      </c>
      <c r="G424" s="4" t="s">
        <v>181</v>
      </c>
      <c r="H424" s="4" t="s">
        <v>225</v>
      </c>
      <c r="I424" s="4" t="s">
        <v>226</v>
      </c>
      <c r="J424" s="81">
        <f>IFERROR(__xludf.DUMMYFUNCTION("FILTER('賽道紀錄'!E:E, '賽道紀錄'!A:A=B424, '賽道紀錄'!B:B=C424)-F424"),-2.2578703703703693E-4)</f>
        <v>-0.000225787037</v>
      </c>
      <c r="K424" s="4"/>
      <c r="L424" s="4" t="s">
        <v>759</v>
      </c>
      <c r="M424" s="82">
        <f t="shared" si="2"/>
        <v>245.042</v>
      </c>
      <c r="N424" s="27">
        <f t="shared" si="3"/>
        <v>0.002836134259</v>
      </c>
    </row>
    <row r="425">
      <c r="A425" s="92">
        <v>45903.0</v>
      </c>
      <c r="B425" s="4" t="s">
        <v>398</v>
      </c>
      <c r="C425" s="4" t="s">
        <v>381</v>
      </c>
      <c r="D425" s="83" t="s">
        <v>224</v>
      </c>
      <c r="E425" s="83" t="s">
        <v>647</v>
      </c>
      <c r="F425" s="80">
        <f t="shared" si="1"/>
        <v>0.002803333333</v>
      </c>
      <c r="G425" s="4" t="s">
        <v>181</v>
      </c>
      <c r="H425" s="4" t="s">
        <v>225</v>
      </c>
      <c r="I425" s="4" t="s">
        <v>226</v>
      </c>
      <c r="J425" s="81">
        <f>IFERROR(__xludf.DUMMYFUNCTION("FILTER('賽道紀錄'!E:E, '賽道紀錄'!A:A=B425, '賽道紀錄'!B:B=C425)-F425"),-1.9298611111111122E-4)</f>
        <v>-0.0001929861111</v>
      </c>
      <c r="K425" s="4"/>
      <c r="L425" s="4" t="s">
        <v>760</v>
      </c>
      <c r="M425" s="82">
        <f t="shared" si="2"/>
        <v>242.208</v>
      </c>
      <c r="N425" s="27">
        <f t="shared" si="3"/>
        <v>0.002803333333</v>
      </c>
    </row>
    <row r="426">
      <c r="A426" s="92">
        <v>45903.0</v>
      </c>
      <c r="B426" s="4" t="s">
        <v>398</v>
      </c>
      <c r="C426" s="4" t="s">
        <v>381</v>
      </c>
      <c r="D426" s="83" t="s">
        <v>224</v>
      </c>
      <c r="E426" s="70" t="s">
        <v>207</v>
      </c>
      <c r="F426" s="80">
        <f t="shared" si="1"/>
        <v>0.002796759259</v>
      </c>
      <c r="G426" s="4" t="s">
        <v>139</v>
      </c>
      <c r="H426" s="4" t="s">
        <v>231</v>
      </c>
      <c r="I426" s="4" t="s">
        <v>226</v>
      </c>
      <c r="J426" s="81">
        <f>IFERROR(__xludf.DUMMYFUNCTION("FILTER('賽道紀錄'!E:E, '賽道紀錄'!A:A=B426, '賽道紀錄'!B:B=C426)-F426"),-1.8641203703703701E-4)</f>
        <v>-0.000186412037</v>
      </c>
      <c r="K426" s="4"/>
      <c r="L426" s="4" t="s">
        <v>761</v>
      </c>
      <c r="M426" s="82">
        <f t="shared" si="2"/>
        <v>241.64</v>
      </c>
      <c r="N426" s="27">
        <f t="shared" si="3"/>
        <v>0.002796759259</v>
      </c>
    </row>
    <row r="427">
      <c r="A427" s="77">
        <v>45907.0</v>
      </c>
      <c r="B427" s="4" t="s">
        <v>593</v>
      </c>
      <c r="D427" s="4" t="s">
        <v>594</v>
      </c>
      <c r="E427" s="4" t="s">
        <v>762</v>
      </c>
      <c r="F427" s="80">
        <f t="shared" si="1"/>
        <v>0.0008888888889</v>
      </c>
      <c r="G427" s="4" t="s">
        <v>134</v>
      </c>
      <c r="H427" s="4" t="s">
        <v>225</v>
      </c>
      <c r="I427" s="4" t="s">
        <v>313</v>
      </c>
      <c r="J427" s="81">
        <f>IFERROR(__xludf.DUMMYFUNCTION("FILTER('賽道紀錄'!E:E, '賽道紀錄'!A:A=B427, '賽道紀錄'!B:B=C427)-F427"),-2.5810185185185246E-5)</f>
        <v>-0.00002581018519</v>
      </c>
      <c r="K427" s="4"/>
      <c r="L427" s="4" t="s">
        <v>763</v>
      </c>
      <c r="M427" s="82">
        <f t="shared" si="2"/>
        <v>76.8</v>
      </c>
      <c r="N427" s="27">
        <f t="shared" si="3"/>
        <v>0.0008888888889</v>
      </c>
    </row>
    <row r="428">
      <c r="A428" s="77">
        <v>45907.0</v>
      </c>
      <c r="B428" s="4" t="s">
        <v>593</v>
      </c>
      <c r="D428" s="4" t="s">
        <v>594</v>
      </c>
      <c r="E428" s="4" t="s">
        <v>762</v>
      </c>
      <c r="F428" s="80">
        <f t="shared" si="1"/>
        <v>0.0009220717593</v>
      </c>
      <c r="G428" s="4" t="s">
        <v>130</v>
      </c>
      <c r="H428" s="4" t="s">
        <v>225</v>
      </c>
      <c r="I428" s="4" t="s">
        <v>313</v>
      </c>
      <c r="J428" s="81">
        <f>IFERROR(__xludf.DUMMYFUNCTION("FILTER('賽道紀錄'!E:E, '賽道紀錄'!A:A=B428, '賽道紀錄'!B:B=C428)-F428"),-5.899305555555573E-5)</f>
        <v>-0.00005899305556</v>
      </c>
      <c r="K428" s="4"/>
      <c r="L428" s="4" t="s">
        <v>764</v>
      </c>
      <c r="M428" s="82">
        <f t="shared" si="2"/>
        <v>79.667</v>
      </c>
      <c r="N428" s="27">
        <f t="shared" si="3"/>
        <v>0.0009220717593</v>
      </c>
    </row>
    <row r="429">
      <c r="A429" s="77">
        <v>45907.0</v>
      </c>
      <c r="B429" s="4" t="s">
        <v>398</v>
      </c>
      <c r="C429" s="4" t="s">
        <v>381</v>
      </c>
      <c r="D429" s="83" t="s">
        <v>224</v>
      </c>
      <c r="E429" s="83" t="s">
        <v>647</v>
      </c>
      <c r="F429" s="80">
        <f t="shared" si="1"/>
        <v>0.002777106481</v>
      </c>
      <c r="G429" s="4" t="s">
        <v>181</v>
      </c>
      <c r="H429" s="4" t="s">
        <v>225</v>
      </c>
      <c r="I429" s="4" t="s">
        <v>226</v>
      </c>
      <c r="J429" s="81">
        <f>IFERROR(__xludf.DUMMYFUNCTION("FILTER('賽道紀錄'!E:E, '賽道紀錄'!A:A=B429, '賽道紀錄'!B:B=C429)-F429"),-1.667592592592593E-4)</f>
        <v>-0.0001667592593</v>
      </c>
      <c r="K429" s="4"/>
      <c r="L429" s="4" t="s">
        <v>765</v>
      </c>
      <c r="M429" s="82">
        <f t="shared" si="2"/>
        <v>239.942</v>
      </c>
      <c r="N429" s="27">
        <f t="shared" si="3"/>
        <v>0.002777106481</v>
      </c>
    </row>
    <row r="430">
      <c r="A430" s="92">
        <v>45908.0</v>
      </c>
      <c r="B430" s="4" t="s">
        <v>398</v>
      </c>
      <c r="C430" s="4" t="s">
        <v>381</v>
      </c>
      <c r="D430" s="83" t="s">
        <v>224</v>
      </c>
      <c r="E430" s="83" t="s">
        <v>647</v>
      </c>
      <c r="F430" s="80">
        <f t="shared" si="1"/>
        <v>0.002763217593</v>
      </c>
      <c r="G430" s="4" t="s">
        <v>176</v>
      </c>
      <c r="H430" s="4" t="s">
        <v>225</v>
      </c>
      <c r="I430" s="4" t="s">
        <v>226</v>
      </c>
      <c r="J430" s="81">
        <f>IFERROR(__xludf.DUMMYFUNCTION("FILTER('賽道紀錄'!E:E, '賽道紀錄'!A:A=B430, '賽道紀錄'!B:B=C430)-F430"),-1.5287037037037049E-4)</f>
        <v>-0.0001528703704</v>
      </c>
      <c r="K430" s="4"/>
      <c r="L430" s="4" t="s">
        <v>766</v>
      </c>
      <c r="M430" s="82">
        <f t="shared" si="2"/>
        <v>238.742</v>
      </c>
      <c r="N430" s="27">
        <f t="shared" si="3"/>
        <v>0.002763217593</v>
      </c>
    </row>
    <row r="431">
      <c r="A431" s="92">
        <v>45908.0</v>
      </c>
      <c r="B431" s="4" t="s">
        <v>398</v>
      </c>
      <c r="C431" s="4" t="s">
        <v>381</v>
      </c>
      <c r="D431" s="83" t="s">
        <v>224</v>
      </c>
      <c r="E431" s="4" t="s">
        <v>674</v>
      </c>
      <c r="F431" s="80">
        <f t="shared" si="1"/>
        <v>0.002764178241</v>
      </c>
      <c r="G431" s="4" t="s">
        <v>169</v>
      </c>
      <c r="H431" s="4" t="s">
        <v>225</v>
      </c>
      <c r="I431" s="4" t="s">
        <v>226</v>
      </c>
      <c r="J431" s="81">
        <f>IFERROR(__xludf.DUMMYFUNCTION("FILTER('賽道紀錄'!E:E, '賽道紀錄'!A:A=B431, '賽道紀錄'!B:B=C431)-F431"),-1.5383101851851842E-4)</f>
        <v>-0.0001538310185</v>
      </c>
      <c r="K431" s="4"/>
      <c r="L431" s="4" t="s">
        <v>767</v>
      </c>
      <c r="M431" s="82">
        <f t="shared" si="2"/>
        <v>238.825</v>
      </c>
      <c r="N431" s="27">
        <f t="shared" si="3"/>
        <v>0.002764178241</v>
      </c>
    </row>
    <row r="432">
      <c r="A432" s="92">
        <v>45908.0</v>
      </c>
      <c r="B432" s="4" t="s">
        <v>398</v>
      </c>
      <c r="C432" s="4" t="s">
        <v>381</v>
      </c>
      <c r="D432" s="83" t="s">
        <v>224</v>
      </c>
      <c r="E432" s="4" t="s">
        <v>205</v>
      </c>
      <c r="F432" s="80">
        <f t="shared" si="1"/>
        <v>0.00302005787</v>
      </c>
      <c r="G432" s="4" t="s">
        <v>181</v>
      </c>
      <c r="H432" s="4" t="s">
        <v>231</v>
      </c>
      <c r="I432" s="4" t="s">
        <v>226</v>
      </c>
      <c r="J432" s="81">
        <f>IFERROR(__xludf.DUMMYFUNCTION("FILTER('賽道紀錄'!E:E, '賽道紀錄'!A:A=B432, '賽道紀錄'!B:B=C432)-F432"),-4.097106481481482E-4)</f>
        <v>-0.0004097106481</v>
      </c>
      <c r="K432" s="4"/>
      <c r="L432" s="4" t="s">
        <v>768</v>
      </c>
      <c r="M432" s="82">
        <f t="shared" si="2"/>
        <v>260.933</v>
      </c>
      <c r="N432" s="27">
        <f t="shared" si="3"/>
        <v>0.00302005787</v>
      </c>
    </row>
    <row r="433">
      <c r="A433" s="92">
        <v>45908.0</v>
      </c>
      <c r="B433" s="4" t="s">
        <v>398</v>
      </c>
      <c r="C433" s="4" t="s">
        <v>381</v>
      </c>
      <c r="D433" s="83" t="s">
        <v>224</v>
      </c>
      <c r="E433" s="4" t="s">
        <v>245</v>
      </c>
      <c r="F433" s="80">
        <f t="shared" si="1"/>
        <v>0.00303787037</v>
      </c>
      <c r="G433" s="4" t="s">
        <v>169</v>
      </c>
      <c r="H433" s="4" t="s">
        <v>225</v>
      </c>
      <c r="I433" s="4" t="s">
        <v>226</v>
      </c>
      <c r="J433" s="81">
        <f>IFERROR(__xludf.DUMMYFUNCTION("FILTER('賽道紀錄'!E:E, '賽道紀錄'!A:A=B433, '賽道紀錄'!B:B=C433)-F433"),-4.275231481481478E-4)</f>
        <v>-0.0004275231481</v>
      </c>
      <c r="K433" s="4"/>
      <c r="L433" s="4" t="s">
        <v>769</v>
      </c>
      <c r="M433" s="82">
        <f t="shared" si="2"/>
        <v>262.472</v>
      </c>
      <c r="N433" s="27">
        <f t="shared" si="3"/>
        <v>0.00303787037</v>
      </c>
    </row>
    <row r="434">
      <c r="A434" s="92">
        <v>45908.0</v>
      </c>
      <c r="B434" s="4" t="s">
        <v>398</v>
      </c>
      <c r="C434" s="4" t="s">
        <v>381</v>
      </c>
      <c r="D434" s="83" t="s">
        <v>224</v>
      </c>
      <c r="E434" s="83" t="s">
        <v>647</v>
      </c>
      <c r="F434" s="80">
        <f t="shared" si="1"/>
        <v>0.00274025463</v>
      </c>
      <c r="G434" s="4" t="s">
        <v>176</v>
      </c>
      <c r="H434" s="4" t="s">
        <v>225</v>
      </c>
      <c r="I434" s="4" t="s">
        <v>226</v>
      </c>
      <c r="J434" s="81">
        <f>IFERROR(__xludf.DUMMYFUNCTION("FILTER('賽道紀錄'!E:E, '賽道紀錄'!A:A=B434, '賽道紀錄'!B:B=C434)-F434"),-1.2990740740740714E-4)</f>
        <v>-0.0001299074074</v>
      </c>
      <c r="K434" s="4"/>
      <c r="L434" s="4" t="s">
        <v>770</v>
      </c>
      <c r="M434" s="82">
        <f t="shared" si="2"/>
        <v>236.758</v>
      </c>
      <c r="N434" s="27">
        <f t="shared" si="3"/>
        <v>0.00274025463</v>
      </c>
    </row>
    <row r="435">
      <c r="A435" s="92">
        <v>45910.0</v>
      </c>
      <c r="B435" s="4" t="s">
        <v>398</v>
      </c>
      <c r="C435" s="4" t="s">
        <v>381</v>
      </c>
      <c r="D435" s="83" t="s">
        <v>224</v>
      </c>
      <c r="E435" s="70" t="s">
        <v>209</v>
      </c>
      <c r="F435" s="80">
        <f t="shared" si="1"/>
        <v>0.002672256944</v>
      </c>
      <c r="G435" s="4" t="s">
        <v>176</v>
      </c>
      <c r="H435" s="4" t="s">
        <v>225</v>
      </c>
      <c r="I435" s="4" t="s">
        <v>226</v>
      </c>
      <c r="J435" s="81">
        <f>IFERROR(__xludf.DUMMYFUNCTION("FILTER('賽道紀錄'!E:E, '賽道紀錄'!A:A=B435, '賽道紀錄'!B:B=C435)-F435"),-6.190972222222231E-5)</f>
        <v>-0.00006190972222</v>
      </c>
      <c r="K435" s="4"/>
      <c r="L435" s="4" t="s">
        <v>771</v>
      </c>
      <c r="M435" s="82">
        <f t="shared" si="2"/>
        <v>230.883</v>
      </c>
      <c r="N435" s="27">
        <f t="shared" si="3"/>
        <v>0.002672256944</v>
      </c>
    </row>
    <row r="436">
      <c r="A436" s="92">
        <v>45910.0</v>
      </c>
      <c r="B436" s="4" t="s">
        <v>398</v>
      </c>
      <c r="C436" s="4" t="s">
        <v>381</v>
      </c>
      <c r="D436" s="83" t="s">
        <v>224</v>
      </c>
      <c r="E436" s="83" t="s">
        <v>647</v>
      </c>
      <c r="F436" s="80">
        <f t="shared" si="1"/>
        <v>0.002728784722</v>
      </c>
      <c r="G436" s="4" t="s">
        <v>169</v>
      </c>
      <c r="H436" s="4" t="s">
        <v>225</v>
      </c>
      <c r="I436" s="4" t="s">
        <v>226</v>
      </c>
      <c r="J436" s="81">
        <f>IFERROR(__xludf.DUMMYFUNCTION("FILTER('賽道紀錄'!E:E, '賽道紀錄'!A:A=B436, '賽道紀錄'!B:B=C436)-F436"),-1.1843750000000005E-4)</f>
        <v>-0.0001184375</v>
      </c>
      <c r="K436" s="4"/>
      <c r="L436" s="4" t="s">
        <v>772</v>
      </c>
      <c r="M436" s="82">
        <f t="shared" si="2"/>
        <v>235.767</v>
      </c>
      <c r="N436" s="27">
        <f t="shared" si="3"/>
        <v>0.002728784722</v>
      </c>
    </row>
    <row r="437">
      <c r="A437" s="92">
        <v>45910.0</v>
      </c>
      <c r="B437" s="4" t="s">
        <v>398</v>
      </c>
      <c r="C437" s="4" t="s">
        <v>381</v>
      </c>
      <c r="D437" s="83" t="s">
        <v>224</v>
      </c>
      <c r="E437" s="70" t="s">
        <v>207</v>
      </c>
      <c r="F437" s="80">
        <f t="shared" si="1"/>
        <v>0.002687303241</v>
      </c>
      <c r="G437" s="4" t="s">
        <v>139</v>
      </c>
      <c r="H437" s="4" t="s">
        <v>225</v>
      </c>
      <c r="I437" s="4" t="s">
        <v>226</v>
      </c>
      <c r="J437" s="81">
        <f>IFERROR(__xludf.DUMMYFUNCTION("FILTER('賽道紀錄'!E:E, '賽道紀錄'!A:A=B437, '賽道紀錄'!B:B=C437)-F437"),-7.69560185185183E-5)</f>
        <v>-0.00007695601852</v>
      </c>
      <c r="K437" s="4"/>
      <c r="L437" s="4" t="s">
        <v>773</v>
      </c>
      <c r="M437" s="82">
        <f t="shared" si="2"/>
        <v>232.183</v>
      </c>
      <c r="N437" s="27">
        <f t="shared" si="3"/>
        <v>0.002687303241</v>
      </c>
    </row>
    <row r="438">
      <c r="A438" s="92">
        <v>45910.0</v>
      </c>
      <c r="B438" s="4" t="s">
        <v>398</v>
      </c>
      <c r="C438" s="4" t="s">
        <v>381</v>
      </c>
      <c r="D438" s="83" t="s">
        <v>224</v>
      </c>
      <c r="E438" s="70" t="s">
        <v>275</v>
      </c>
      <c r="F438" s="80">
        <f t="shared" si="1"/>
        <v>0.002839155093</v>
      </c>
      <c r="G438" s="4" t="s">
        <v>181</v>
      </c>
      <c r="H438" s="4" t="s">
        <v>231</v>
      </c>
      <c r="I438" s="4" t="s">
        <v>226</v>
      </c>
      <c r="J438" s="81">
        <f>IFERROR(__xludf.DUMMYFUNCTION("FILTER('賽道紀錄'!E:E, '賽道紀錄'!A:A=B438, '賽道紀錄'!B:B=C438)-F438"),-2.2880787037037054E-4)</f>
        <v>-0.0002288078704</v>
      </c>
      <c r="K438" s="4"/>
      <c r="L438" s="4" t="s">
        <v>774</v>
      </c>
      <c r="M438" s="82">
        <f t="shared" si="2"/>
        <v>245.303</v>
      </c>
      <c r="N438" s="27">
        <f t="shared" si="3"/>
        <v>0.002839155093</v>
      </c>
    </row>
    <row r="439">
      <c r="A439" s="92">
        <v>45910.0</v>
      </c>
      <c r="B439" s="4" t="s">
        <v>398</v>
      </c>
      <c r="C439" s="4" t="s">
        <v>381</v>
      </c>
      <c r="D439" s="83" t="s">
        <v>224</v>
      </c>
      <c r="E439" s="70" t="s">
        <v>208</v>
      </c>
      <c r="F439" s="80">
        <f t="shared" si="1"/>
        <v>0.002950590278</v>
      </c>
      <c r="G439" s="4" t="s">
        <v>169</v>
      </c>
      <c r="H439" s="4" t="s">
        <v>225</v>
      </c>
      <c r="I439" s="4" t="s">
        <v>226</v>
      </c>
      <c r="J439" s="81">
        <f>IFERROR(__xludf.DUMMYFUNCTION("FILTER('賽道紀錄'!E:E, '賽道紀錄'!A:A=B439, '賽道紀錄'!B:B=C439)-F439"),-3.4024305555555544E-4)</f>
        <v>-0.0003402430556</v>
      </c>
      <c r="K439" s="4"/>
      <c r="L439" s="4" t="s">
        <v>775</v>
      </c>
      <c r="M439" s="82">
        <f t="shared" si="2"/>
        <v>254.931</v>
      </c>
      <c r="N439" s="27">
        <f t="shared" si="3"/>
        <v>0.002950590278</v>
      </c>
    </row>
    <row r="440">
      <c r="A440" s="92">
        <v>45910.0</v>
      </c>
      <c r="B440" s="4" t="s">
        <v>398</v>
      </c>
      <c r="C440" s="4" t="s">
        <v>381</v>
      </c>
      <c r="D440" s="83" t="s">
        <v>224</v>
      </c>
      <c r="E440" s="4" t="s">
        <v>205</v>
      </c>
      <c r="F440" s="80">
        <f t="shared" si="1"/>
        <v>0.003086423611</v>
      </c>
      <c r="G440" s="4" t="s">
        <v>139</v>
      </c>
      <c r="H440" s="4" t="s">
        <v>231</v>
      </c>
      <c r="I440" s="4" t="s">
        <v>226</v>
      </c>
      <c r="J440" s="81">
        <f>IFERROR(__xludf.DUMMYFUNCTION("FILTER('賽道紀錄'!E:E, '賽道紀錄'!A:A=B440, '賽道紀錄'!B:B=C440)-F440"),-4.7607638888888873E-4)</f>
        <v>-0.0004760763889</v>
      </c>
      <c r="K440" s="4"/>
      <c r="L440" s="4" t="s">
        <v>776</v>
      </c>
      <c r="M440" s="82">
        <f t="shared" si="2"/>
        <v>266.667</v>
      </c>
      <c r="N440" s="27">
        <f t="shared" si="3"/>
        <v>0.003086423611</v>
      </c>
    </row>
    <row r="441">
      <c r="A441" s="92">
        <v>45911.0</v>
      </c>
      <c r="B441" s="4" t="s">
        <v>398</v>
      </c>
      <c r="C441" s="4" t="s">
        <v>381</v>
      </c>
      <c r="D441" s="83" t="s">
        <v>224</v>
      </c>
      <c r="E441" s="4" t="s">
        <v>245</v>
      </c>
      <c r="F441" s="80">
        <f t="shared" si="1"/>
        <v>0.002828981481</v>
      </c>
      <c r="G441" s="4" t="s">
        <v>176</v>
      </c>
      <c r="H441" s="4" t="s">
        <v>231</v>
      </c>
      <c r="I441" s="4" t="s">
        <v>226</v>
      </c>
      <c r="J441" s="81">
        <f>IFERROR(__xludf.DUMMYFUNCTION("FILTER('賽道紀錄'!E:E, '賽道紀錄'!A:A=B441, '賽道紀錄'!B:B=C441)-F441"),-2.1863425925925913E-4)</f>
        <v>-0.0002186342593</v>
      </c>
      <c r="K441" s="4"/>
      <c r="L441" s="4" t="s">
        <v>777</v>
      </c>
      <c r="M441" s="82">
        <f t="shared" si="2"/>
        <v>244.424</v>
      </c>
      <c r="N441" s="27">
        <f t="shared" si="3"/>
        <v>0.002828981481</v>
      </c>
    </row>
    <row r="442">
      <c r="A442" s="92">
        <v>45911.0</v>
      </c>
      <c r="B442" s="4" t="s">
        <v>398</v>
      </c>
      <c r="C442" s="4" t="s">
        <v>381</v>
      </c>
      <c r="D442" s="83" t="s">
        <v>224</v>
      </c>
      <c r="E442" s="70" t="s">
        <v>275</v>
      </c>
      <c r="F442" s="80">
        <f t="shared" si="1"/>
        <v>0.002814965278</v>
      </c>
      <c r="G442" s="4" t="s">
        <v>176</v>
      </c>
      <c r="H442" s="4" t="s">
        <v>231</v>
      </c>
      <c r="I442" s="4" t="s">
        <v>226</v>
      </c>
      <c r="J442" s="81">
        <f>IFERROR(__xludf.DUMMYFUNCTION("FILTER('賽道紀錄'!E:E, '賽道紀錄'!A:A=B442, '賽道紀錄'!B:B=C442)-F442"),-2.0461805555555554E-4)</f>
        <v>-0.0002046180556</v>
      </c>
      <c r="K442" s="4"/>
      <c r="L442" s="4" t="s">
        <v>778</v>
      </c>
      <c r="M442" s="82">
        <f t="shared" si="2"/>
        <v>243.213</v>
      </c>
      <c r="N442" s="27">
        <f t="shared" si="3"/>
        <v>0.002814965278</v>
      </c>
    </row>
    <row r="443">
      <c r="A443" s="92">
        <v>45913.0</v>
      </c>
      <c r="B443" s="4" t="s">
        <v>632</v>
      </c>
      <c r="D443" s="4" t="s">
        <v>594</v>
      </c>
      <c r="E443" s="4" t="s">
        <v>779</v>
      </c>
      <c r="F443" s="80">
        <f t="shared" si="1"/>
        <v>0.0007215740741</v>
      </c>
      <c r="G443" s="4" t="s">
        <v>127</v>
      </c>
      <c r="H443" s="4" t="s">
        <v>225</v>
      </c>
      <c r="I443" s="4" t="s">
        <v>313</v>
      </c>
      <c r="J443" s="81">
        <f>IFERROR(__xludf.DUMMYFUNCTION("FILTER('賽道紀錄'!E:E, '賽道紀錄'!A:A=B443, '賽道紀錄'!B:B=C443)-F443"),0.0)</f>
        <v>0</v>
      </c>
      <c r="K443" s="4"/>
      <c r="L443" s="4" t="s">
        <v>780</v>
      </c>
      <c r="M443" s="82">
        <f t="shared" si="2"/>
        <v>62.344</v>
      </c>
      <c r="N443" s="27">
        <f t="shared" si="3"/>
        <v>0.0007215740741</v>
      </c>
    </row>
    <row r="444">
      <c r="A444" s="92">
        <v>45913.0</v>
      </c>
      <c r="B444" s="4" t="s">
        <v>632</v>
      </c>
      <c r="D444" s="4" t="s">
        <v>594</v>
      </c>
      <c r="E444" s="4" t="s">
        <v>779</v>
      </c>
      <c r="F444" s="80">
        <f t="shared" si="1"/>
        <v>0.0007236226852</v>
      </c>
      <c r="G444" s="4" t="s">
        <v>152</v>
      </c>
      <c r="H444" s="4" t="s">
        <v>225</v>
      </c>
      <c r="I444" s="4" t="s">
        <v>313</v>
      </c>
      <c r="J444" s="81">
        <f>IFERROR(__xludf.DUMMYFUNCTION("FILTER('賽道紀錄'!E:E, '賽道紀錄'!A:A=B444, '賽道紀錄'!B:B=C444)-F444"),-2.048611111111088E-6)</f>
        <v>-0.000002048611111</v>
      </c>
      <c r="K444" s="4"/>
      <c r="L444" s="4" t="s">
        <v>781</v>
      </c>
      <c r="M444" s="82">
        <f t="shared" si="2"/>
        <v>62.521</v>
      </c>
      <c r="N444" s="27">
        <f t="shared" si="3"/>
        <v>0.0007236226852</v>
      </c>
    </row>
    <row r="445">
      <c r="A445" s="92">
        <v>45913.0</v>
      </c>
      <c r="B445" s="4" t="s">
        <v>632</v>
      </c>
      <c r="D445" s="4" t="s">
        <v>594</v>
      </c>
      <c r="E445" s="4" t="s">
        <v>779</v>
      </c>
      <c r="F445" s="80">
        <f t="shared" si="1"/>
        <v>0.0007299305556</v>
      </c>
      <c r="G445" s="4" t="s">
        <v>130</v>
      </c>
      <c r="H445" s="4" t="s">
        <v>225</v>
      </c>
      <c r="I445" s="4" t="s">
        <v>313</v>
      </c>
      <c r="J445" s="81">
        <f>IFERROR(__xludf.DUMMYFUNCTION("FILTER('賽道紀錄'!E:E, '賽道紀錄'!A:A=B445, '賽道紀錄'!B:B=C445)-F445"),-8.356481481481474E-6)</f>
        <v>-0.000008356481481</v>
      </c>
      <c r="K445" s="4"/>
      <c r="L445" s="4" t="s">
        <v>782</v>
      </c>
      <c r="M445" s="82">
        <f t="shared" si="2"/>
        <v>63.066</v>
      </c>
      <c r="N445" s="27">
        <f t="shared" si="3"/>
        <v>0.0007299305556</v>
      </c>
    </row>
    <row r="446">
      <c r="A446" s="92">
        <v>45913.0</v>
      </c>
      <c r="B446" s="4" t="s">
        <v>632</v>
      </c>
      <c r="D446" s="4" t="s">
        <v>594</v>
      </c>
      <c r="E446" s="4" t="s">
        <v>779</v>
      </c>
      <c r="F446" s="80">
        <f t="shared" si="1"/>
        <v>0.0007344328704</v>
      </c>
      <c r="G446" s="4" t="s">
        <v>134</v>
      </c>
      <c r="H446" s="4" t="s">
        <v>225</v>
      </c>
      <c r="I446" s="4" t="s">
        <v>313</v>
      </c>
      <c r="J446" s="81">
        <f>IFERROR(__xludf.DUMMYFUNCTION("FILTER('賽道紀錄'!E:E, '賽道紀錄'!A:A=B446, '賽道紀錄'!B:B=C446)-F446"),-1.2858796296296294E-5)</f>
        <v>-0.0000128587963</v>
      </c>
      <c r="K446" s="4"/>
      <c r="L446" s="4" t="s">
        <v>783</v>
      </c>
      <c r="M446" s="82">
        <f t="shared" si="2"/>
        <v>63.455</v>
      </c>
      <c r="N446" s="27">
        <f t="shared" si="3"/>
        <v>0.0007344328704</v>
      </c>
    </row>
    <row r="447">
      <c r="A447" s="92">
        <v>45913.0</v>
      </c>
      <c r="B447" s="4" t="s">
        <v>398</v>
      </c>
      <c r="C447" s="4" t="s">
        <v>381</v>
      </c>
      <c r="D447" s="83" t="s">
        <v>224</v>
      </c>
      <c r="E447" s="70" t="s">
        <v>275</v>
      </c>
      <c r="F447" s="80">
        <f t="shared" si="1"/>
        <v>0.002791319444</v>
      </c>
      <c r="G447" s="4" t="s">
        <v>176</v>
      </c>
      <c r="H447" s="4" t="s">
        <v>231</v>
      </c>
      <c r="I447" s="4" t="s">
        <v>226</v>
      </c>
      <c r="J447" s="81">
        <f>IFERROR(__xludf.DUMMYFUNCTION("FILTER('賽道紀錄'!E:E, '賽道紀錄'!A:A=B447, '賽道紀錄'!B:B=C447)-F447"),-1.809722222222217E-4)</f>
        <v>-0.0001809722222</v>
      </c>
      <c r="K447" s="4"/>
      <c r="L447" s="4" t="s">
        <v>784</v>
      </c>
      <c r="M447" s="82">
        <f t="shared" si="2"/>
        <v>241.17</v>
      </c>
      <c r="N447" s="27">
        <f t="shared" si="3"/>
        <v>0.002791319444</v>
      </c>
    </row>
    <row r="448">
      <c r="A448" s="92">
        <v>45913.0</v>
      </c>
      <c r="B448" s="4" t="s">
        <v>398</v>
      </c>
      <c r="C448" s="4" t="s">
        <v>381</v>
      </c>
      <c r="D448" s="83" t="s">
        <v>224</v>
      </c>
      <c r="E448" s="4" t="s">
        <v>453</v>
      </c>
      <c r="F448" s="80">
        <f t="shared" si="1"/>
        <v>0.002805752315</v>
      </c>
      <c r="G448" s="4" t="s">
        <v>169</v>
      </c>
      <c r="H448" s="4" t="s">
        <v>225</v>
      </c>
      <c r="I448" s="4" t="s">
        <v>226</v>
      </c>
      <c r="J448" s="81">
        <f>IFERROR(__xludf.DUMMYFUNCTION("FILTER('賽道紀錄'!E:E, '賽道紀錄'!A:A=B448, '賽道紀錄'!B:B=C448)-F448"),-1.954050925925925E-4)</f>
        <v>-0.0001954050926</v>
      </c>
      <c r="K448" s="4"/>
      <c r="L448" s="4" t="s">
        <v>785</v>
      </c>
      <c r="M448" s="82">
        <f t="shared" si="2"/>
        <v>242.417</v>
      </c>
      <c r="N448" s="27">
        <f t="shared" si="3"/>
        <v>0.002805752315</v>
      </c>
    </row>
    <row r="449">
      <c r="A449" s="92">
        <v>45913.0</v>
      </c>
      <c r="B449" s="4" t="s">
        <v>398</v>
      </c>
      <c r="C449" s="4" t="s">
        <v>381</v>
      </c>
      <c r="D449" s="83" t="s">
        <v>224</v>
      </c>
      <c r="E449" s="4" t="s">
        <v>206</v>
      </c>
      <c r="F449" s="80">
        <f t="shared" si="1"/>
        <v>0.002862083333</v>
      </c>
      <c r="G449" s="4" t="s">
        <v>169</v>
      </c>
      <c r="H449" s="4" t="s">
        <v>231</v>
      </c>
      <c r="I449" s="4" t="s">
        <v>226</v>
      </c>
      <c r="J449" s="81">
        <f>IFERROR(__xludf.DUMMYFUNCTION("FILTER('賽道紀錄'!E:E, '賽道紀錄'!A:A=B449, '賽道紀錄'!B:B=C449)-F449"),-2.51736111111111E-4)</f>
        <v>-0.0002517361111</v>
      </c>
      <c r="K449" s="4"/>
      <c r="L449" s="4" t="s">
        <v>786</v>
      </c>
      <c r="M449" s="82">
        <f t="shared" si="2"/>
        <v>247.284</v>
      </c>
      <c r="N449" s="27">
        <f t="shared" si="3"/>
        <v>0.002862083333</v>
      </c>
    </row>
    <row r="450">
      <c r="A450" s="92">
        <v>45913.0</v>
      </c>
      <c r="B450" s="4" t="s">
        <v>398</v>
      </c>
      <c r="C450" s="4" t="s">
        <v>381</v>
      </c>
      <c r="D450" s="83" t="s">
        <v>224</v>
      </c>
      <c r="E450" s="83" t="s">
        <v>647</v>
      </c>
      <c r="F450" s="80">
        <f t="shared" si="1"/>
        <v>0.002763402778</v>
      </c>
      <c r="G450" s="4" t="s">
        <v>191</v>
      </c>
      <c r="H450" s="4" t="s">
        <v>225</v>
      </c>
      <c r="I450" s="4" t="s">
        <v>226</v>
      </c>
      <c r="J450" s="81">
        <f>IFERROR(__xludf.DUMMYFUNCTION("FILTER('賽道紀錄'!E:E, '賽道紀錄'!A:A=B450, '賽道紀錄'!B:B=C450)-F450"),-1.5305555555555558E-4)</f>
        <v>-0.0001530555556</v>
      </c>
      <c r="K450" s="4"/>
      <c r="L450" s="4" t="s">
        <v>787</v>
      </c>
      <c r="M450" s="82">
        <f t="shared" si="2"/>
        <v>238.758</v>
      </c>
      <c r="N450" s="27">
        <f t="shared" si="3"/>
        <v>0.002763402778</v>
      </c>
    </row>
    <row r="451">
      <c r="A451" s="77">
        <v>45913.0</v>
      </c>
      <c r="B451" s="4" t="s">
        <v>593</v>
      </c>
      <c r="D451" s="4" t="s">
        <v>594</v>
      </c>
      <c r="E451" s="4" t="s">
        <v>762</v>
      </c>
      <c r="F451" s="80">
        <f t="shared" si="1"/>
        <v>0.0008842592593</v>
      </c>
      <c r="G451" s="4" t="s">
        <v>134</v>
      </c>
      <c r="H451" s="4" t="s">
        <v>225</v>
      </c>
      <c r="I451" s="4" t="s">
        <v>313</v>
      </c>
      <c r="J451" s="81">
        <f>IFERROR(__xludf.DUMMYFUNCTION("FILTER('賽道紀錄'!E:E, '賽道紀錄'!A:A=B451, '賽道紀錄'!B:B=C451)-F451"),-2.1180555555555644E-5)</f>
        <v>-0.00002118055556</v>
      </c>
      <c r="K451" s="4"/>
      <c r="L451" s="4" t="s">
        <v>788</v>
      </c>
      <c r="M451" s="82">
        <f t="shared" si="2"/>
        <v>76.4</v>
      </c>
      <c r="N451" s="27">
        <f t="shared" si="3"/>
        <v>0.0008842592593</v>
      </c>
    </row>
    <row r="452">
      <c r="A452" s="77">
        <v>45913.0</v>
      </c>
      <c r="B452" s="4" t="s">
        <v>398</v>
      </c>
      <c r="C452" s="4" t="s">
        <v>381</v>
      </c>
      <c r="D452" s="83" t="s">
        <v>224</v>
      </c>
      <c r="E452" s="70" t="s">
        <v>209</v>
      </c>
      <c r="F452" s="80">
        <f t="shared" si="1"/>
        <v>0.002706793981</v>
      </c>
      <c r="G452" s="4" t="s">
        <v>191</v>
      </c>
      <c r="H452" s="4" t="s">
        <v>225</v>
      </c>
      <c r="I452" s="4" t="s">
        <v>226</v>
      </c>
      <c r="J452" s="81">
        <f>IFERROR(__xludf.DUMMYFUNCTION("FILTER('賽道紀錄'!E:E, '賽道紀錄'!A:A=B452, '賽道紀錄'!B:B=C452)-F452"),-9.644675925925923E-5)</f>
        <v>-0.00009644675926</v>
      </c>
      <c r="K452" s="4"/>
      <c r="L452" s="4" t="s">
        <v>789</v>
      </c>
      <c r="M452" s="82">
        <f t="shared" si="2"/>
        <v>233.867</v>
      </c>
      <c r="N452" s="27">
        <f t="shared" si="3"/>
        <v>0.002706793981</v>
      </c>
    </row>
    <row r="453">
      <c r="A453" s="77">
        <v>45913.0</v>
      </c>
      <c r="B453" s="4" t="s">
        <v>398</v>
      </c>
      <c r="C453" s="4" t="s">
        <v>381</v>
      </c>
      <c r="D453" s="83" t="s">
        <v>224</v>
      </c>
      <c r="E453" s="4" t="s">
        <v>205</v>
      </c>
      <c r="F453" s="80">
        <f t="shared" si="1"/>
        <v>0.0028996875</v>
      </c>
      <c r="G453" s="4" t="s">
        <v>176</v>
      </c>
      <c r="H453" s="4" t="s">
        <v>231</v>
      </c>
      <c r="I453" s="4" t="s">
        <v>226</v>
      </c>
      <c r="J453" s="81">
        <f>IFERROR(__xludf.DUMMYFUNCTION("FILTER('賽道紀錄'!E:E, '賽道紀錄'!A:A=B453, '賽道紀錄'!B:B=C453)-F453"),-2.893402777777777E-4)</f>
        <v>-0.0002893402778</v>
      </c>
      <c r="K453" s="4"/>
      <c r="L453" s="4" t="s">
        <v>790</v>
      </c>
      <c r="M453" s="82">
        <f t="shared" si="2"/>
        <v>250.533</v>
      </c>
      <c r="N453" s="27">
        <f t="shared" si="3"/>
        <v>0.0028996875</v>
      </c>
    </row>
    <row r="454">
      <c r="A454" s="77">
        <v>45913.0</v>
      </c>
      <c r="B454" s="4" t="s">
        <v>398</v>
      </c>
      <c r="C454" s="4" t="s">
        <v>381</v>
      </c>
      <c r="D454" s="83" t="s">
        <v>224</v>
      </c>
      <c r="E454" s="4" t="s">
        <v>245</v>
      </c>
      <c r="F454" s="80">
        <f t="shared" si="1"/>
        <v>0.003080474537</v>
      </c>
      <c r="G454" s="4" t="s">
        <v>139</v>
      </c>
      <c r="H454" s="4" t="s">
        <v>231</v>
      </c>
      <c r="I454" s="4" t="s">
        <v>226</v>
      </c>
      <c r="J454" s="81">
        <f>IFERROR(__xludf.DUMMYFUNCTION("FILTER('賽道紀錄'!E:E, '賽道紀錄'!A:A=B454, '賽道紀錄'!B:B=C454)-F454"),-4.7012731481481515E-4)</f>
        <v>-0.0004701273148</v>
      </c>
      <c r="K454" s="4"/>
      <c r="L454" s="4" t="s">
        <v>791</v>
      </c>
      <c r="M454" s="82">
        <f t="shared" si="2"/>
        <v>266.153</v>
      </c>
      <c r="N454" s="27">
        <f t="shared" si="3"/>
        <v>0.003080474537</v>
      </c>
    </row>
    <row r="455">
      <c r="A455" s="92">
        <v>45916.0</v>
      </c>
      <c r="B455" s="4" t="s">
        <v>398</v>
      </c>
      <c r="C455" s="4" t="s">
        <v>381</v>
      </c>
      <c r="D455" s="83" t="s">
        <v>224</v>
      </c>
      <c r="E455" s="83" t="s">
        <v>647</v>
      </c>
      <c r="F455" s="80">
        <f t="shared" si="1"/>
        <v>0.0027121875</v>
      </c>
      <c r="G455" s="4" t="s">
        <v>176</v>
      </c>
      <c r="H455" s="4" t="s">
        <v>225</v>
      </c>
      <c r="I455" s="4" t="s">
        <v>226</v>
      </c>
      <c r="J455" s="81">
        <f>IFERROR(__xludf.DUMMYFUNCTION("FILTER('賽道紀錄'!E:E, '賽道紀錄'!A:A=B455, '賽道紀錄'!B:B=C455)-F455"),-1.0184027777777752E-4)</f>
        <v>-0.0001018402778</v>
      </c>
      <c r="K455" s="4"/>
      <c r="L455" s="4" t="s">
        <v>792</v>
      </c>
      <c r="M455" s="82">
        <f t="shared" si="2"/>
        <v>234.333</v>
      </c>
      <c r="N455" s="27">
        <f t="shared" si="3"/>
        <v>0.0027121875</v>
      </c>
    </row>
    <row r="456">
      <c r="A456" s="77">
        <v>45920.0</v>
      </c>
      <c r="B456" s="4" t="s">
        <v>445</v>
      </c>
      <c r="C456" s="4" t="s">
        <v>443</v>
      </c>
      <c r="D456" s="83" t="s">
        <v>224</v>
      </c>
      <c r="E456" s="70" t="s">
        <v>209</v>
      </c>
      <c r="F456" s="80">
        <f t="shared" si="1"/>
        <v>0.002311759259</v>
      </c>
      <c r="G456" s="4" t="s">
        <v>123</v>
      </c>
      <c r="H456" s="4" t="s">
        <v>225</v>
      </c>
      <c r="I456" s="4" t="s">
        <v>226</v>
      </c>
      <c r="J456" s="81">
        <f>IFERROR(__xludf.DUMMYFUNCTION("FILTER('賽道紀錄'!E:E, '賽道紀錄'!A:A=B456, '賽道紀錄'!B:B=C456)-F456"),0.0)</f>
        <v>0</v>
      </c>
      <c r="K456" s="4"/>
      <c r="L456" s="4" t="s">
        <v>793</v>
      </c>
      <c r="M456" s="82">
        <f t="shared" si="2"/>
        <v>199.736</v>
      </c>
      <c r="N456" s="27">
        <f t="shared" si="3"/>
        <v>0.002311759259</v>
      </c>
    </row>
    <row r="457">
      <c r="A457" s="77">
        <v>45920.0</v>
      </c>
      <c r="B457" s="4" t="s">
        <v>445</v>
      </c>
      <c r="C457" s="4" t="s">
        <v>223</v>
      </c>
      <c r="D457" s="83" t="s">
        <v>224</v>
      </c>
      <c r="E457" s="70" t="s">
        <v>209</v>
      </c>
      <c r="F457" s="80">
        <f t="shared" si="1"/>
        <v>0.00113087963</v>
      </c>
      <c r="G457" s="4" t="s">
        <v>123</v>
      </c>
      <c r="H457" s="4" t="s">
        <v>225</v>
      </c>
      <c r="I457" s="4" t="s">
        <v>226</v>
      </c>
      <c r="J457" s="81">
        <f>IFERROR(__xludf.DUMMYFUNCTION("FILTER('賽道紀錄'!E:E, '賽道紀錄'!A:A=B457, '賽道紀錄'!B:B=C457)-F457"),0.0)</f>
        <v>0</v>
      </c>
      <c r="K457" s="4"/>
      <c r="L457" s="4" t="s">
        <v>794</v>
      </c>
      <c r="M457" s="82">
        <f t="shared" si="2"/>
        <v>97.708</v>
      </c>
      <c r="N457" s="27">
        <f t="shared" si="3"/>
        <v>0.00113087963</v>
      </c>
    </row>
    <row r="458">
      <c r="A458" s="77">
        <v>45920.0</v>
      </c>
      <c r="B458" s="4" t="s">
        <v>466</v>
      </c>
      <c r="C458" s="4" t="s">
        <v>381</v>
      </c>
      <c r="D458" s="83" t="s">
        <v>224</v>
      </c>
      <c r="E458" s="70" t="s">
        <v>209</v>
      </c>
      <c r="F458" s="80">
        <f t="shared" si="1"/>
        <v>0.002216678241</v>
      </c>
      <c r="G458" s="4" t="s">
        <v>795</v>
      </c>
      <c r="H458" s="4" t="s">
        <v>225</v>
      </c>
      <c r="I458" s="4" t="s">
        <v>226</v>
      </c>
      <c r="J458" s="81">
        <f>IFERROR(__xludf.DUMMYFUNCTION("FILTER('賽道紀錄'!E:E, '賽道紀錄'!A:A=B458, '賽道紀錄'!B:B=C458)-F458"),0.0)</f>
        <v>0</v>
      </c>
      <c r="K458" s="4"/>
      <c r="L458" s="4" t="s">
        <v>796</v>
      </c>
      <c r="M458" s="82">
        <f t="shared" si="2"/>
        <v>191.521</v>
      </c>
      <c r="N458" s="27">
        <f t="shared" si="3"/>
        <v>0.002216678241</v>
      </c>
    </row>
    <row r="459">
      <c r="A459" s="77">
        <v>45925.0</v>
      </c>
      <c r="B459" s="4" t="s">
        <v>435</v>
      </c>
      <c r="C459" s="4" t="s">
        <v>223</v>
      </c>
      <c r="D459" s="4" t="s">
        <v>720</v>
      </c>
      <c r="E459" s="4" t="s">
        <v>205</v>
      </c>
      <c r="F459" s="80">
        <f t="shared" si="1"/>
        <v>0.003003090278</v>
      </c>
      <c r="G459" s="4" t="s">
        <v>124</v>
      </c>
      <c r="H459" s="4" t="s">
        <v>231</v>
      </c>
      <c r="I459" s="4" t="s">
        <v>226</v>
      </c>
      <c r="J459" s="81">
        <f>IFERROR(__xludf.DUMMYFUNCTION("FILTER('賽道紀錄'!E:E, '賽道紀錄'!A:A=B459, '賽道紀錄'!B:B=C459)-F459"),-5.459143518518517E-4)</f>
        <v>-0.0005459143519</v>
      </c>
      <c r="K459" s="4"/>
      <c r="L459" s="4" t="s">
        <v>797</v>
      </c>
      <c r="M459" s="82">
        <f t="shared" si="2"/>
        <v>259.467</v>
      </c>
      <c r="N459" s="27">
        <f t="shared" si="3"/>
        <v>0.003003090278</v>
      </c>
    </row>
    <row r="460">
      <c r="A460" s="77">
        <v>45926.0</v>
      </c>
      <c r="B460" s="4" t="s">
        <v>593</v>
      </c>
      <c r="D460" s="4" t="s">
        <v>594</v>
      </c>
      <c r="E460" s="4" t="s">
        <v>515</v>
      </c>
      <c r="F460" s="80">
        <f t="shared" si="1"/>
        <v>0.0008796296296</v>
      </c>
      <c r="G460" s="4" t="s">
        <v>127</v>
      </c>
      <c r="H460" s="4" t="s">
        <v>225</v>
      </c>
      <c r="I460" s="4" t="s">
        <v>313</v>
      </c>
      <c r="J460" s="81">
        <f>IFERROR(__xludf.DUMMYFUNCTION("FILTER('賽道紀錄'!E:E, '賽道紀錄'!A:A=B460, '賽道紀錄'!B:B=C460)-F460"),-1.6550925925926043E-5)</f>
        <v>-0.00001655092593</v>
      </c>
      <c r="K460" s="4"/>
      <c r="L460" s="4" t="s">
        <v>798</v>
      </c>
      <c r="M460" s="82">
        <f t="shared" si="2"/>
        <v>76</v>
      </c>
      <c r="N460" s="27">
        <f t="shared" si="3"/>
        <v>0.0008796296296</v>
      </c>
    </row>
    <row r="461">
      <c r="A461" s="77">
        <v>45926.0</v>
      </c>
      <c r="B461" s="4" t="s">
        <v>435</v>
      </c>
      <c r="C461" s="4" t="s">
        <v>223</v>
      </c>
      <c r="D461" s="4" t="s">
        <v>720</v>
      </c>
      <c r="E461" s="4" t="s">
        <v>206</v>
      </c>
      <c r="F461" s="80">
        <f t="shared" si="1"/>
        <v>0.00271681713</v>
      </c>
      <c r="G461" s="5" t="s">
        <v>169</v>
      </c>
      <c r="H461" s="4" t="s">
        <v>231</v>
      </c>
      <c r="I461" s="4" t="s">
        <v>226</v>
      </c>
      <c r="J461" s="81">
        <f>IFERROR(__xludf.DUMMYFUNCTION("FILTER('賽道紀錄'!E:E, '賽道紀錄'!A:A=B461, '賽道紀錄'!B:B=C461)-F461"),-2.5964120370370377E-4)</f>
        <v>-0.0002596412037</v>
      </c>
      <c r="K461" s="4"/>
      <c r="L461" s="4" t="s">
        <v>799</v>
      </c>
      <c r="M461" s="82">
        <f t="shared" si="2"/>
        <v>234.733</v>
      </c>
      <c r="N461" s="27">
        <f t="shared" si="3"/>
        <v>0.00271681713</v>
      </c>
    </row>
    <row r="462">
      <c r="A462" s="77">
        <v>45926.0</v>
      </c>
      <c r="B462" s="4" t="s">
        <v>435</v>
      </c>
      <c r="C462" s="4" t="s">
        <v>223</v>
      </c>
      <c r="D462" s="4" t="s">
        <v>720</v>
      </c>
      <c r="E462" s="4" t="s">
        <v>207</v>
      </c>
      <c r="F462" s="80">
        <f t="shared" si="1"/>
        <v>0.002732256944</v>
      </c>
      <c r="G462" s="4" t="s">
        <v>800</v>
      </c>
      <c r="H462" s="4" t="s">
        <v>225</v>
      </c>
      <c r="I462" s="4" t="s">
        <v>226</v>
      </c>
      <c r="J462" s="81">
        <f>IFERROR(__xludf.DUMMYFUNCTION("FILTER('賽道紀錄'!E:E, '賽道紀錄'!A:A=B462, '賽道紀錄'!B:B=C462)-F462"),-2.750810185185187E-4)</f>
        <v>-0.0002750810185</v>
      </c>
      <c r="K462" s="4"/>
      <c r="L462" s="4" t="s">
        <v>801</v>
      </c>
      <c r="M462" s="82">
        <f t="shared" si="2"/>
        <v>236.067</v>
      </c>
      <c r="N462" s="27">
        <f t="shared" si="3"/>
        <v>0.002732256944</v>
      </c>
    </row>
    <row r="463">
      <c r="A463" s="77">
        <v>45926.0</v>
      </c>
      <c r="B463" s="4" t="s">
        <v>435</v>
      </c>
      <c r="C463" s="4" t="s">
        <v>223</v>
      </c>
      <c r="D463" s="4" t="s">
        <v>720</v>
      </c>
      <c r="E463" s="4" t="s">
        <v>802</v>
      </c>
      <c r="F463" s="80">
        <f t="shared" si="1"/>
        <v>0.002864780093</v>
      </c>
      <c r="G463" s="4" t="s">
        <v>123</v>
      </c>
      <c r="H463" s="4" t="s">
        <v>231</v>
      </c>
      <c r="I463" s="4" t="s">
        <v>226</v>
      </c>
      <c r="J463" s="81">
        <f>IFERROR(__xludf.DUMMYFUNCTION("FILTER('賽道紀錄'!E:E, '賽道紀錄'!A:A=B463, '賽道紀錄'!B:B=C463)-F463"),-4.0760416666666636E-4)</f>
        <v>-0.0004076041667</v>
      </c>
      <c r="K463" s="4"/>
      <c r="L463" s="4" t="s">
        <v>803</v>
      </c>
      <c r="M463" s="82">
        <f t="shared" si="2"/>
        <v>247.517</v>
      </c>
      <c r="N463" s="27">
        <f t="shared" si="3"/>
        <v>0.002864780093</v>
      </c>
    </row>
    <row r="464">
      <c r="A464" s="77">
        <v>45926.0</v>
      </c>
      <c r="B464" s="4" t="s">
        <v>435</v>
      </c>
      <c r="C464" s="4" t="s">
        <v>223</v>
      </c>
      <c r="D464" s="4" t="s">
        <v>720</v>
      </c>
      <c r="E464" s="4" t="s">
        <v>205</v>
      </c>
      <c r="F464" s="80">
        <f t="shared" si="1"/>
        <v>0.003056331019</v>
      </c>
      <c r="G464" s="4" t="s">
        <v>124</v>
      </c>
      <c r="H464" s="4" t="s">
        <v>231</v>
      </c>
      <c r="I464" s="4" t="s">
        <v>226</v>
      </c>
      <c r="J464" s="81">
        <f>IFERROR(__xludf.DUMMYFUNCTION("FILTER('賽道紀錄'!E:E, '賽道紀錄'!A:A=B464, '賽道紀錄'!B:B=C464)-F464"),-5.991550925925925E-4)</f>
        <v>-0.0005991550926</v>
      </c>
      <c r="K464" s="4"/>
      <c r="L464" s="4" t="s">
        <v>804</v>
      </c>
      <c r="M464" s="82">
        <f t="shared" si="2"/>
        <v>264.067</v>
      </c>
      <c r="N464" s="27">
        <f t="shared" si="3"/>
        <v>0.003056331019</v>
      </c>
    </row>
    <row r="465">
      <c r="A465" s="77">
        <v>45927.0</v>
      </c>
      <c r="B465" s="4" t="s">
        <v>435</v>
      </c>
      <c r="C465" s="4" t="s">
        <v>223</v>
      </c>
      <c r="D465" s="4" t="s">
        <v>720</v>
      </c>
      <c r="E465" s="4" t="s">
        <v>205</v>
      </c>
      <c r="F465" s="80">
        <f t="shared" si="1"/>
        <v>0.002934224537</v>
      </c>
      <c r="G465" s="4" t="s">
        <v>124</v>
      </c>
      <c r="H465" s="4" t="s">
        <v>231</v>
      </c>
      <c r="I465" s="4" t="s">
        <v>226</v>
      </c>
      <c r="J465" s="81">
        <f>IFERROR(__xludf.DUMMYFUNCTION("FILTER('賽道紀錄'!E:E, '賽道紀錄'!A:A=B465, '賽道紀錄'!B:B=C465)-F465"),-4.7704861111111125E-4)</f>
        <v>-0.0004770486111</v>
      </c>
      <c r="K465" s="4"/>
      <c r="L465" s="4" t="s">
        <v>805</v>
      </c>
      <c r="M465" s="82">
        <f t="shared" si="2"/>
        <v>253.517</v>
      </c>
      <c r="N465" s="27">
        <f t="shared" si="3"/>
        <v>0.002934224537</v>
      </c>
    </row>
    <row r="466">
      <c r="A466" s="77">
        <v>45928.0</v>
      </c>
      <c r="B466" s="4" t="s">
        <v>435</v>
      </c>
      <c r="C466" s="4" t="s">
        <v>223</v>
      </c>
      <c r="D466" s="4" t="s">
        <v>720</v>
      </c>
      <c r="E466" s="4" t="s">
        <v>208</v>
      </c>
      <c r="F466" s="80">
        <f t="shared" si="1"/>
        <v>0.002700451389</v>
      </c>
      <c r="G466" s="5" t="s">
        <v>169</v>
      </c>
      <c r="H466" s="4" t="s">
        <v>225</v>
      </c>
      <c r="I466" s="4" t="s">
        <v>226</v>
      </c>
      <c r="J466" s="81">
        <f>IFERROR(__xludf.DUMMYFUNCTION("FILTER('賽道紀錄'!E:E, '賽道紀錄'!A:A=B466, '賽道紀錄'!B:B=C466)-F466"),-2.4327546296296293E-4)</f>
        <v>-0.000243275463</v>
      </c>
      <c r="K466" s="4"/>
      <c r="L466" s="4" t="s">
        <v>806</v>
      </c>
      <c r="M466" s="82">
        <f t="shared" si="2"/>
        <v>233.319</v>
      </c>
      <c r="N466" s="27">
        <f t="shared" si="3"/>
        <v>0.002700451389</v>
      </c>
    </row>
    <row r="467">
      <c r="A467" s="77">
        <v>45928.0</v>
      </c>
      <c r="B467" s="4" t="s">
        <v>435</v>
      </c>
      <c r="C467" s="4" t="s">
        <v>223</v>
      </c>
      <c r="D467" s="4" t="s">
        <v>720</v>
      </c>
      <c r="E467" s="4" t="s">
        <v>205</v>
      </c>
      <c r="F467" s="80">
        <f t="shared" si="1"/>
        <v>0.002766782407</v>
      </c>
      <c r="G467" s="5" t="s">
        <v>169</v>
      </c>
      <c r="H467" s="4" t="s">
        <v>231</v>
      </c>
      <c r="I467" s="4" t="s">
        <v>226</v>
      </c>
      <c r="J467" s="81">
        <f>IFERROR(__xludf.DUMMYFUNCTION("FILTER('賽道紀錄'!E:E, '賽道紀錄'!A:A=B467, '賽道紀錄'!B:B=C467)-F467"),-3.0960648148148145E-4)</f>
        <v>-0.0003096064815</v>
      </c>
      <c r="K467" s="4"/>
      <c r="L467" s="4" t="s">
        <v>807</v>
      </c>
      <c r="M467" s="82">
        <f t="shared" si="2"/>
        <v>239.05</v>
      </c>
      <c r="N467" s="27">
        <f t="shared" si="3"/>
        <v>0.002766782407</v>
      </c>
    </row>
    <row r="468">
      <c r="A468" s="77">
        <v>45928.0</v>
      </c>
      <c r="B468" s="4" t="s">
        <v>435</v>
      </c>
      <c r="C468" s="4" t="s">
        <v>223</v>
      </c>
      <c r="D468" s="4" t="s">
        <v>720</v>
      </c>
      <c r="E468" s="4" t="s">
        <v>205</v>
      </c>
      <c r="F468" s="80">
        <f t="shared" si="1"/>
        <v>0.002768518519</v>
      </c>
      <c r="G468" s="5" t="s">
        <v>200</v>
      </c>
      <c r="H468" s="4" t="s">
        <v>231</v>
      </c>
      <c r="I468" s="4" t="s">
        <v>226</v>
      </c>
      <c r="J468" s="81">
        <f>IFERROR(__xludf.DUMMYFUNCTION("FILTER('賽道紀錄'!E:E, '賽道紀錄'!A:A=B468, '賽道紀錄'!B:B=C468)-F468"),-3.1134259259259266E-4)</f>
        <v>-0.0003113425926</v>
      </c>
      <c r="K468" s="4"/>
      <c r="L468" s="4" t="s">
        <v>808</v>
      </c>
      <c r="M468" s="82">
        <f t="shared" si="2"/>
        <v>239.2</v>
      </c>
      <c r="N468" s="27">
        <f t="shared" si="3"/>
        <v>0.002768518519</v>
      </c>
    </row>
    <row r="469">
      <c r="A469" s="77">
        <v>45928.0</v>
      </c>
      <c r="B469" s="4" t="s">
        <v>435</v>
      </c>
      <c r="C469" s="4" t="s">
        <v>223</v>
      </c>
      <c r="D469" s="4" t="s">
        <v>720</v>
      </c>
      <c r="E469" s="4" t="s">
        <v>206</v>
      </c>
      <c r="F469" s="80">
        <f t="shared" si="1"/>
        <v>0.002655868056</v>
      </c>
      <c r="G469" s="5" t="s">
        <v>169</v>
      </c>
      <c r="H469" s="4" t="s">
        <v>231</v>
      </c>
      <c r="I469" s="4" t="s">
        <v>226</v>
      </c>
      <c r="J469" s="81">
        <f>IFERROR(__xludf.DUMMYFUNCTION("FILTER('賽道紀錄'!E:E, '賽道紀錄'!A:A=B469, '賽道紀錄'!B:B=C469)-F469"),-1.9869212962962983E-4)</f>
        <v>-0.0001986921296</v>
      </c>
      <c r="K469" s="4"/>
      <c r="L469" s="4" t="s">
        <v>809</v>
      </c>
      <c r="M469" s="82">
        <f t="shared" si="2"/>
        <v>229.467</v>
      </c>
      <c r="N469" s="27">
        <f t="shared" si="3"/>
        <v>0.002655868056</v>
      </c>
    </row>
    <row r="470">
      <c r="A470" s="77">
        <v>45928.0</v>
      </c>
      <c r="B470" s="4" t="s">
        <v>435</v>
      </c>
      <c r="C470" s="4" t="s">
        <v>223</v>
      </c>
      <c r="D470" s="4" t="s">
        <v>720</v>
      </c>
      <c r="E470" s="4" t="s">
        <v>206</v>
      </c>
      <c r="F470" s="80">
        <f t="shared" si="1"/>
        <v>0.002626550926</v>
      </c>
      <c r="G470" s="4" t="s">
        <v>317</v>
      </c>
      <c r="H470" s="4" t="s">
        <v>231</v>
      </c>
      <c r="I470" s="4" t="s">
        <v>226</v>
      </c>
      <c r="J470" s="81">
        <f>IFERROR(__xludf.DUMMYFUNCTION("FILTER('賽道紀錄'!E:E, '賽道紀錄'!A:A=B470, '賽道紀錄'!B:B=C470)-F470"),-1.6937499999999982E-4)</f>
        <v>-0.000169375</v>
      </c>
      <c r="K470" s="4"/>
      <c r="L470" s="4" t="s">
        <v>810</v>
      </c>
      <c r="M470" s="82">
        <f t="shared" si="2"/>
        <v>226.934</v>
      </c>
      <c r="N470" s="27">
        <f t="shared" si="3"/>
        <v>0.002626550926</v>
      </c>
    </row>
    <row r="471">
      <c r="A471" s="77">
        <v>45928.0</v>
      </c>
      <c r="B471" s="4" t="s">
        <v>435</v>
      </c>
      <c r="C471" s="4" t="s">
        <v>223</v>
      </c>
      <c r="D471" s="4" t="s">
        <v>720</v>
      </c>
      <c r="E471" s="4" t="s">
        <v>489</v>
      </c>
      <c r="F471" s="80">
        <f t="shared" si="1"/>
        <v>0.002636388889</v>
      </c>
      <c r="G471" s="4" t="s">
        <v>800</v>
      </c>
      <c r="H471" s="4" t="s">
        <v>231</v>
      </c>
      <c r="I471" s="4" t="s">
        <v>226</v>
      </c>
      <c r="J471" s="81">
        <f>IFERROR(__xludf.DUMMYFUNCTION("FILTER('賽道紀錄'!E:E, '賽道紀錄'!A:A=B471, '賽道紀錄'!B:B=C471)-F471"),-1.7921296296296305E-4)</f>
        <v>-0.000179212963</v>
      </c>
      <c r="K471" s="4"/>
      <c r="L471" s="4" t="s">
        <v>811</v>
      </c>
      <c r="M471" s="82">
        <f t="shared" si="2"/>
        <v>227.784</v>
      </c>
      <c r="N471" s="27">
        <f t="shared" si="3"/>
        <v>0.002636388889</v>
      </c>
    </row>
    <row r="472">
      <c r="A472" s="77">
        <v>45928.0</v>
      </c>
      <c r="B472" s="4" t="s">
        <v>435</v>
      </c>
      <c r="C472" s="4" t="s">
        <v>223</v>
      </c>
      <c r="D472" s="4" t="s">
        <v>720</v>
      </c>
      <c r="E472" s="4" t="s">
        <v>489</v>
      </c>
      <c r="F472" s="80">
        <f t="shared" si="1"/>
        <v>0.00263162037</v>
      </c>
      <c r="G472" s="5" t="s">
        <v>200</v>
      </c>
      <c r="H472" s="4" t="s">
        <v>231</v>
      </c>
      <c r="I472" s="4" t="s">
        <v>226</v>
      </c>
      <c r="J472" s="81">
        <f>IFERROR(__xludf.DUMMYFUNCTION("FILTER('賽道紀錄'!E:E, '賽道紀錄'!A:A=B472, '賽道紀錄'!B:B=C472)-F472"),-1.7444444444444452E-4)</f>
        <v>-0.0001744444444</v>
      </c>
      <c r="K472" s="4"/>
      <c r="L472" s="4" t="s">
        <v>812</v>
      </c>
      <c r="M472" s="82">
        <f t="shared" si="2"/>
        <v>227.372</v>
      </c>
      <c r="N472" s="27">
        <f t="shared" si="3"/>
        <v>0.00263162037</v>
      </c>
    </row>
    <row r="473">
      <c r="A473" s="77">
        <v>45928.0</v>
      </c>
      <c r="B473" s="4" t="s">
        <v>435</v>
      </c>
      <c r="C473" s="4" t="s">
        <v>223</v>
      </c>
      <c r="D473" s="4" t="s">
        <v>720</v>
      </c>
      <c r="E473" s="4" t="s">
        <v>209</v>
      </c>
      <c r="F473" s="80">
        <f t="shared" si="1"/>
        <v>0.002458912037</v>
      </c>
      <c r="G473" s="4" t="s">
        <v>800</v>
      </c>
      <c r="H473" s="4" t="s">
        <v>231</v>
      </c>
      <c r="I473" s="4" t="s">
        <v>226</v>
      </c>
      <c r="J473" s="81">
        <f>IFERROR(__xludf.DUMMYFUNCTION("FILTER('賽道紀錄'!E:E, '賽道紀錄'!A:A=B473, '賽道紀錄'!B:B=C473)-F473"),-1.7361111111107753E-6)</f>
        <v>-0.000001736111111</v>
      </c>
      <c r="K473" s="4"/>
      <c r="L473" s="4" t="s">
        <v>813</v>
      </c>
      <c r="M473" s="82">
        <f t="shared" si="2"/>
        <v>212.45</v>
      </c>
      <c r="N473" s="27">
        <f t="shared" si="3"/>
        <v>0.002458912037</v>
      </c>
    </row>
    <row r="474">
      <c r="A474" s="77">
        <v>45928.0</v>
      </c>
      <c r="B474" s="4" t="s">
        <v>435</v>
      </c>
      <c r="C474" s="4" t="s">
        <v>223</v>
      </c>
      <c r="D474" s="4" t="s">
        <v>720</v>
      </c>
      <c r="E474" s="83" t="s">
        <v>647</v>
      </c>
      <c r="F474" s="80">
        <f t="shared" si="1"/>
        <v>0.002554976852</v>
      </c>
      <c r="G474" s="4" t="s">
        <v>124</v>
      </c>
      <c r="H474" s="4" t="s">
        <v>231</v>
      </c>
      <c r="I474" s="4" t="s">
        <v>226</v>
      </c>
      <c r="J474" s="81">
        <f>IFERROR(__xludf.DUMMYFUNCTION("FILTER('賽道紀錄'!E:E, '賽道紀錄'!A:A=B474, '賽道紀錄'!B:B=C474)-F474"),-9.780092592592609E-5)</f>
        <v>-0.00009780092593</v>
      </c>
      <c r="K474" s="4"/>
      <c r="L474" s="4" t="s">
        <v>814</v>
      </c>
      <c r="M474" s="82">
        <f t="shared" si="2"/>
        <v>220.75</v>
      </c>
      <c r="N474" s="27">
        <f t="shared" si="3"/>
        <v>0.002554976852</v>
      </c>
    </row>
    <row r="475">
      <c r="A475" s="77">
        <v>45928.0</v>
      </c>
      <c r="B475" s="4" t="s">
        <v>435</v>
      </c>
      <c r="C475" s="4" t="s">
        <v>242</v>
      </c>
      <c r="D475" s="4" t="s">
        <v>720</v>
      </c>
      <c r="E475" s="4" t="s">
        <v>206</v>
      </c>
      <c r="F475" s="80">
        <f t="shared" si="1"/>
        <v>0.002922071759</v>
      </c>
      <c r="G475" s="4" t="s">
        <v>317</v>
      </c>
      <c r="H475" s="4" t="s">
        <v>231</v>
      </c>
      <c r="I475" s="4" t="s">
        <v>226</v>
      </c>
      <c r="J475" s="81">
        <f>IFERROR(__xludf.DUMMYFUNCTION("FILTER('賽道紀錄'!E:E, '賽道紀錄'!A:A=B475, '賽道紀錄'!B:B=C475)-F475"),0.0)</f>
        <v>0</v>
      </c>
      <c r="K475" s="4"/>
      <c r="L475" s="4" t="s">
        <v>815</v>
      </c>
      <c r="M475" s="82">
        <f t="shared" si="2"/>
        <v>252.467</v>
      </c>
      <c r="N475" s="27">
        <f t="shared" si="3"/>
        <v>0.002922071759</v>
      </c>
    </row>
    <row r="476">
      <c r="A476" s="77">
        <v>45931.0</v>
      </c>
      <c r="B476" s="4" t="s">
        <v>445</v>
      </c>
      <c r="C476" s="4" t="s">
        <v>242</v>
      </c>
      <c r="D476" s="4" t="s">
        <v>224</v>
      </c>
      <c r="E476" s="70" t="s">
        <v>207</v>
      </c>
      <c r="F476" s="80">
        <f t="shared" si="1"/>
        <v>0.001241157407</v>
      </c>
      <c r="G476" s="4" t="s">
        <v>197</v>
      </c>
      <c r="H476" s="4" t="s">
        <v>225</v>
      </c>
      <c r="I476" s="4" t="s">
        <v>226</v>
      </c>
      <c r="J476" s="81">
        <f>IFERROR(__xludf.DUMMYFUNCTION("FILTER('賽道紀錄'!E:E, '賽道紀錄'!A:A=B476, '賽道紀錄'!B:B=C476)-F476"),-2.5104166666666764E-5)</f>
        <v>-0.00002510416667</v>
      </c>
      <c r="K476" s="4"/>
      <c r="L476" s="4" t="s">
        <v>816</v>
      </c>
      <c r="M476" s="82">
        <f t="shared" si="2"/>
        <v>107.236</v>
      </c>
      <c r="N476" s="27">
        <f t="shared" si="3"/>
        <v>0.001241157407</v>
      </c>
    </row>
    <row r="477">
      <c r="A477" s="77">
        <v>45931.0</v>
      </c>
      <c r="B477" s="4" t="s">
        <v>237</v>
      </c>
      <c r="C477" s="4" t="s">
        <v>223</v>
      </c>
      <c r="D477" s="4" t="s">
        <v>224</v>
      </c>
      <c r="E477" s="70" t="s">
        <v>207</v>
      </c>
      <c r="F477" s="80">
        <f t="shared" si="1"/>
        <v>0.002443599537</v>
      </c>
      <c r="G477" s="4" t="s">
        <v>183</v>
      </c>
      <c r="H477" s="4" t="s">
        <v>225</v>
      </c>
      <c r="I477" s="4" t="s">
        <v>226</v>
      </c>
      <c r="J477" s="81">
        <f>IFERROR(__xludf.DUMMYFUNCTION("FILTER('賽道紀錄'!E:E, '賽道紀錄'!A:A=B477, '賽道紀錄'!B:B=C477)-F477"),-4.9942129629629815E-5)</f>
        <v>-0.00004994212963</v>
      </c>
      <c r="K477" s="4"/>
      <c r="L477" s="4" t="s">
        <v>817</v>
      </c>
      <c r="M477" s="82">
        <f t="shared" si="2"/>
        <v>211.127</v>
      </c>
      <c r="N477" s="27">
        <f t="shared" si="3"/>
        <v>0.002443599537</v>
      </c>
    </row>
    <row r="478">
      <c r="A478" s="77">
        <v>45931.0</v>
      </c>
      <c r="B478" s="4" t="s">
        <v>445</v>
      </c>
      <c r="C478" s="4" t="s">
        <v>223</v>
      </c>
      <c r="D478" s="4" t="s">
        <v>224</v>
      </c>
      <c r="E478" s="70" t="s">
        <v>207</v>
      </c>
      <c r="F478" s="80">
        <f t="shared" si="1"/>
        <v>0.001157175926</v>
      </c>
      <c r="G478" s="4" t="s">
        <v>197</v>
      </c>
      <c r="H478" s="4" t="s">
        <v>225</v>
      </c>
      <c r="I478" s="4" t="s">
        <v>226</v>
      </c>
      <c r="J478" s="81">
        <f>IFERROR(__xludf.DUMMYFUNCTION("FILTER('賽道紀錄'!E:E, '賽道紀錄'!A:A=B478, '賽道紀錄'!B:B=C478)-F478"),-2.629629629629618E-5)</f>
        <v>-0.0000262962963</v>
      </c>
      <c r="K478" s="4"/>
      <c r="L478" s="4" t="s">
        <v>818</v>
      </c>
      <c r="M478" s="82">
        <f t="shared" si="2"/>
        <v>99.98</v>
      </c>
      <c r="N478" s="27">
        <f t="shared" si="3"/>
        <v>0.001157175926</v>
      </c>
    </row>
    <row r="479">
      <c r="A479" s="77">
        <v>45938.0</v>
      </c>
      <c r="B479" s="4" t="s">
        <v>308</v>
      </c>
      <c r="C479" s="4" t="s">
        <v>223</v>
      </c>
      <c r="D479" s="4" t="s">
        <v>311</v>
      </c>
      <c r="E479" s="4" t="s">
        <v>515</v>
      </c>
      <c r="F479" s="80">
        <f t="shared" si="1"/>
        <v>0.002452719907</v>
      </c>
      <c r="G479" s="4" t="s">
        <v>819</v>
      </c>
      <c r="H479" s="4" t="s">
        <v>225</v>
      </c>
      <c r="I479" s="4" t="s">
        <v>313</v>
      </c>
      <c r="J479" s="81">
        <f>IFERROR(__xludf.DUMMYFUNCTION("FILTER('賽道紀錄'!E:E, '賽道紀錄'!A:A=B479, '賽道紀錄'!B:B=C479)-F479"),-2.6597222222222126E-5)</f>
        <v>-0.00002659722222</v>
      </c>
      <c r="K479" s="4"/>
      <c r="L479" s="4" t="s">
        <v>820</v>
      </c>
      <c r="M479" s="82">
        <f t="shared" si="2"/>
        <v>211.915</v>
      </c>
      <c r="N479" s="27">
        <f t="shared" si="3"/>
        <v>0.002452719907</v>
      </c>
    </row>
    <row r="480">
      <c r="A480" s="77">
        <v>45938.0</v>
      </c>
      <c r="B480" s="4" t="s">
        <v>418</v>
      </c>
      <c r="C480" s="4" t="s">
        <v>419</v>
      </c>
      <c r="D480" s="4" t="s">
        <v>720</v>
      </c>
      <c r="E480" s="4" t="s">
        <v>205</v>
      </c>
      <c r="F480" s="80">
        <f t="shared" si="1"/>
        <v>0.002581793981</v>
      </c>
      <c r="G480" s="4" t="s">
        <v>196</v>
      </c>
      <c r="H480" s="4" t="s">
        <v>231</v>
      </c>
      <c r="I480" s="4" t="s">
        <v>226</v>
      </c>
      <c r="J480" s="81">
        <f>IFERROR(__xludf.DUMMYFUNCTION("FILTER('賽道紀錄'!E:E, '賽道紀錄'!A:A=B480, '賽道紀錄'!B:B=C480)-F480"),-3.3256944444444436E-4)</f>
        <v>-0.0003325694444</v>
      </c>
      <c r="K480" s="4"/>
      <c r="L480" s="4" t="s">
        <v>821</v>
      </c>
      <c r="M480" s="82">
        <f t="shared" si="2"/>
        <v>223.067</v>
      </c>
      <c r="N480" s="27">
        <f t="shared" si="3"/>
        <v>0.002581793981</v>
      </c>
    </row>
    <row r="481">
      <c r="A481" s="77">
        <v>45939.0</v>
      </c>
      <c r="B481" s="4" t="s">
        <v>308</v>
      </c>
      <c r="C481" s="4" t="s">
        <v>223</v>
      </c>
      <c r="D481" s="4" t="s">
        <v>311</v>
      </c>
      <c r="E481" s="4" t="s">
        <v>515</v>
      </c>
      <c r="F481" s="80">
        <f t="shared" si="1"/>
        <v>0.002424664352</v>
      </c>
      <c r="G481" s="4" t="s">
        <v>819</v>
      </c>
      <c r="H481" s="4" t="s">
        <v>225</v>
      </c>
      <c r="I481" s="4" t="s">
        <v>313</v>
      </c>
      <c r="J481" s="81">
        <f>IFERROR(__xludf.DUMMYFUNCTION("FILTER('賽道紀錄'!E:E, '賽道紀錄'!A:A=B481, '賽道紀錄'!B:B=C481)-F481"),1.4583333333333462E-6)</f>
        <v>0.000001458333333</v>
      </c>
      <c r="K481" s="4"/>
      <c r="L481" s="4" t="s">
        <v>822</v>
      </c>
      <c r="M481" s="82">
        <f t="shared" si="2"/>
        <v>209.491</v>
      </c>
      <c r="N481" s="27">
        <f t="shared" si="3"/>
        <v>0.002424664352</v>
      </c>
    </row>
    <row r="482">
      <c r="A482" s="77">
        <v>45943.0</v>
      </c>
      <c r="B482" s="4" t="s">
        <v>593</v>
      </c>
      <c r="D482" s="4" t="s">
        <v>594</v>
      </c>
      <c r="E482" s="4" t="s">
        <v>515</v>
      </c>
      <c r="F482" s="80">
        <f t="shared" si="1"/>
        <v>0.0008780208333</v>
      </c>
      <c r="G482" s="4" t="s">
        <v>127</v>
      </c>
      <c r="H482" s="4" t="s">
        <v>225</v>
      </c>
      <c r="I482" s="4" t="s">
        <v>313</v>
      </c>
      <c r="J482" s="81">
        <f>IFERROR(__xludf.DUMMYFUNCTION("FILTER('賽道紀錄'!E:E, '賽道紀錄'!A:A=B482, '賽道紀錄'!B:B=C482)-F482"),-1.4942129629629832E-5)</f>
        <v>-0.00001494212963</v>
      </c>
      <c r="K482" s="4"/>
      <c r="L482" s="4" t="s">
        <v>823</v>
      </c>
      <c r="M482" s="82">
        <f t="shared" si="2"/>
        <v>75.861</v>
      </c>
      <c r="N482" s="27">
        <f t="shared" si="3"/>
        <v>0.0008780208333</v>
      </c>
    </row>
    <row r="483">
      <c r="A483" s="77">
        <v>45947.0</v>
      </c>
      <c r="B483" s="4" t="s">
        <v>435</v>
      </c>
      <c r="C483" s="4" t="s">
        <v>223</v>
      </c>
      <c r="D483" s="4" t="s">
        <v>720</v>
      </c>
      <c r="E483" s="4" t="s">
        <v>205</v>
      </c>
      <c r="F483" s="80">
        <f t="shared" si="1"/>
        <v>0.002766006944</v>
      </c>
      <c r="G483" s="5" t="s">
        <v>200</v>
      </c>
      <c r="H483" s="4" t="s">
        <v>231</v>
      </c>
      <c r="I483" s="4" t="s">
        <v>226</v>
      </c>
      <c r="J483" s="81">
        <f>IFERROR(__xludf.DUMMYFUNCTION("FILTER('賽道紀錄'!E:E, '賽道紀錄'!A:A=B483, '賽道紀錄'!B:B=C483)-F483"),-3.088310185185186E-4)</f>
        <v>-0.0003088310185</v>
      </c>
      <c r="K483" s="4"/>
      <c r="L483" s="4" t="s">
        <v>824</v>
      </c>
      <c r="M483" s="82">
        <f t="shared" si="2"/>
        <v>238.983</v>
      </c>
      <c r="N483" s="27">
        <f t="shared" si="3"/>
        <v>0.002766006944</v>
      </c>
    </row>
    <row r="484">
      <c r="A484" s="77">
        <v>45947.0</v>
      </c>
      <c r="B484" s="4" t="s">
        <v>435</v>
      </c>
      <c r="C484" s="4" t="s">
        <v>223</v>
      </c>
      <c r="D484" s="4" t="s">
        <v>720</v>
      </c>
      <c r="E484" s="70" t="s">
        <v>207</v>
      </c>
      <c r="F484" s="80">
        <f t="shared" si="1"/>
        <v>0.0026996875</v>
      </c>
      <c r="G484" s="4" t="s">
        <v>317</v>
      </c>
      <c r="H484" s="4" t="s">
        <v>231</v>
      </c>
      <c r="I484" s="4" t="s">
        <v>226</v>
      </c>
      <c r="J484" s="81">
        <f>IFERROR(__xludf.DUMMYFUNCTION("FILTER('賽道紀錄'!E:E, '賽道紀錄'!A:A=B484, '賽道紀錄'!B:B=C484)-F484"),-2.4251157407407424E-4)</f>
        <v>-0.0002425115741</v>
      </c>
      <c r="K484" s="4"/>
      <c r="L484" s="4" t="s">
        <v>825</v>
      </c>
      <c r="M484" s="82">
        <f t="shared" si="2"/>
        <v>233.253</v>
      </c>
      <c r="N484" s="27">
        <f t="shared" si="3"/>
        <v>0.0026996875</v>
      </c>
    </row>
    <row r="485">
      <c r="A485" s="77">
        <v>45947.0</v>
      </c>
      <c r="B485" s="4" t="s">
        <v>435</v>
      </c>
      <c r="C485" s="4" t="s">
        <v>223</v>
      </c>
      <c r="D485" s="4" t="s">
        <v>720</v>
      </c>
      <c r="E485" s="4" t="s">
        <v>209</v>
      </c>
      <c r="F485" s="80">
        <f t="shared" si="1"/>
        <v>0.002457175926</v>
      </c>
      <c r="G485" s="4" t="s">
        <v>800</v>
      </c>
      <c r="H485" s="4" t="s">
        <v>225</v>
      </c>
      <c r="I485" s="4" t="s">
        <v>226</v>
      </c>
      <c r="J485" s="81">
        <f>IFERROR(__xludf.DUMMYFUNCTION("FILTER('賽道紀錄'!E:E, '賽道紀錄'!A:A=B485, '賽道紀錄'!B:B=C485)-F485"),0.0)</f>
        <v>0</v>
      </c>
      <c r="K485" s="4"/>
      <c r="L485" s="4" t="s">
        <v>826</v>
      </c>
      <c r="M485" s="82">
        <f t="shared" si="2"/>
        <v>212.3</v>
      </c>
      <c r="N485" s="27">
        <f t="shared" si="3"/>
        <v>0.002457175926</v>
      </c>
    </row>
    <row r="486">
      <c r="A486" s="77">
        <v>45947.0</v>
      </c>
      <c r="B486" s="4" t="s">
        <v>308</v>
      </c>
      <c r="C486" s="4" t="s">
        <v>223</v>
      </c>
      <c r="D486" s="4" t="s">
        <v>311</v>
      </c>
      <c r="E486" s="4" t="s">
        <v>209</v>
      </c>
      <c r="F486" s="80">
        <f t="shared" si="1"/>
        <v>0.002205729167</v>
      </c>
      <c r="G486" s="4" t="s">
        <v>173</v>
      </c>
      <c r="H486" s="4" t="s">
        <v>225</v>
      </c>
      <c r="I486" s="4" t="s">
        <v>313</v>
      </c>
      <c r="J486" s="81">
        <f>IFERROR(__xludf.DUMMYFUNCTION("FILTER('賽道紀錄'!E:E, '賽道紀錄'!A:A=B486, '賽道紀錄'!B:B=C486)-F486"),2.2039351851851864E-4)</f>
        <v>0.0002203935185</v>
      </c>
      <c r="K486" s="4"/>
      <c r="L486" s="4" t="s">
        <v>827</v>
      </c>
      <c r="M486" s="82">
        <f t="shared" si="2"/>
        <v>190.575</v>
      </c>
      <c r="N486" s="27">
        <f t="shared" si="3"/>
        <v>0.002205729167</v>
      </c>
    </row>
    <row r="487">
      <c r="A487" s="77">
        <v>45948.0</v>
      </c>
      <c r="B487" s="4" t="s">
        <v>473</v>
      </c>
      <c r="C487" s="4" t="s">
        <v>381</v>
      </c>
      <c r="D487" s="4" t="s">
        <v>720</v>
      </c>
      <c r="E487" s="4" t="s">
        <v>205</v>
      </c>
      <c r="F487" s="80">
        <f t="shared" si="1"/>
        <v>0.002518703704</v>
      </c>
      <c r="G487" s="4" t="s">
        <v>171</v>
      </c>
      <c r="H487" s="4" t="s">
        <v>231</v>
      </c>
      <c r="I487" s="4" t="s">
        <v>226</v>
      </c>
      <c r="J487" s="81">
        <f>IFERROR(__xludf.DUMMYFUNCTION("FILTER('賽道紀錄'!E:E, '賽道紀錄'!A:A=B487, '賽道紀錄'!B:B=C487)-F487"),0.0)</f>
        <v>0</v>
      </c>
      <c r="K487" s="4"/>
      <c r="L487" s="4" t="s">
        <v>828</v>
      </c>
      <c r="M487" s="82">
        <f t="shared" si="2"/>
        <v>217.616</v>
      </c>
      <c r="N487" s="27">
        <f t="shared" si="3"/>
        <v>0.002518703704</v>
      </c>
    </row>
    <row r="488">
      <c r="A488" s="77">
        <v>45948.0</v>
      </c>
      <c r="B488" s="4" t="s">
        <v>435</v>
      </c>
      <c r="C488" s="4" t="s">
        <v>223</v>
      </c>
      <c r="D488" s="4" t="s">
        <v>720</v>
      </c>
      <c r="E488" s="4" t="s">
        <v>205</v>
      </c>
      <c r="F488" s="80">
        <f t="shared" si="1"/>
        <v>0.002733599537</v>
      </c>
      <c r="G488" s="5" t="s">
        <v>200</v>
      </c>
      <c r="H488" s="4" t="s">
        <v>231</v>
      </c>
      <c r="I488" s="4" t="s">
        <v>226</v>
      </c>
      <c r="J488" s="81">
        <f>IFERROR(__xludf.DUMMYFUNCTION("FILTER('賽道紀錄'!E:E, '賽道紀錄'!A:A=B488, '賽道紀錄'!B:B=C488)-F488"),-2.7642361111111053E-4)</f>
        <v>-0.0002764236111</v>
      </c>
      <c r="K488" s="4"/>
      <c r="L488" s="4" t="s">
        <v>829</v>
      </c>
      <c r="M488" s="82">
        <f t="shared" si="2"/>
        <v>236.183</v>
      </c>
      <c r="N488" s="27">
        <f t="shared" si="3"/>
        <v>0.002733599537</v>
      </c>
    </row>
    <row r="489">
      <c r="A489" s="77">
        <v>45949.0</v>
      </c>
      <c r="B489" s="4" t="s">
        <v>435</v>
      </c>
      <c r="C489" s="4" t="s">
        <v>223</v>
      </c>
      <c r="D489" s="4" t="s">
        <v>720</v>
      </c>
      <c r="E489" s="4" t="s">
        <v>205</v>
      </c>
      <c r="F489" s="80">
        <f t="shared" si="1"/>
        <v>0.002683449074</v>
      </c>
      <c r="G489" s="5" t="s">
        <v>200</v>
      </c>
      <c r="H489" s="4" t="s">
        <v>231</v>
      </c>
      <c r="I489" s="4" t="s">
        <v>226</v>
      </c>
      <c r="J489" s="81">
        <f>IFERROR(__xludf.DUMMYFUNCTION("FILTER('賽道紀錄'!E:E, '賽道紀錄'!A:A=B489, '賽道紀錄'!B:B=C489)-F489"),-2.262731481481482E-4)</f>
        <v>-0.0002262731481</v>
      </c>
      <c r="K489" s="4"/>
      <c r="L489" s="4" t="s">
        <v>830</v>
      </c>
      <c r="M489" s="82">
        <f t="shared" si="2"/>
        <v>231.85</v>
      </c>
      <c r="N489" s="27">
        <f t="shared" si="3"/>
        <v>0.002683449074</v>
      </c>
    </row>
    <row r="490">
      <c r="A490" s="84">
        <v>45949.0</v>
      </c>
      <c r="B490" s="83" t="s">
        <v>410</v>
      </c>
      <c r="C490" s="83" t="s">
        <v>223</v>
      </c>
      <c r="D490" s="83" t="s">
        <v>205</v>
      </c>
      <c r="E490" s="4" t="s">
        <v>609</v>
      </c>
      <c r="F490" s="80">
        <f t="shared" si="1"/>
        <v>0.008214108796</v>
      </c>
      <c r="G490" s="4" t="s">
        <v>831</v>
      </c>
      <c r="H490" s="4" t="s">
        <v>225</v>
      </c>
      <c r="I490" s="4" t="s">
        <v>313</v>
      </c>
      <c r="J490" s="81">
        <f>IFERROR(__xludf.DUMMYFUNCTION("FILTER('賽道紀錄'!E:E, '賽道紀錄'!A:A=B490, '賽道紀錄'!B:B=C490)-F490"),-0.004343078703703703)</f>
        <v>-0.004343078704</v>
      </c>
      <c r="K490" s="4"/>
      <c r="L490" s="4" t="s">
        <v>832</v>
      </c>
      <c r="M490" s="82">
        <f t="shared" si="2"/>
        <v>709.699</v>
      </c>
      <c r="N490" s="27">
        <f t="shared" si="3"/>
        <v>0.008214108796</v>
      </c>
    </row>
    <row r="491">
      <c r="A491" s="77">
        <v>45950.0</v>
      </c>
      <c r="B491" s="4" t="s">
        <v>435</v>
      </c>
      <c r="C491" s="4" t="s">
        <v>242</v>
      </c>
      <c r="D491" s="4" t="s">
        <v>720</v>
      </c>
      <c r="E491" s="4" t="s">
        <v>205</v>
      </c>
      <c r="F491" s="80">
        <f t="shared" si="1"/>
        <v>0.002994791667</v>
      </c>
      <c r="G491" s="5" t="s">
        <v>200</v>
      </c>
      <c r="H491" s="4" t="s">
        <v>231</v>
      </c>
      <c r="I491" s="4" t="s">
        <v>226</v>
      </c>
      <c r="J491" s="81">
        <f>IFERROR(__xludf.DUMMYFUNCTION("FILTER('賽道紀錄'!E:E, '賽道紀錄'!A:A=B491, '賽道紀錄'!B:B=C491)-F491"),-7.271990740740676E-5)</f>
        <v>-0.00007271990741</v>
      </c>
      <c r="K491" s="4"/>
      <c r="L491" s="4" t="s">
        <v>833</v>
      </c>
      <c r="M491" s="82">
        <f t="shared" si="2"/>
        <v>258.75</v>
      </c>
      <c r="N491" s="27">
        <f t="shared" si="3"/>
        <v>0.002994791667</v>
      </c>
    </row>
    <row r="492">
      <c r="A492" s="77">
        <v>45955.0</v>
      </c>
      <c r="B492" s="4" t="s">
        <v>435</v>
      </c>
      <c r="C492" s="4" t="s">
        <v>223</v>
      </c>
      <c r="D492" s="4" t="s">
        <v>720</v>
      </c>
      <c r="E492" s="4" t="s">
        <v>245</v>
      </c>
      <c r="F492" s="80">
        <f t="shared" si="1"/>
        <v>0.002697986111</v>
      </c>
      <c r="G492" s="4" t="s">
        <v>124</v>
      </c>
      <c r="H492" s="4" t="s">
        <v>231</v>
      </c>
      <c r="I492" s="4" t="s">
        <v>226</v>
      </c>
      <c r="J492" s="81">
        <f>IFERROR(__xludf.DUMMYFUNCTION("FILTER('賽道紀錄'!E:E, '賽道紀錄'!A:A=B492, '賽道紀錄'!B:B=C492)-F492"),-2.4081018518518505E-4)</f>
        <v>-0.0002408101852</v>
      </c>
      <c r="K492" s="4"/>
      <c r="L492" s="4" t="s">
        <v>834</v>
      </c>
      <c r="M492" s="82">
        <f t="shared" si="2"/>
        <v>233.106</v>
      </c>
      <c r="N492" s="27">
        <f t="shared" si="3"/>
        <v>0.002697986111</v>
      </c>
    </row>
    <row r="493">
      <c r="A493" s="77">
        <v>45955.0</v>
      </c>
      <c r="B493" s="4" t="s">
        <v>389</v>
      </c>
      <c r="C493" s="4" t="s">
        <v>223</v>
      </c>
      <c r="D493" s="4" t="s">
        <v>311</v>
      </c>
      <c r="E493" s="4" t="s">
        <v>779</v>
      </c>
      <c r="F493" s="80">
        <f t="shared" si="1"/>
        <v>0.002565960648</v>
      </c>
      <c r="G493" s="4" t="s">
        <v>731</v>
      </c>
      <c r="H493" s="4" t="s">
        <v>225</v>
      </c>
      <c r="I493" s="4" t="s">
        <v>313</v>
      </c>
      <c r="J493" s="81">
        <f>IFERROR(__xludf.DUMMYFUNCTION("FILTER('賽道紀錄'!E:E, '賽道紀錄'!A:A=B493, '賽道紀錄'!B:B=C493)-F493"),0.004378483796296295)</f>
        <v>0.004378483796</v>
      </c>
      <c r="K493" s="4"/>
      <c r="L493" s="4" t="s">
        <v>835</v>
      </c>
      <c r="M493" s="82">
        <f t="shared" si="2"/>
        <v>221.699</v>
      </c>
      <c r="N493" s="27">
        <f t="shared" si="3"/>
        <v>0.002565960648</v>
      </c>
    </row>
    <row r="494">
      <c r="A494" s="77">
        <v>45955.0</v>
      </c>
      <c r="B494" s="4" t="s">
        <v>435</v>
      </c>
      <c r="C494" s="4" t="s">
        <v>223</v>
      </c>
      <c r="D494" s="4" t="s">
        <v>720</v>
      </c>
      <c r="E494" s="4" t="s">
        <v>674</v>
      </c>
      <c r="F494" s="80">
        <f t="shared" si="1"/>
        <v>0.002733287037</v>
      </c>
      <c r="G494" s="5" t="s">
        <v>169</v>
      </c>
      <c r="H494" s="4" t="s">
        <v>225</v>
      </c>
      <c r="I494" s="4" t="s">
        <v>226</v>
      </c>
      <c r="J494" s="81">
        <f>IFERROR(__xludf.DUMMYFUNCTION("FILTER('賽道紀錄'!E:E, '賽道紀錄'!A:A=B494, '賽道紀錄'!B:B=C494)-F494"),-2.761111111111111E-4)</f>
        <v>-0.0002761111111</v>
      </c>
      <c r="K494" s="4"/>
      <c r="L494" s="4" t="s">
        <v>836</v>
      </c>
      <c r="M494" s="82">
        <f t="shared" si="2"/>
        <v>236.156</v>
      </c>
      <c r="N494" s="27">
        <f t="shared" si="3"/>
        <v>0.002733287037</v>
      </c>
    </row>
    <row r="495">
      <c r="A495" s="77">
        <v>45955.0</v>
      </c>
      <c r="B495" s="4" t="s">
        <v>435</v>
      </c>
      <c r="C495" s="4" t="s">
        <v>223</v>
      </c>
      <c r="D495" s="4" t="s">
        <v>720</v>
      </c>
      <c r="E495" s="70" t="s">
        <v>207</v>
      </c>
      <c r="F495" s="80">
        <f t="shared" si="1"/>
        <v>0.002570150463</v>
      </c>
      <c r="G495" s="4" t="s">
        <v>800</v>
      </c>
      <c r="H495" s="4" t="s">
        <v>225</v>
      </c>
      <c r="I495" s="4" t="s">
        <v>226</v>
      </c>
      <c r="J495" s="81">
        <f>IFERROR(__xludf.DUMMYFUNCTION("FILTER('賽道紀錄'!E:E, '賽道紀錄'!A:A=B495, '賽道紀錄'!B:B=C495)-F495"),-1.1297453703703686E-4)</f>
        <v>-0.000112974537</v>
      </c>
      <c r="K495" s="4"/>
      <c r="L495" s="4" t="s">
        <v>837</v>
      </c>
      <c r="M495" s="82">
        <f t="shared" si="2"/>
        <v>222.061</v>
      </c>
      <c r="N495" s="27">
        <f t="shared" si="3"/>
        <v>0.002570150463</v>
      </c>
    </row>
    <row r="496">
      <c r="A496" s="77">
        <v>45956.0</v>
      </c>
      <c r="B496" s="4" t="s">
        <v>418</v>
      </c>
      <c r="C496" s="4" t="s">
        <v>419</v>
      </c>
      <c r="D496" s="4" t="s">
        <v>720</v>
      </c>
      <c r="E496" s="4" t="s">
        <v>205</v>
      </c>
      <c r="F496" s="80">
        <f t="shared" si="1"/>
        <v>0.002691747685</v>
      </c>
      <c r="G496" s="4" t="s">
        <v>838</v>
      </c>
      <c r="H496" s="4" t="s">
        <v>231</v>
      </c>
      <c r="I496" s="4" t="s">
        <v>226</v>
      </c>
      <c r="J496" s="81">
        <f>IFERROR(__xludf.DUMMYFUNCTION("FILTER('賽道紀錄'!E:E, '賽道紀錄'!A:A=B496, '賽道紀錄'!B:B=C496)-F496"),-4.425231481481485E-4)</f>
        <v>-0.0004425231481</v>
      </c>
      <c r="K496" s="4"/>
      <c r="L496" s="4" t="s">
        <v>839</v>
      </c>
      <c r="M496" s="82">
        <f t="shared" si="2"/>
        <v>232.567</v>
      </c>
      <c r="N496" s="27">
        <f t="shared" si="3"/>
        <v>0.002691747685</v>
      </c>
    </row>
    <row r="497">
      <c r="A497" s="77">
        <v>45956.0</v>
      </c>
      <c r="B497" s="4" t="s">
        <v>418</v>
      </c>
      <c r="C497" s="4" t="s">
        <v>419</v>
      </c>
      <c r="D497" s="4" t="s">
        <v>720</v>
      </c>
      <c r="E497" s="4" t="s">
        <v>205</v>
      </c>
      <c r="F497" s="80">
        <f t="shared" si="1"/>
        <v>0.00252931713</v>
      </c>
      <c r="G497" s="4" t="s">
        <v>196</v>
      </c>
      <c r="H497" s="4" t="s">
        <v>231</v>
      </c>
      <c r="I497" s="4" t="s">
        <v>226</v>
      </c>
      <c r="J497" s="81">
        <f>IFERROR(__xludf.DUMMYFUNCTION("FILTER('賽道紀錄'!E:E, '賽道紀錄'!A:A=B497, '賽道紀錄'!B:B=C497)-F497"),-2.8009259259259263E-4)</f>
        <v>-0.0002800925926</v>
      </c>
      <c r="K497" s="4"/>
      <c r="L497" s="4" t="s">
        <v>840</v>
      </c>
      <c r="M497" s="82">
        <f t="shared" si="2"/>
        <v>218.533</v>
      </c>
      <c r="N497" s="27">
        <f t="shared" si="3"/>
        <v>0.00252931713</v>
      </c>
    </row>
    <row r="498">
      <c r="A498" s="77">
        <v>45963.0</v>
      </c>
      <c r="B498" s="4" t="s">
        <v>393</v>
      </c>
      <c r="C498" s="4" t="s">
        <v>223</v>
      </c>
      <c r="D498" s="4" t="s">
        <v>720</v>
      </c>
      <c r="E498" s="4" t="s">
        <v>205</v>
      </c>
      <c r="F498" s="80">
        <f t="shared" si="1"/>
        <v>0.002403553241</v>
      </c>
      <c r="G498" s="4" t="s">
        <v>199</v>
      </c>
      <c r="H498" s="4" t="s">
        <v>231</v>
      </c>
      <c r="I498" s="4" t="s">
        <v>226</v>
      </c>
      <c r="J498" s="81">
        <f>IFERROR(__xludf.DUMMYFUNCTION("FILTER('賽道紀錄'!E:E, '賽道紀錄'!A:A=B498, '賽道紀錄'!B:B=C498)-F498"),0.0)</f>
        <v>0</v>
      </c>
      <c r="K498" s="4"/>
      <c r="L498" s="4" t="s">
        <v>841</v>
      </c>
      <c r="M498" s="82">
        <f t="shared" si="2"/>
        <v>207.667</v>
      </c>
      <c r="N498" s="27">
        <f t="shared" si="3"/>
        <v>0.002403553241</v>
      </c>
    </row>
    <row r="499">
      <c r="A499" s="77">
        <v>45963.0</v>
      </c>
      <c r="B499" s="4" t="s">
        <v>393</v>
      </c>
      <c r="C499" s="4" t="s">
        <v>223</v>
      </c>
      <c r="D499" s="4" t="s">
        <v>720</v>
      </c>
      <c r="E499" s="4" t="s">
        <v>206</v>
      </c>
      <c r="F499" s="80">
        <f t="shared" si="1"/>
        <v>0.002581412037</v>
      </c>
      <c r="G499" s="4" t="s">
        <v>842</v>
      </c>
      <c r="H499" s="4" t="s">
        <v>231</v>
      </c>
      <c r="I499" s="4" t="s">
        <v>226</v>
      </c>
      <c r="J499" s="81">
        <f>IFERROR(__xludf.DUMMYFUNCTION("FILTER('賽道紀錄'!E:E, '賽道紀錄'!A:A=B499, '賽道紀錄'!B:B=C499)-F499"),-1.7785879629629619E-4)</f>
        <v>-0.0001778587963</v>
      </c>
      <c r="K499" s="4"/>
      <c r="L499" s="4" t="s">
        <v>843</v>
      </c>
      <c r="M499" s="82">
        <f t="shared" si="2"/>
        <v>223.034</v>
      </c>
      <c r="N499" s="27">
        <f t="shared" si="3"/>
        <v>0.002581412037</v>
      </c>
    </row>
    <row r="500">
      <c r="A500" s="77">
        <v>45963.0</v>
      </c>
      <c r="B500" s="4" t="s">
        <v>261</v>
      </c>
      <c r="C500" s="4" t="s">
        <v>223</v>
      </c>
      <c r="D500" s="4" t="s">
        <v>720</v>
      </c>
      <c r="E500" s="4" t="s">
        <v>205</v>
      </c>
      <c r="F500" s="80">
        <f t="shared" si="1"/>
        <v>0.003056400463</v>
      </c>
      <c r="G500" s="4" t="s">
        <v>177</v>
      </c>
      <c r="H500" s="4" t="s">
        <v>231</v>
      </c>
      <c r="I500" s="4" t="s">
        <v>226</v>
      </c>
      <c r="J500" s="81">
        <f>IFERROR(__xludf.DUMMYFUNCTION("FILTER('賽道紀錄'!E:E, '賽道紀錄'!A:A=B500, '賽道紀錄'!B:B=C500)-F500"),-3.8253472222222204E-4)</f>
        <v>-0.0003825347222</v>
      </c>
      <c r="K500" s="4"/>
      <c r="L500" s="4" t="s">
        <v>844</v>
      </c>
      <c r="M500" s="82">
        <f t="shared" si="2"/>
        <v>264.073</v>
      </c>
      <c r="N500" s="27">
        <f t="shared" si="3"/>
        <v>0.003056400463</v>
      </c>
    </row>
    <row r="501">
      <c r="A501" s="77">
        <v>45963.0</v>
      </c>
      <c r="B501" s="4" t="s">
        <v>261</v>
      </c>
      <c r="C501" s="4" t="s">
        <v>223</v>
      </c>
      <c r="D501" s="4" t="s">
        <v>720</v>
      </c>
      <c r="E501" s="4" t="s">
        <v>206</v>
      </c>
      <c r="F501" s="80">
        <f t="shared" si="1"/>
        <v>0.002913576389</v>
      </c>
      <c r="G501" s="4" t="s">
        <v>177</v>
      </c>
      <c r="H501" s="4" t="s">
        <v>231</v>
      </c>
      <c r="I501" s="4" t="s">
        <v>226</v>
      </c>
      <c r="J501" s="81">
        <f>IFERROR(__xludf.DUMMYFUNCTION("FILTER('賽道紀錄'!E:E, '賽道紀錄'!A:A=B501, '賽道紀錄'!B:B=C501)-F501"),-2.3971064814814862E-4)</f>
        <v>-0.0002397106481</v>
      </c>
      <c r="K501" s="4"/>
      <c r="L501" s="4" t="s">
        <v>845</v>
      </c>
      <c r="M501" s="82">
        <f t="shared" si="2"/>
        <v>251.733</v>
      </c>
      <c r="N501" s="27">
        <f t="shared" si="3"/>
        <v>0.002913576389</v>
      </c>
    </row>
    <row r="502">
      <c r="A502" s="77">
        <v>45968.0</v>
      </c>
      <c r="B502" s="4" t="s">
        <v>308</v>
      </c>
      <c r="C502" s="4" t="s">
        <v>223</v>
      </c>
      <c r="D502" s="4" t="s">
        <v>311</v>
      </c>
      <c r="E502" s="4" t="s">
        <v>779</v>
      </c>
      <c r="F502" s="80">
        <f t="shared" si="1"/>
        <v>0.002222199074</v>
      </c>
      <c r="G502" s="4" t="s">
        <v>731</v>
      </c>
      <c r="H502" s="4" t="s">
        <v>225</v>
      </c>
      <c r="I502" s="4" t="s">
        <v>313</v>
      </c>
      <c r="J502" s="81">
        <f>IFERROR(__xludf.DUMMYFUNCTION("FILTER('賽道紀錄'!E:E, '賽道紀錄'!A:A=B502, '賽道紀錄'!B:B=C502)-F502"),2.0392361111111132E-4)</f>
        <v>0.0002039236111</v>
      </c>
      <c r="K502" s="4"/>
      <c r="L502" s="4" t="s">
        <v>846</v>
      </c>
      <c r="M502" s="82">
        <f t="shared" si="2"/>
        <v>191.998</v>
      </c>
      <c r="N502" s="27">
        <f t="shared" si="3"/>
        <v>0.002222199074</v>
      </c>
    </row>
    <row r="503">
      <c r="A503" s="77">
        <v>45968.0</v>
      </c>
      <c r="B503" s="4" t="s">
        <v>445</v>
      </c>
      <c r="C503" s="4" t="s">
        <v>441</v>
      </c>
      <c r="D503" s="4" t="s">
        <v>720</v>
      </c>
      <c r="E503" s="4" t="s">
        <v>205</v>
      </c>
      <c r="F503" s="80">
        <f t="shared" si="1"/>
        <v>0.002662233796</v>
      </c>
      <c r="G503" s="4" t="s">
        <v>126</v>
      </c>
      <c r="H503" s="4" t="s">
        <v>231</v>
      </c>
      <c r="I503" s="4" t="s">
        <v>226</v>
      </c>
      <c r="J503" s="81">
        <f>IFERROR(__xludf.DUMMYFUNCTION("FILTER('賽道紀錄'!E:E, '賽道紀錄'!A:A=B503, '賽道紀錄'!B:B=C503)-F503"),-1.288657407407406E-4)</f>
        <v>-0.0001288657407</v>
      </c>
      <c r="K503" s="4"/>
      <c r="L503" s="4" t="s">
        <v>847</v>
      </c>
      <c r="M503" s="82">
        <f t="shared" si="2"/>
        <v>230.017</v>
      </c>
      <c r="N503" s="27">
        <f t="shared" si="3"/>
        <v>0.002662233796</v>
      </c>
    </row>
    <row r="504">
      <c r="A504" s="77">
        <v>45968.0</v>
      </c>
      <c r="B504" s="4" t="s">
        <v>445</v>
      </c>
      <c r="C504" s="4" t="s">
        <v>441</v>
      </c>
      <c r="D504" s="4" t="s">
        <v>720</v>
      </c>
      <c r="E504" s="4" t="s">
        <v>205</v>
      </c>
      <c r="F504" s="80">
        <f t="shared" si="1"/>
        <v>0.0025871875</v>
      </c>
      <c r="G504" s="4" t="s">
        <v>145</v>
      </c>
      <c r="H504" s="4" t="s">
        <v>231</v>
      </c>
      <c r="I504" s="4" t="s">
        <v>226</v>
      </c>
      <c r="J504" s="81">
        <f>IFERROR(__xludf.DUMMYFUNCTION("FILTER('賽道紀錄'!E:E, '賽道紀錄'!A:A=B504, '賽道紀錄'!B:B=C504)-F504"),-5.381944444444401E-5)</f>
        <v>-0.00005381944444</v>
      </c>
      <c r="K504" s="4"/>
      <c r="L504" s="4" t="s">
        <v>848</v>
      </c>
      <c r="M504" s="82">
        <f t="shared" si="2"/>
        <v>223.533</v>
      </c>
      <c r="N504" s="27">
        <f t="shared" si="3"/>
        <v>0.0025871875</v>
      </c>
    </row>
    <row r="505">
      <c r="A505" s="77">
        <v>45968.0</v>
      </c>
      <c r="B505" s="4" t="s">
        <v>445</v>
      </c>
      <c r="C505" s="4" t="s">
        <v>441</v>
      </c>
      <c r="D505" s="4" t="s">
        <v>720</v>
      </c>
      <c r="E505" s="4" t="s">
        <v>205</v>
      </c>
      <c r="F505" s="80">
        <f t="shared" si="1"/>
        <v>0.002533368056</v>
      </c>
      <c r="G505" s="4" t="s">
        <v>169</v>
      </c>
      <c r="H505" s="4" t="s">
        <v>231</v>
      </c>
      <c r="I505" s="4" t="s">
        <v>226</v>
      </c>
      <c r="J505" s="81">
        <f>IFERROR(__xludf.DUMMYFUNCTION("FILTER('賽道紀錄'!E:E, '賽道紀錄'!A:A=B505, '賽道紀錄'!B:B=C505)-F505"),0.0)</f>
        <v>0</v>
      </c>
      <c r="K505" s="4"/>
      <c r="L505" s="4" t="s">
        <v>849</v>
      </c>
      <c r="M505" s="82">
        <f t="shared" si="2"/>
        <v>218.883</v>
      </c>
      <c r="N505" s="27">
        <f t="shared" si="3"/>
        <v>0.002533368056</v>
      </c>
    </row>
    <row r="506">
      <c r="A506" s="77">
        <v>45970.0</v>
      </c>
      <c r="B506" s="4" t="s">
        <v>389</v>
      </c>
      <c r="C506" s="4" t="s">
        <v>223</v>
      </c>
      <c r="D506" s="4" t="s">
        <v>311</v>
      </c>
      <c r="E506" s="4" t="s">
        <v>779</v>
      </c>
      <c r="F506" s="80">
        <f t="shared" si="1"/>
        <v>0.002542025463</v>
      </c>
      <c r="G506" s="4" t="s">
        <v>731</v>
      </c>
      <c r="H506" s="4" t="s">
        <v>225</v>
      </c>
      <c r="I506" s="4" t="s">
        <v>313</v>
      </c>
      <c r="J506" s="81">
        <f>IFERROR(__xludf.DUMMYFUNCTION("FILTER('賽道紀錄'!E:E, '賽道紀錄'!A:A=B506, '賽道紀錄'!B:B=C506)-F506"),0.004402418981481481)</f>
        <v>0.004402418981</v>
      </c>
      <c r="K506" s="4"/>
      <c r="L506" s="4" t="s">
        <v>850</v>
      </c>
      <c r="M506" s="82">
        <f t="shared" si="2"/>
        <v>219.631</v>
      </c>
      <c r="N506" s="27">
        <f t="shared" si="3"/>
        <v>0.002542025463</v>
      </c>
    </row>
    <row r="507">
      <c r="A507" s="77">
        <v>45977.0</v>
      </c>
      <c r="B507" s="4" t="s">
        <v>445</v>
      </c>
      <c r="C507" s="4" t="s">
        <v>446</v>
      </c>
      <c r="D507" s="4" t="s">
        <v>720</v>
      </c>
      <c r="E507" s="4" t="s">
        <v>206</v>
      </c>
      <c r="F507" s="80">
        <f t="shared" si="1"/>
        <v>0.002605127315</v>
      </c>
      <c r="G507" s="4" t="s">
        <v>145</v>
      </c>
      <c r="H507" s="4" t="s">
        <v>231</v>
      </c>
      <c r="I507" s="4" t="s">
        <v>226</v>
      </c>
      <c r="J507" s="81">
        <f>IFERROR(__xludf.DUMMYFUNCTION("FILTER('賽道紀錄'!E:E, '賽道紀錄'!A:A=B507, '賽道紀錄'!B:B=C507)-F507"),-2.2473379629629666E-4)</f>
        <v>-0.0002247337963</v>
      </c>
      <c r="K507" s="4"/>
      <c r="L507" s="4" t="s">
        <v>851</v>
      </c>
      <c r="M507" s="82">
        <f t="shared" si="2"/>
        <v>225.083</v>
      </c>
      <c r="N507" s="27">
        <f t="shared" si="3"/>
        <v>0.002605127315</v>
      </c>
    </row>
    <row r="508">
      <c r="A508" s="77">
        <v>45978.0</v>
      </c>
      <c r="B508" s="4" t="s">
        <v>445</v>
      </c>
      <c r="C508" s="4" t="s">
        <v>223</v>
      </c>
      <c r="D508" s="4" t="s">
        <v>720</v>
      </c>
      <c r="E508" s="4" t="s">
        <v>206</v>
      </c>
      <c r="F508" s="80">
        <f t="shared" si="1"/>
        <v>0.001233020833</v>
      </c>
      <c r="G508" s="4" t="s">
        <v>145</v>
      </c>
      <c r="H508" s="4" t="s">
        <v>231</v>
      </c>
      <c r="I508" s="4" t="s">
        <v>226</v>
      </c>
      <c r="J508" s="81">
        <f>IFERROR(__xludf.DUMMYFUNCTION("FILTER('賽道紀錄'!E:E, '賽道紀錄'!A:A=B508, '賽道紀錄'!B:B=C508)-F508"),-1.0214120370370368E-4)</f>
        <v>-0.0001021412037</v>
      </c>
      <c r="K508" s="4"/>
      <c r="L508" s="4" t="s">
        <v>852</v>
      </c>
      <c r="M508" s="82">
        <f t="shared" si="2"/>
        <v>106.533</v>
      </c>
      <c r="N508" s="27">
        <f t="shared" si="3"/>
        <v>0.001233020833</v>
      </c>
    </row>
    <row r="509">
      <c r="A509" s="77">
        <v>45978.0</v>
      </c>
      <c r="B509" s="4" t="s">
        <v>445</v>
      </c>
      <c r="C509" s="4" t="s">
        <v>242</v>
      </c>
      <c r="D509" s="4" t="s">
        <v>720</v>
      </c>
      <c r="E509" s="4" t="s">
        <v>206</v>
      </c>
      <c r="F509" s="80">
        <f t="shared" si="1"/>
        <v>0.00134375</v>
      </c>
      <c r="G509" s="4" t="s">
        <v>145</v>
      </c>
      <c r="H509" s="4" t="s">
        <v>231</v>
      </c>
      <c r="I509" s="4" t="s">
        <v>226</v>
      </c>
      <c r="J509" s="81">
        <f>IFERROR(__xludf.DUMMYFUNCTION("FILTER('賽道紀錄'!E:E, '賽道紀錄'!A:A=B509, '賽道紀錄'!B:B=C509)-F509"),-1.2769675925925947E-4)</f>
        <v>-0.0001276967593</v>
      </c>
      <c r="K509" s="4"/>
      <c r="L509" s="4" t="s">
        <v>853</v>
      </c>
      <c r="M509" s="82">
        <f t="shared" si="2"/>
        <v>116.1</v>
      </c>
      <c r="N509" s="27">
        <f t="shared" si="3"/>
        <v>0.00134375</v>
      </c>
    </row>
    <row r="510">
      <c r="A510" s="77">
        <v>45978.0</v>
      </c>
      <c r="B510" s="4" t="s">
        <v>445</v>
      </c>
      <c r="C510" s="4" t="s">
        <v>441</v>
      </c>
      <c r="D510" s="4" t="s">
        <v>720</v>
      </c>
      <c r="E510" s="4" t="s">
        <v>205</v>
      </c>
      <c r="F510" s="80">
        <f t="shared" si="1"/>
        <v>0.002703819444</v>
      </c>
      <c r="G510" s="4" t="s">
        <v>854</v>
      </c>
      <c r="H510" s="4" t="s">
        <v>231</v>
      </c>
      <c r="I510" s="4" t="s">
        <v>226</v>
      </c>
      <c r="J510" s="81">
        <f>IFERROR(__xludf.DUMMYFUNCTION("FILTER('賽道紀錄'!E:E, '賽道紀錄'!A:A=B510, '賽道紀錄'!B:B=C510)-F510"),-1.7045138888888882E-4)</f>
        <v>-0.0001704513889</v>
      </c>
      <c r="K510" s="4"/>
      <c r="L510" s="4" t="s">
        <v>855</v>
      </c>
      <c r="M510" s="82">
        <f t="shared" si="2"/>
        <v>233.61</v>
      </c>
      <c r="N510" s="27">
        <f t="shared" si="3"/>
        <v>0.002703819444</v>
      </c>
    </row>
    <row r="511">
      <c r="A511" s="92">
        <v>45978.0</v>
      </c>
      <c r="B511" s="4" t="s">
        <v>856</v>
      </c>
      <c r="C511" s="4" t="s">
        <v>223</v>
      </c>
      <c r="D511" s="4" t="s">
        <v>720</v>
      </c>
      <c r="E511" s="4" t="s">
        <v>206</v>
      </c>
      <c r="F511" s="80">
        <f t="shared" si="1"/>
        <v>0.002515428241</v>
      </c>
      <c r="G511" s="4" t="s">
        <v>126</v>
      </c>
      <c r="H511" s="4" t="s">
        <v>231</v>
      </c>
      <c r="I511" s="4" t="s">
        <v>226</v>
      </c>
      <c r="J511" s="81" t="str">
        <f>IFERROR(__xludf.DUMMYFUNCTION("FILTER('賽道紀錄'!E:E, '賽道紀錄'!A:A=B511, '賽道紀錄'!B:B=C511)-F511"),"#N/A")</f>
        <v>#N/A</v>
      </c>
      <c r="K511" s="4"/>
      <c r="L511" s="4" t="s">
        <v>857</v>
      </c>
      <c r="M511" s="82">
        <f t="shared" si="2"/>
        <v>217.333</v>
      </c>
      <c r="N511" s="27">
        <f t="shared" si="3"/>
        <v>0.002515428241</v>
      </c>
    </row>
    <row r="512">
      <c r="A512" s="77">
        <v>45978.0</v>
      </c>
      <c r="B512" s="4" t="s">
        <v>856</v>
      </c>
      <c r="C512" s="4" t="s">
        <v>223</v>
      </c>
      <c r="D512" s="4" t="s">
        <v>720</v>
      </c>
      <c r="E512" s="4" t="s">
        <v>205</v>
      </c>
      <c r="F512" s="80">
        <f t="shared" si="1"/>
        <v>0.002645451389</v>
      </c>
      <c r="G512" s="4" t="s">
        <v>858</v>
      </c>
      <c r="H512" s="4" t="s">
        <v>231</v>
      </c>
      <c r="I512" s="4" t="s">
        <v>226</v>
      </c>
      <c r="J512" s="81" t="str">
        <f>IFERROR(__xludf.DUMMYFUNCTION("FILTER('賽道紀錄'!E:E, '賽道紀錄'!A:A=B512, '賽道紀錄'!B:B=C512)-F512"),"#N/A")</f>
        <v>#N/A</v>
      </c>
      <c r="K512" s="4"/>
      <c r="L512" s="4" t="s">
        <v>859</v>
      </c>
      <c r="M512" s="82">
        <f t="shared" si="2"/>
        <v>228.567</v>
      </c>
      <c r="N512" s="27">
        <f t="shared" si="3"/>
        <v>0.002645451389</v>
      </c>
    </row>
    <row r="513">
      <c r="A513" s="77">
        <v>45978.0</v>
      </c>
      <c r="B513" s="4" t="s">
        <v>445</v>
      </c>
      <c r="C513" s="4" t="s">
        <v>441</v>
      </c>
      <c r="D513" s="4" t="s">
        <v>720</v>
      </c>
      <c r="E513" s="4" t="s">
        <v>206</v>
      </c>
      <c r="F513" s="80">
        <f t="shared" si="1"/>
        <v>0.002771226852</v>
      </c>
      <c r="G513" s="4" t="s">
        <v>145</v>
      </c>
      <c r="H513" s="4" t="s">
        <v>231</v>
      </c>
      <c r="I513" s="4" t="s">
        <v>226</v>
      </c>
      <c r="J513" s="81">
        <f>IFERROR(__xludf.DUMMYFUNCTION("FILTER('賽道紀錄'!E:E, '賽道紀錄'!A:A=B513, '賽道紀錄'!B:B=C513)-F513"),-2.378587962962959E-4)</f>
        <v>-0.0002378587963</v>
      </c>
      <c r="K513" s="4"/>
      <c r="L513" s="4" t="s">
        <v>860</v>
      </c>
      <c r="M513" s="82">
        <f t="shared" si="2"/>
        <v>239.434</v>
      </c>
      <c r="N513" s="27">
        <f t="shared" si="3"/>
        <v>0.002771226852</v>
      </c>
    </row>
    <row r="514">
      <c r="A514" s="77">
        <v>45982.0</v>
      </c>
      <c r="B514" s="4" t="s">
        <v>723</v>
      </c>
      <c r="C514" s="4" t="s">
        <v>724</v>
      </c>
      <c r="D514" s="4" t="s">
        <v>594</v>
      </c>
      <c r="E514" s="4" t="s">
        <v>515</v>
      </c>
      <c r="F514" s="80">
        <f t="shared" si="1"/>
        <v>0.005130694444</v>
      </c>
      <c r="G514" s="4" t="s">
        <v>317</v>
      </c>
      <c r="H514" s="4" t="s">
        <v>225</v>
      </c>
      <c r="I514" s="4" t="s">
        <v>313</v>
      </c>
      <c r="J514" s="81">
        <f>IFERROR(__xludf.DUMMYFUNCTION("FILTER('賽道紀錄'!E:E, '賽道紀錄'!A:A=B514, '賽道紀錄'!B:B=C514)-F514"),-1.1123842592592522E-4)</f>
        <v>-0.0001112384259</v>
      </c>
      <c r="K514" s="4"/>
      <c r="L514" s="4" t="s">
        <v>861</v>
      </c>
      <c r="M514" s="82">
        <f t="shared" si="2"/>
        <v>443.292</v>
      </c>
      <c r="N514" s="27">
        <f t="shared" si="3"/>
        <v>0.005130694444</v>
      </c>
    </row>
    <row r="515">
      <c r="A515" s="77">
        <v>45984.0</v>
      </c>
      <c r="B515" s="4" t="s">
        <v>862</v>
      </c>
      <c r="C515" s="4" t="s">
        <v>223</v>
      </c>
      <c r="D515" s="83" t="s">
        <v>205</v>
      </c>
      <c r="E515" s="4" t="s">
        <v>205</v>
      </c>
      <c r="F515" s="80">
        <f t="shared" si="1"/>
        <v>0.001382326389</v>
      </c>
      <c r="G515" s="4" t="s">
        <v>151</v>
      </c>
      <c r="H515" s="4" t="s">
        <v>231</v>
      </c>
      <c r="I515" s="4" t="s">
        <v>313</v>
      </c>
      <c r="J515" s="81">
        <f>IFERROR(__xludf.DUMMYFUNCTION("FILTER('賽道紀錄'!E:E, '賽道紀錄'!A:A=B515, '賽道紀錄'!B:B=C515)-F515"),-3.640625E-4)</f>
        <v>-0.0003640625</v>
      </c>
      <c r="K515" s="4"/>
      <c r="L515" s="4" t="s">
        <v>863</v>
      </c>
      <c r="M515" s="82">
        <f t="shared" si="2"/>
        <v>119.433</v>
      </c>
      <c r="N515" s="27">
        <f t="shared" si="3"/>
        <v>0.001382326389</v>
      </c>
    </row>
    <row r="516">
      <c r="A516" s="77">
        <v>45984.0</v>
      </c>
      <c r="B516" s="4" t="s">
        <v>862</v>
      </c>
      <c r="C516" s="4" t="s">
        <v>223</v>
      </c>
      <c r="D516" s="83" t="s">
        <v>205</v>
      </c>
      <c r="E516" s="4" t="s">
        <v>205</v>
      </c>
      <c r="F516" s="80">
        <f t="shared" si="1"/>
        <v>0.001249039352</v>
      </c>
      <c r="G516" s="4" t="s">
        <v>155</v>
      </c>
      <c r="H516" s="4" t="s">
        <v>231</v>
      </c>
      <c r="I516" s="4" t="s">
        <v>313</v>
      </c>
      <c r="J516" s="81">
        <f>IFERROR(__xludf.DUMMYFUNCTION("FILTER('賽道紀錄'!E:E, '賽道紀錄'!A:A=B516, '賽道紀錄'!B:B=C516)-F516"),-2.30775462962963E-4)</f>
        <v>-0.000230775463</v>
      </c>
      <c r="K516" s="4"/>
      <c r="L516" s="4" t="s">
        <v>864</v>
      </c>
      <c r="M516" s="82">
        <f t="shared" si="2"/>
        <v>107.917</v>
      </c>
      <c r="N516" s="27">
        <f t="shared" si="3"/>
        <v>0.001249039352</v>
      </c>
    </row>
    <row r="517">
      <c r="A517" s="77">
        <v>45984.0</v>
      </c>
      <c r="B517" s="4" t="s">
        <v>862</v>
      </c>
      <c r="C517" s="4" t="s">
        <v>223</v>
      </c>
      <c r="D517" s="83" t="s">
        <v>205</v>
      </c>
      <c r="E517" s="4" t="s">
        <v>205</v>
      </c>
      <c r="F517" s="80">
        <f t="shared" si="1"/>
        <v>0.001335648148</v>
      </c>
      <c r="G517" s="4" t="s">
        <v>160</v>
      </c>
      <c r="H517" s="4" t="s">
        <v>231</v>
      </c>
      <c r="I517" s="4" t="s">
        <v>313</v>
      </c>
      <c r="J517" s="81">
        <f>IFERROR(__xludf.DUMMYFUNCTION("FILTER('賽道紀錄'!E:E, '賽道紀錄'!A:A=B517, '賽道紀錄'!B:B=C517)-F517"),-3.1738425925925944E-4)</f>
        <v>-0.0003173842593</v>
      </c>
      <c r="K517" s="4"/>
      <c r="L517" s="4" t="s">
        <v>865</v>
      </c>
      <c r="M517" s="82">
        <f t="shared" si="2"/>
        <v>115.4</v>
      </c>
      <c r="N517" s="27">
        <f t="shared" si="3"/>
        <v>0.001335648148</v>
      </c>
    </row>
    <row r="518">
      <c r="A518" s="77">
        <v>45986.0</v>
      </c>
      <c r="B518" s="4" t="s">
        <v>723</v>
      </c>
      <c r="C518" s="4" t="s">
        <v>724</v>
      </c>
      <c r="D518" s="4" t="s">
        <v>594</v>
      </c>
      <c r="E518" s="4" t="s">
        <v>515</v>
      </c>
      <c r="F518" s="80">
        <f t="shared" si="1"/>
        <v>0.005019456019</v>
      </c>
      <c r="G518" s="4" t="s">
        <v>317</v>
      </c>
      <c r="H518" s="4" t="s">
        <v>225</v>
      </c>
      <c r="I518" s="4" t="s">
        <v>313</v>
      </c>
      <c r="J518" s="81">
        <f>IFERROR(__xludf.DUMMYFUNCTION("FILTER('賽道紀錄'!E:E, '賽道紀錄'!A:A=B518, '賽道紀錄'!B:B=C518)-F518"),0.0)</f>
        <v>0</v>
      </c>
      <c r="K518" s="4"/>
      <c r="L518" s="4" t="s">
        <v>866</v>
      </c>
      <c r="M518" s="82">
        <f t="shared" si="2"/>
        <v>433.681</v>
      </c>
      <c r="N518" s="27">
        <f t="shared" si="3"/>
        <v>0.005019456019</v>
      </c>
    </row>
    <row r="519">
      <c r="A519" s="77">
        <v>45984.0</v>
      </c>
      <c r="B519" s="4" t="s">
        <v>862</v>
      </c>
      <c r="C519" s="4" t="s">
        <v>223</v>
      </c>
      <c r="D519" s="83" t="s">
        <v>205</v>
      </c>
      <c r="E519" s="4" t="s">
        <v>209</v>
      </c>
      <c r="F519" s="80">
        <f t="shared" si="1"/>
        <v>0.001030474537</v>
      </c>
      <c r="G519" s="4" t="s">
        <v>151</v>
      </c>
      <c r="H519" s="4" t="s">
        <v>225</v>
      </c>
      <c r="I519" s="4" t="s">
        <v>313</v>
      </c>
      <c r="J519" s="81">
        <f>IFERROR(__xludf.DUMMYFUNCTION("FILTER('賽道紀錄'!E:E, '賽道紀錄'!A:A=B519, '賽道紀錄'!B:B=C519)-F519"),-1.2210648148148128E-5)</f>
        <v>-0.00001221064815</v>
      </c>
      <c r="K519" s="4"/>
      <c r="L519" s="4" t="s">
        <v>867</v>
      </c>
      <c r="M519" s="82">
        <f t="shared" si="2"/>
        <v>89.033</v>
      </c>
      <c r="N519" s="27">
        <f t="shared" si="3"/>
        <v>0.001030474537</v>
      </c>
    </row>
    <row r="520">
      <c r="A520" s="77">
        <v>45984.0</v>
      </c>
      <c r="B520" s="4" t="s">
        <v>862</v>
      </c>
      <c r="C520" s="4" t="s">
        <v>223</v>
      </c>
      <c r="D520" s="83" t="s">
        <v>205</v>
      </c>
      <c r="E520" s="4" t="s">
        <v>209</v>
      </c>
      <c r="F520" s="80">
        <f t="shared" si="1"/>
        <v>0.001106203704</v>
      </c>
      <c r="G520" s="4" t="s">
        <v>160</v>
      </c>
      <c r="H520" s="4" t="s">
        <v>225</v>
      </c>
      <c r="I520" s="4" t="s">
        <v>313</v>
      </c>
      <c r="J520" s="81">
        <f>IFERROR(__xludf.DUMMYFUNCTION("FILTER('賽道紀錄'!E:E, '賽道紀錄'!A:A=B520, '賽道紀錄'!B:B=C520)-F520"),-8.793981481481478E-5)</f>
        <v>-0.00008793981481</v>
      </c>
      <c r="K520" s="4"/>
      <c r="L520" s="4" t="s">
        <v>868</v>
      </c>
      <c r="M520" s="82">
        <f t="shared" si="2"/>
        <v>95.576</v>
      </c>
      <c r="N520" s="27">
        <f t="shared" si="3"/>
        <v>0.001106203704</v>
      </c>
    </row>
    <row r="521">
      <c r="A521" s="77">
        <v>45984.0</v>
      </c>
      <c r="B521" s="4" t="s">
        <v>862</v>
      </c>
      <c r="C521" s="4" t="s">
        <v>223</v>
      </c>
      <c r="D521" s="83" t="s">
        <v>205</v>
      </c>
      <c r="E521" s="4" t="s">
        <v>205</v>
      </c>
      <c r="F521" s="80">
        <f t="shared" si="1"/>
        <v>0.001430358796</v>
      </c>
      <c r="G521" s="4" t="s">
        <v>155</v>
      </c>
      <c r="H521" s="4" t="s">
        <v>231</v>
      </c>
      <c r="I521" s="4" t="s">
        <v>313</v>
      </c>
      <c r="J521" s="81">
        <f>IFERROR(__xludf.DUMMYFUNCTION("FILTER('賽道紀錄'!E:E, '賽道紀錄'!A:A=B521, '賽道紀錄'!B:B=C521)-F521"),-4.1209490740740724E-4)</f>
        <v>-0.0004120949074</v>
      </c>
      <c r="K521" s="4"/>
      <c r="L521" s="4" t="s">
        <v>869</v>
      </c>
      <c r="M521" s="82">
        <f t="shared" si="2"/>
        <v>123.583</v>
      </c>
      <c r="N521" s="27">
        <f t="shared" si="3"/>
        <v>0.001430358796</v>
      </c>
    </row>
    <row r="522">
      <c r="A522" s="77">
        <v>45984.0</v>
      </c>
      <c r="B522" s="4" t="s">
        <v>862</v>
      </c>
      <c r="C522" s="4" t="s">
        <v>223</v>
      </c>
      <c r="D522" s="83" t="s">
        <v>205</v>
      </c>
      <c r="E522" s="4" t="s">
        <v>205</v>
      </c>
      <c r="F522" s="80">
        <f t="shared" si="1"/>
        <v>0.00144869213</v>
      </c>
      <c r="G522" s="4" t="s">
        <v>870</v>
      </c>
      <c r="H522" s="4" t="s">
        <v>231</v>
      </c>
      <c r="I522" s="4" t="s">
        <v>313</v>
      </c>
      <c r="J522" s="81">
        <f>IFERROR(__xludf.DUMMYFUNCTION("FILTER('賽道紀錄'!E:E, '賽道紀錄'!A:A=B522, '賽道紀錄'!B:B=C522)-F522"),-4.3042824074074077E-4)</f>
        <v>-0.0004304282407</v>
      </c>
      <c r="K522" s="4"/>
      <c r="L522" s="4" t="s">
        <v>871</v>
      </c>
      <c r="M522" s="82">
        <f t="shared" si="2"/>
        <v>125.167</v>
      </c>
      <c r="N522" s="27">
        <f t="shared" si="3"/>
        <v>0.00144869213</v>
      </c>
    </row>
    <row r="523">
      <c r="A523" s="77">
        <v>45984.0</v>
      </c>
      <c r="B523" s="4" t="s">
        <v>862</v>
      </c>
      <c r="C523" s="4" t="s">
        <v>223</v>
      </c>
      <c r="D523" s="83" t="s">
        <v>205</v>
      </c>
      <c r="E523" s="70" t="s">
        <v>872</v>
      </c>
      <c r="F523" s="80">
        <f t="shared" si="1"/>
        <v>0.002517743056</v>
      </c>
      <c r="G523" s="4" t="s">
        <v>165</v>
      </c>
      <c r="H523" s="4" t="s">
        <v>225</v>
      </c>
      <c r="I523" s="4" t="s">
        <v>313</v>
      </c>
      <c r="J523" s="81">
        <f>IFERROR(__xludf.DUMMYFUNCTION("FILTER('賽道紀錄'!E:E, '賽道紀錄'!A:A=B523, '賽道紀錄'!B:B=C523)-F523"),-0.0014994791666666668)</f>
        <v>-0.001499479167</v>
      </c>
      <c r="K523" s="4"/>
      <c r="L523" s="4" t="s">
        <v>873</v>
      </c>
      <c r="M523" s="82">
        <f t="shared" si="2"/>
        <v>217.533</v>
      </c>
      <c r="N523" s="27">
        <f t="shared" si="3"/>
        <v>0.002517743056</v>
      </c>
    </row>
    <row r="524">
      <c r="A524" s="77">
        <v>45988.0</v>
      </c>
      <c r="B524" s="4" t="s">
        <v>862</v>
      </c>
      <c r="C524" s="4" t="s">
        <v>223</v>
      </c>
      <c r="D524" s="83" t="s">
        <v>205</v>
      </c>
      <c r="E524" s="4" t="s">
        <v>205</v>
      </c>
      <c r="F524" s="80">
        <f t="shared" si="1"/>
        <v>0.001181134259</v>
      </c>
      <c r="G524" s="4" t="s">
        <v>160</v>
      </c>
      <c r="H524" s="4" t="s">
        <v>231</v>
      </c>
      <c r="I524" s="4" t="s">
        <v>313</v>
      </c>
      <c r="J524" s="81">
        <f>IFERROR(__xludf.DUMMYFUNCTION("FILTER('賽道紀錄'!E:E, '賽道紀錄'!A:A=B524, '賽道紀錄'!B:B=C524)-F524"),-1.628703703703703E-4)</f>
        <v>-0.0001628703704</v>
      </c>
      <c r="K524" s="4"/>
      <c r="L524" s="4" t="s">
        <v>874</v>
      </c>
      <c r="M524" s="82">
        <f t="shared" si="2"/>
        <v>102.05</v>
      </c>
      <c r="N524" s="27">
        <f t="shared" si="3"/>
        <v>0.001181134259</v>
      </c>
    </row>
    <row r="525">
      <c r="A525" s="77">
        <v>45988.0</v>
      </c>
      <c r="B525" s="4" t="s">
        <v>862</v>
      </c>
      <c r="C525" s="4" t="s">
        <v>223</v>
      </c>
      <c r="D525" s="83" t="s">
        <v>205</v>
      </c>
      <c r="E525" s="4" t="s">
        <v>779</v>
      </c>
      <c r="F525" s="80">
        <f t="shared" si="1"/>
        <v>0.001252303241</v>
      </c>
      <c r="G525" s="4" t="s">
        <v>870</v>
      </c>
      <c r="H525" s="4" t="s">
        <v>225</v>
      </c>
      <c r="I525" s="4" t="s">
        <v>313</v>
      </c>
      <c r="J525" s="81">
        <f>IFERROR(__xludf.DUMMYFUNCTION("FILTER('賽道紀錄'!E:E, '賽道紀錄'!A:A=B525, '賽道紀錄'!B:B=C525)-F525"),-2.340393518518518E-4)</f>
        <v>-0.0002340393519</v>
      </c>
      <c r="K525" s="4"/>
      <c r="L525" s="4" t="s">
        <v>875</v>
      </c>
      <c r="M525" s="82">
        <f t="shared" si="2"/>
        <v>108.199</v>
      </c>
      <c r="N525" s="27">
        <f t="shared" si="3"/>
        <v>0.001252303241</v>
      </c>
    </row>
    <row r="526">
      <c r="A526" s="77">
        <v>45989.0</v>
      </c>
      <c r="B526" s="4" t="s">
        <v>862</v>
      </c>
      <c r="C526" s="4" t="s">
        <v>223</v>
      </c>
      <c r="D526" s="83" t="s">
        <v>205</v>
      </c>
      <c r="E526" s="4" t="s">
        <v>876</v>
      </c>
      <c r="F526" s="80">
        <f t="shared" si="1"/>
        <v>0.00126369213</v>
      </c>
      <c r="G526" s="4" t="s">
        <v>155</v>
      </c>
      <c r="H526" s="4" t="s">
        <v>225</v>
      </c>
      <c r="I526" s="4" t="s">
        <v>313</v>
      </c>
      <c r="J526" s="81">
        <f>IFERROR(__xludf.DUMMYFUNCTION("FILTER('賽道紀錄'!E:E, '賽道紀錄'!A:A=B526, '賽道紀錄'!B:B=C526)-F526"),-2.454282407407407E-4)</f>
        <v>-0.0002454282407</v>
      </c>
      <c r="K526" s="4"/>
      <c r="L526" s="4" t="s">
        <v>877</v>
      </c>
      <c r="M526" s="82">
        <f t="shared" si="2"/>
        <v>109.183</v>
      </c>
      <c r="N526" s="27">
        <f t="shared" si="3"/>
        <v>0.00126369213</v>
      </c>
    </row>
    <row r="527">
      <c r="A527" s="77">
        <v>45989.0</v>
      </c>
      <c r="B527" s="4" t="s">
        <v>862</v>
      </c>
      <c r="C527" s="4" t="s">
        <v>223</v>
      </c>
      <c r="D527" s="83" t="s">
        <v>205</v>
      </c>
      <c r="E527" s="4" t="s">
        <v>878</v>
      </c>
      <c r="F527" s="80">
        <f t="shared" si="1"/>
        <v>0.001448298611</v>
      </c>
      <c r="G527" s="4" t="s">
        <v>160</v>
      </c>
      <c r="H527" s="4" t="s">
        <v>225</v>
      </c>
      <c r="I527" s="4" t="s">
        <v>313</v>
      </c>
      <c r="J527" s="81">
        <f>IFERROR(__xludf.DUMMYFUNCTION("FILTER('賽道紀錄'!E:E, '賽道紀錄'!A:A=B527, '賽道紀錄'!B:B=C527)-F527"),-4.300347222222223E-4)</f>
        <v>-0.0004300347222</v>
      </c>
      <c r="K527" s="4"/>
      <c r="L527" s="4" t="s">
        <v>879</v>
      </c>
      <c r="M527" s="82">
        <f t="shared" si="2"/>
        <v>125.133</v>
      </c>
      <c r="N527" s="27">
        <f t="shared" si="3"/>
        <v>0.001448298611</v>
      </c>
    </row>
    <row r="528">
      <c r="A528" s="77">
        <v>45989.0</v>
      </c>
      <c r="B528" s="4" t="s">
        <v>862</v>
      </c>
      <c r="C528" s="4" t="s">
        <v>223</v>
      </c>
      <c r="D528" s="83" t="s">
        <v>205</v>
      </c>
      <c r="E528" s="4" t="s">
        <v>876</v>
      </c>
      <c r="F528" s="80">
        <f t="shared" si="1"/>
        <v>0.001679016204</v>
      </c>
      <c r="G528" s="4" t="s">
        <v>151</v>
      </c>
      <c r="H528" s="4" t="s">
        <v>225</v>
      </c>
      <c r="I528" s="4" t="s">
        <v>313</v>
      </c>
      <c r="J528" s="81">
        <f>IFERROR(__xludf.DUMMYFUNCTION("FILTER('賽道紀錄'!E:E, '賽道紀錄'!A:A=B528, '賽道紀錄'!B:B=C528)-F528"),-6.607523148148148E-4)</f>
        <v>-0.0006607523148</v>
      </c>
      <c r="K528" s="4"/>
      <c r="L528" s="4" t="s">
        <v>880</v>
      </c>
      <c r="M528" s="82">
        <f t="shared" si="2"/>
        <v>145.067</v>
      </c>
      <c r="N528" s="27">
        <f t="shared" si="3"/>
        <v>0.001679016204</v>
      </c>
    </row>
    <row r="529">
      <c r="A529" s="77">
        <v>45989.0</v>
      </c>
      <c r="B529" s="4" t="s">
        <v>862</v>
      </c>
      <c r="C529" s="4" t="s">
        <v>223</v>
      </c>
      <c r="D529" s="83" t="s">
        <v>205</v>
      </c>
      <c r="E529" s="4" t="s">
        <v>876</v>
      </c>
      <c r="F529" s="80">
        <f t="shared" si="1"/>
        <v>0.002488425926</v>
      </c>
      <c r="G529" s="4" t="s">
        <v>165</v>
      </c>
      <c r="H529" s="4" t="s">
        <v>225</v>
      </c>
      <c r="I529" s="4" t="s">
        <v>313</v>
      </c>
      <c r="J529" s="81">
        <f>IFERROR(__xludf.DUMMYFUNCTION("FILTER('賽道紀錄'!E:E, '賽道紀錄'!A:A=B529, '賽道紀錄'!B:B=C529)-F529"),-0.0014701620370370372)</f>
        <v>-0.001470162037</v>
      </c>
      <c r="K529" s="4"/>
      <c r="L529" s="4" t="s">
        <v>881</v>
      </c>
      <c r="M529" s="82">
        <f t="shared" si="2"/>
        <v>215</v>
      </c>
      <c r="N529" s="27">
        <f t="shared" si="3"/>
        <v>0.002488425926</v>
      </c>
    </row>
    <row r="530">
      <c r="A530" s="77">
        <v>45990.0</v>
      </c>
      <c r="B530" s="4" t="s">
        <v>862</v>
      </c>
      <c r="C530" s="4" t="s">
        <v>223</v>
      </c>
      <c r="D530" s="83" t="s">
        <v>205</v>
      </c>
      <c r="E530" s="4" t="s">
        <v>206</v>
      </c>
      <c r="F530" s="80">
        <f t="shared" si="1"/>
        <v>0.001174189815</v>
      </c>
      <c r="G530" s="4" t="s">
        <v>160</v>
      </c>
      <c r="H530" s="4" t="s">
        <v>231</v>
      </c>
      <c r="I530" s="4" t="s">
        <v>313</v>
      </c>
      <c r="J530" s="81">
        <f>IFERROR(__xludf.DUMMYFUNCTION("FILTER('賽道紀錄'!E:E, '賽道紀錄'!A:A=B530, '賽道紀錄'!B:B=C530)-F530"),-1.559259259259259E-4)</f>
        <v>-0.0001559259259</v>
      </c>
      <c r="K530" s="4"/>
      <c r="L530" s="4" t="s">
        <v>882</v>
      </c>
      <c r="M530" s="82">
        <f t="shared" si="2"/>
        <v>101.45</v>
      </c>
      <c r="N530" s="27">
        <f t="shared" si="3"/>
        <v>0.001174189815</v>
      </c>
    </row>
    <row r="531">
      <c r="A531" s="77">
        <v>45995.0</v>
      </c>
      <c r="B531" s="4" t="s">
        <v>862</v>
      </c>
      <c r="C531" s="4" t="s">
        <v>223</v>
      </c>
      <c r="D531" s="83" t="s">
        <v>205</v>
      </c>
      <c r="E531" s="4" t="s">
        <v>205</v>
      </c>
      <c r="F531" s="80">
        <f t="shared" si="1"/>
        <v>0.00135255787</v>
      </c>
      <c r="G531" s="4" t="s">
        <v>160</v>
      </c>
      <c r="H531" s="4" t="s">
        <v>231</v>
      </c>
      <c r="I531" s="4" t="s">
        <v>313</v>
      </c>
      <c r="J531" s="81">
        <f>IFERROR(__xludf.DUMMYFUNCTION("FILTER('賽道紀錄'!E:E, '賽道紀錄'!A:A=B531, '賽道紀錄'!B:B=C531)-F531"),-3.342939814814814E-4)</f>
        <v>-0.0003342939815</v>
      </c>
      <c r="K531" s="4"/>
      <c r="L531" s="4" t="s">
        <v>883</v>
      </c>
      <c r="M531" s="82">
        <f t="shared" si="2"/>
        <v>116.861</v>
      </c>
      <c r="N531" s="27">
        <f t="shared" si="3"/>
        <v>0.00135255787</v>
      </c>
    </row>
    <row r="532">
      <c r="A532" s="77">
        <v>45995.0</v>
      </c>
      <c r="B532" s="4" t="s">
        <v>862</v>
      </c>
      <c r="C532" s="4" t="s">
        <v>223</v>
      </c>
      <c r="D532" s="83" t="s">
        <v>205</v>
      </c>
      <c r="E532" s="4" t="s">
        <v>728</v>
      </c>
      <c r="F532" s="80">
        <f t="shared" si="1"/>
        <v>0.001784791667</v>
      </c>
      <c r="G532" s="4" t="s">
        <v>155</v>
      </c>
      <c r="H532" s="4" t="s">
        <v>225</v>
      </c>
      <c r="I532" s="4" t="s">
        <v>313</v>
      </c>
      <c r="J532" s="81">
        <f>IFERROR(__xludf.DUMMYFUNCTION("FILTER('賽道紀錄'!E:E, '賽道紀錄'!A:A=B532, '賽道紀錄'!B:B=C532)-F532"),-7.665277777777777E-4)</f>
        <v>-0.0007665277778</v>
      </c>
      <c r="K532" s="4"/>
      <c r="L532" s="4" t="s">
        <v>884</v>
      </c>
      <c r="M532" s="82">
        <f t="shared" si="2"/>
        <v>154.206</v>
      </c>
      <c r="N532" s="27">
        <f t="shared" si="3"/>
        <v>0.001784791667</v>
      </c>
    </row>
    <row r="533">
      <c r="A533" s="77">
        <v>45995.0</v>
      </c>
      <c r="B533" s="4" t="s">
        <v>862</v>
      </c>
      <c r="C533" s="4" t="s">
        <v>223</v>
      </c>
      <c r="D533" s="83" t="s">
        <v>205</v>
      </c>
      <c r="E533" s="4" t="s">
        <v>205</v>
      </c>
      <c r="F533" s="80">
        <f t="shared" si="1"/>
        <v>0.001823298611</v>
      </c>
      <c r="G533" s="4" t="s">
        <v>870</v>
      </c>
      <c r="H533" s="4" t="s">
        <v>231</v>
      </c>
      <c r="I533" s="4" t="s">
        <v>313</v>
      </c>
      <c r="J533" s="81">
        <f>IFERROR(__xludf.DUMMYFUNCTION("FILTER('賽道紀錄'!E:E, '賽道紀錄'!A:A=B533, '賽道紀錄'!B:B=C533)-F533"),-8.05034722222222E-4)</f>
        <v>-0.0008050347222</v>
      </c>
      <c r="K533" s="4"/>
      <c r="L533" s="4" t="s">
        <v>885</v>
      </c>
      <c r="M533" s="82">
        <f t="shared" si="2"/>
        <v>157.533</v>
      </c>
      <c r="N533" s="27">
        <f t="shared" si="3"/>
        <v>0.001823298611</v>
      </c>
    </row>
    <row r="534">
      <c r="A534" s="77">
        <v>45997.0</v>
      </c>
      <c r="B534" s="4" t="s">
        <v>862</v>
      </c>
      <c r="C534" s="4" t="s">
        <v>223</v>
      </c>
      <c r="D534" s="83" t="s">
        <v>205</v>
      </c>
      <c r="E534" s="4" t="s">
        <v>886</v>
      </c>
      <c r="F534" s="80">
        <f t="shared" si="1"/>
        <v>0.001162037037</v>
      </c>
      <c r="G534" s="4" t="s">
        <v>155</v>
      </c>
      <c r="H534" s="4" t="s">
        <v>225</v>
      </c>
      <c r="I534" s="4" t="s">
        <v>313</v>
      </c>
      <c r="J534" s="81">
        <f>IFERROR(__xludf.DUMMYFUNCTION("FILTER('賽道紀錄'!E:E, '賽道紀錄'!A:A=B534, '賽道紀錄'!B:B=C534)-F534"),-1.437731481481483E-4)</f>
        <v>-0.0001437731481</v>
      </c>
      <c r="K534" s="4"/>
      <c r="L534" s="4" t="s">
        <v>887</v>
      </c>
      <c r="M534" s="82">
        <f t="shared" si="2"/>
        <v>100.4</v>
      </c>
      <c r="N534" s="27">
        <f t="shared" si="3"/>
        <v>0.001162037037</v>
      </c>
    </row>
    <row r="535">
      <c r="A535" s="77">
        <v>45997.0</v>
      </c>
      <c r="B535" s="4" t="s">
        <v>862</v>
      </c>
      <c r="C535" s="4" t="s">
        <v>223</v>
      </c>
      <c r="D535" s="83" t="s">
        <v>205</v>
      </c>
      <c r="E535" s="4" t="s">
        <v>888</v>
      </c>
      <c r="F535" s="80">
        <f t="shared" si="1"/>
        <v>0.001293078704</v>
      </c>
      <c r="G535" s="4" t="s">
        <v>160</v>
      </c>
      <c r="H535" s="4" t="s">
        <v>225</v>
      </c>
      <c r="I535" s="4" t="s">
        <v>313</v>
      </c>
      <c r="J535" s="81">
        <f>IFERROR(__xludf.DUMMYFUNCTION("FILTER('賽道紀錄'!E:E, '賽道紀錄'!A:A=B535, '賽道紀錄'!B:B=C535)-F535"),-2.7481481481481476E-4)</f>
        <v>-0.0002748148148</v>
      </c>
      <c r="K535" s="4"/>
      <c r="L535" s="4" t="s">
        <v>889</v>
      </c>
      <c r="M535" s="82">
        <f t="shared" si="2"/>
        <v>111.722</v>
      </c>
      <c r="N535" s="27">
        <f t="shared" si="3"/>
        <v>0.001293078704</v>
      </c>
    </row>
    <row r="536">
      <c r="A536" s="77">
        <v>45997.0</v>
      </c>
      <c r="B536" s="4" t="s">
        <v>862</v>
      </c>
      <c r="C536" s="4" t="s">
        <v>223</v>
      </c>
      <c r="D536" s="83" t="s">
        <v>205</v>
      </c>
      <c r="E536" s="4" t="s">
        <v>890</v>
      </c>
      <c r="F536" s="80">
        <f t="shared" si="1"/>
        <v>0.001388402778</v>
      </c>
      <c r="G536" s="4" t="s">
        <v>870</v>
      </c>
      <c r="H536" s="4" t="s">
        <v>225</v>
      </c>
      <c r="I536" s="4" t="s">
        <v>313</v>
      </c>
      <c r="J536" s="81">
        <f>IFERROR(__xludf.DUMMYFUNCTION("FILTER('賽道紀錄'!E:E, '賽道紀錄'!A:A=B536, '賽道紀錄'!B:B=C536)-F536"),-3.701388888888888E-4)</f>
        <v>-0.0003701388889</v>
      </c>
      <c r="K536" s="4"/>
      <c r="L536" s="4" t="s">
        <v>891</v>
      </c>
      <c r="M536" s="82">
        <f t="shared" si="2"/>
        <v>119.958</v>
      </c>
      <c r="N536" s="27">
        <f t="shared" si="3"/>
        <v>0.001388402778</v>
      </c>
    </row>
    <row r="537">
      <c r="A537" s="77">
        <v>45997.0</v>
      </c>
      <c r="B537" s="4" t="s">
        <v>862</v>
      </c>
      <c r="C537" s="4" t="s">
        <v>223</v>
      </c>
      <c r="D537" s="83" t="s">
        <v>205</v>
      </c>
      <c r="E537" s="4" t="s">
        <v>892</v>
      </c>
      <c r="F537" s="80">
        <f t="shared" si="1"/>
        <v>0.001482662037</v>
      </c>
      <c r="G537" s="4" t="s">
        <v>151</v>
      </c>
      <c r="H537" s="4" t="s">
        <v>225</v>
      </c>
      <c r="I537" s="4" t="s">
        <v>313</v>
      </c>
      <c r="J537" s="81">
        <f>IFERROR(__xludf.DUMMYFUNCTION("FILTER('賽道紀錄'!E:E, '賽道紀錄'!A:A=B537, '賽道紀錄'!B:B=C537)-F537"),-4.64398148148148E-4)</f>
        <v>-0.0004643981481</v>
      </c>
      <c r="K537" s="4"/>
      <c r="L537" s="4" t="s">
        <v>893</v>
      </c>
      <c r="M537" s="82">
        <f t="shared" si="2"/>
        <v>128.102</v>
      </c>
      <c r="N537" s="27">
        <f t="shared" si="3"/>
        <v>0.001482662037</v>
      </c>
    </row>
    <row r="538">
      <c r="A538" s="77">
        <v>45997.0</v>
      </c>
      <c r="B538" s="4" t="s">
        <v>862</v>
      </c>
      <c r="C538" s="4" t="s">
        <v>223</v>
      </c>
      <c r="D538" s="83" t="s">
        <v>205</v>
      </c>
      <c r="E538" s="4" t="s">
        <v>235</v>
      </c>
      <c r="F538" s="80">
        <f t="shared" si="1"/>
        <v>0.002308252315</v>
      </c>
      <c r="G538" s="4" t="s">
        <v>155</v>
      </c>
      <c r="H538" s="4" t="s">
        <v>231</v>
      </c>
      <c r="I538" s="4" t="s">
        <v>313</v>
      </c>
      <c r="J538" s="81">
        <f>IFERROR(__xludf.DUMMYFUNCTION("FILTER('賽道紀錄'!E:E, '賽道紀錄'!A:A=B538, '賽道紀錄'!B:B=C538)-F538"),-0.0012899884259259258)</f>
        <v>-0.001289988426</v>
      </c>
      <c r="K538" s="4"/>
      <c r="L538" s="4" t="s">
        <v>894</v>
      </c>
      <c r="M538" s="82">
        <f t="shared" si="2"/>
        <v>199.433</v>
      </c>
      <c r="N538" s="27">
        <f t="shared" si="3"/>
        <v>0.002308252315</v>
      </c>
    </row>
    <row r="539">
      <c r="A539" s="77">
        <v>45997.0</v>
      </c>
      <c r="B539" s="4" t="s">
        <v>862</v>
      </c>
      <c r="C539" s="4" t="s">
        <v>223</v>
      </c>
      <c r="D539" s="83" t="s">
        <v>205</v>
      </c>
      <c r="E539" s="4" t="s">
        <v>895</v>
      </c>
      <c r="F539" s="80">
        <f t="shared" si="1"/>
        <v>0.003108206019</v>
      </c>
      <c r="G539" s="4" t="s">
        <v>165</v>
      </c>
      <c r="H539" s="4" t="s">
        <v>231</v>
      </c>
      <c r="I539" s="4" t="s">
        <v>313</v>
      </c>
      <c r="J539" s="81">
        <f>IFERROR(__xludf.DUMMYFUNCTION("FILTER('賽道紀錄'!E:E, '賽道紀錄'!A:A=B539, '賽道紀錄'!B:B=C539)-F539"),-0.0020899421296296295)</f>
        <v>-0.00208994213</v>
      </c>
      <c r="K539" s="4"/>
      <c r="L539" s="4" t="s">
        <v>896</v>
      </c>
      <c r="M539" s="82">
        <f t="shared" si="2"/>
        <v>268.549</v>
      </c>
      <c r="N539" s="27">
        <f t="shared" si="3"/>
        <v>0.003108206019</v>
      </c>
    </row>
    <row r="540">
      <c r="A540" s="77">
        <v>45997.0</v>
      </c>
      <c r="B540" s="4" t="s">
        <v>862</v>
      </c>
      <c r="C540" s="4" t="s">
        <v>223</v>
      </c>
      <c r="D540" s="83" t="s">
        <v>205</v>
      </c>
      <c r="E540" s="4" t="s">
        <v>892</v>
      </c>
      <c r="F540" s="80">
        <f t="shared" si="1"/>
        <v>0.001293078704</v>
      </c>
      <c r="G540" s="4" t="s">
        <v>160</v>
      </c>
      <c r="H540" s="4" t="s">
        <v>225</v>
      </c>
      <c r="I540" s="4" t="s">
        <v>313</v>
      </c>
      <c r="J540" s="81">
        <f>IFERROR(__xludf.DUMMYFUNCTION("FILTER('賽道紀錄'!E:E, '賽道紀錄'!A:A=B540, '賽道紀錄'!B:B=C540)-F540"),-2.7481481481481476E-4)</f>
        <v>-0.0002748148148</v>
      </c>
      <c r="K540" s="4"/>
      <c r="L540" s="4" t="s">
        <v>889</v>
      </c>
      <c r="M540" s="82">
        <f t="shared" si="2"/>
        <v>111.722</v>
      </c>
      <c r="N540" s="27">
        <f t="shared" si="3"/>
        <v>0.001293078704</v>
      </c>
    </row>
    <row r="541">
      <c r="A541" s="77">
        <v>45997.0</v>
      </c>
      <c r="B541" s="4" t="s">
        <v>862</v>
      </c>
      <c r="C541" s="4" t="s">
        <v>223</v>
      </c>
      <c r="D541" s="83" t="s">
        <v>205</v>
      </c>
      <c r="E541" s="4" t="s">
        <v>892</v>
      </c>
      <c r="F541" s="80">
        <f t="shared" si="1"/>
        <v>0.00162724537</v>
      </c>
      <c r="G541" s="4" t="s">
        <v>155</v>
      </c>
      <c r="H541" s="4" t="s">
        <v>225</v>
      </c>
      <c r="I541" s="4" t="s">
        <v>313</v>
      </c>
      <c r="J541" s="81">
        <f>IFERROR(__xludf.DUMMYFUNCTION("FILTER('賽道紀錄'!E:E, '賽道紀錄'!A:A=B541, '賽道紀錄'!B:B=C541)-F541"),-6.089814814814814E-4)</f>
        <v>-0.0006089814815</v>
      </c>
      <c r="K541" s="4"/>
      <c r="L541" s="4" t="s">
        <v>897</v>
      </c>
      <c r="M541" s="82">
        <f t="shared" si="2"/>
        <v>140.594</v>
      </c>
      <c r="N541" s="27">
        <f t="shared" si="3"/>
        <v>0.00162724537</v>
      </c>
    </row>
    <row r="542">
      <c r="A542" s="77">
        <v>45997.0</v>
      </c>
      <c r="B542" s="4" t="s">
        <v>862</v>
      </c>
      <c r="C542" s="4" t="s">
        <v>223</v>
      </c>
      <c r="D542" s="83" t="s">
        <v>205</v>
      </c>
      <c r="E542" s="4" t="s">
        <v>888</v>
      </c>
      <c r="F542" s="80">
        <f t="shared" si="1"/>
        <v>0.001086678241</v>
      </c>
      <c r="G542" s="4" t="s">
        <v>151</v>
      </c>
      <c r="H542" s="4" t="s">
        <v>225</v>
      </c>
      <c r="I542" s="4" t="s">
        <v>313</v>
      </c>
      <c r="J542" s="81">
        <f>IFERROR(__xludf.DUMMYFUNCTION("FILTER('賽道紀錄'!E:E, '賽道紀錄'!A:A=B542, '賽道紀錄'!B:B=C542)-F542"),-6.841435185185184E-5)</f>
        <v>-0.00006841435185</v>
      </c>
      <c r="K542" s="4"/>
      <c r="L542" s="4" t="s">
        <v>898</v>
      </c>
      <c r="M542" s="82">
        <f t="shared" si="2"/>
        <v>93.889</v>
      </c>
      <c r="N542" s="27">
        <f t="shared" si="3"/>
        <v>0.001086678241</v>
      </c>
    </row>
    <row r="543">
      <c r="A543" s="86">
        <v>45997.0</v>
      </c>
      <c r="B543" s="83" t="s">
        <v>862</v>
      </c>
      <c r="C543" s="93" t="s">
        <v>223</v>
      </c>
      <c r="D543" s="83" t="s">
        <v>205</v>
      </c>
      <c r="E543" s="70" t="s">
        <v>209</v>
      </c>
      <c r="F543" s="88">
        <f t="shared" si="1"/>
        <v>0.001018263889</v>
      </c>
      <c r="G543" s="83" t="s">
        <v>151</v>
      </c>
      <c r="H543" s="83" t="s">
        <v>225</v>
      </c>
      <c r="I543" s="83" t="s">
        <v>313</v>
      </c>
      <c r="J543" s="81">
        <f>IFERROR(__xludf.DUMMYFUNCTION("FILTER('賽道紀錄'!E:E, '賽道紀錄'!A:A=B543, '賽道紀錄'!B:B=C543)-F543"),0.0)</f>
        <v>0</v>
      </c>
      <c r="K543" s="70"/>
      <c r="L543" s="70" t="s">
        <v>899</v>
      </c>
      <c r="M543" s="90">
        <f t="shared" si="2"/>
        <v>87.978</v>
      </c>
      <c r="N543" s="91">
        <f t="shared" si="3"/>
        <v>0.001018263889</v>
      </c>
      <c r="O543" s="83"/>
      <c r="P543" s="83"/>
      <c r="Q543" s="83"/>
      <c r="R543" s="83"/>
      <c r="S543" s="83"/>
      <c r="T543" s="83"/>
      <c r="U543" s="83"/>
      <c r="V543" s="83"/>
      <c r="W543" s="83"/>
      <c r="X543" s="83"/>
      <c r="Y543" s="83"/>
      <c r="Z543" s="83"/>
      <c r="AA543" s="83"/>
      <c r="AB543" s="83"/>
      <c r="AC543" s="83"/>
      <c r="AD543" s="83"/>
    </row>
    <row r="544">
      <c r="A544" s="86">
        <v>45997.0</v>
      </c>
      <c r="B544" s="83" t="s">
        <v>862</v>
      </c>
      <c r="C544" s="93" t="s">
        <v>223</v>
      </c>
      <c r="D544" s="83" t="s">
        <v>205</v>
      </c>
      <c r="E544" s="70" t="s">
        <v>900</v>
      </c>
      <c r="F544" s="88">
        <f t="shared" si="1"/>
        <v>0.001293078704</v>
      </c>
      <c r="G544" s="83" t="s">
        <v>151</v>
      </c>
      <c r="H544" s="83" t="s">
        <v>225</v>
      </c>
      <c r="I544" s="83" t="s">
        <v>313</v>
      </c>
      <c r="J544" s="81">
        <f>IFERROR(__xludf.DUMMYFUNCTION("FILTER('賽道紀錄'!E:E, '賽道紀錄'!A:A=B544, '賽道紀錄'!B:B=C544)-F544"),-2.7481481481481476E-4)</f>
        <v>-0.0002748148148</v>
      </c>
      <c r="K544" s="70"/>
      <c r="L544" s="70" t="s">
        <v>889</v>
      </c>
      <c r="M544" s="90">
        <f t="shared" si="2"/>
        <v>111.722</v>
      </c>
      <c r="N544" s="91">
        <f t="shared" si="3"/>
        <v>0.001293078704</v>
      </c>
      <c r="O544" s="83"/>
      <c r="P544" s="83"/>
      <c r="Q544" s="83"/>
      <c r="R544" s="83"/>
      <c r="S544" s="83"/>
      <c r="T544" s="83"/>
      <c r="U544" s="83"/>
      <c r="V544" s="83"/>
      <c r="W544" s="83"/>
      <c r="X544" s="83"/>
      <c r="Y544" s="83"/>
      <c r="Z544" s="83"/>
      <c r="AA544" s="83"/>
      <c r="AB544" s="83"/>
      <c r="AC544" s="83"/>
      <c r="AD544" s="83"/>
    </row>
    <row r="545">
      <c r="A545" s="77">
        <v>45997.0</v>
      </c>
      <c r="B545" s="4" t="s">
        <v>862</v>
      </c>
      <c r="C545" s="4" t="s">
        <v>223</v>
      </c>
      <c r="D545" s="83" t="s">
        <v>205</v>
      </c>
      <c r="E545" s="4" t="s">
        <v>235</v>
      </c>
      <c r="F545" s="80">
        <f t="shared" si="1"/>
        <v>0.001295138889</v>
      </c>
      <c r="G545" s="4" t="s">
        <v>870</v>
      </c>
      <c r="H545" s="4" t="s">
        <v>231</v>
      </c>
      <c r="I545" s="4" t="s">
        <v>313</v>
      </c>
      <c r="J545" s="81">
        <f>IFERROR(__xludf.DUMMYFUNCTION("FILTER('賽道紀錄'!E:E, '賽道紀錄'!A:A=B545, '賽道紀錄'!B:B=C545)-F545"),-2.76875E-4)</f>
        <v>-0.000276875</v>
      </c>
      <c r="K545" s="4"/>
      <c r="L545" s="4" t="s">
        <v>901</v>
      </c>
      <c r="M545" s="82">
        <f t="shared" si="2"/>
        <v>111.9</v>
      </c>
      <c r="N545" s="27">
        <f t="shared" si="3"/>
        <v>0.001295138889</v>
      </c>
    </row>
    <row r="546">
      <c r="A546" s="77">
        <v>45997.0</v>
      </c>
      <c r="B546" s="4" t="s">
        <v>862</v>
      </c>
      <c r="C546" s="4" t="s">
        <v>223</v>
      </c>
      <c r="D546" s="83" t="s">
        <v>205</v>
      </c>
      <c r="E546" s="4" t="s">
        <v>888</v>
      </c>
      <c r="F546" s="80">
        <f t="shared" si="1"/>
        <v>0.001313171296</v>
      </c>
      <c r="G546" s="4" t="s">
        <v>155</v>
      </c>
      <c r="H546" s="4" t="s">
        <v>225</v>
      </c>
      <c r="I546" s="4" t="s">
        <v>313</v>
      </c>
      <c r="J546" s="81">
        <f>IFERROR(__xludf.DUMMYFUNCTION("FILTER('賽道紀錄'!E:E, '賽道紀錄'!A:A=B546, '賽道紀錄'!B:B=C546)-F546"),-2.949074074074076E-4)</f>
        <v>-0.0002949074074</v>
      </c>
      <c r="K546" s="4"/>
      <c r="L546" s="4" t="s">
        <v>902</v>
      </c>
      <c r="M546" s="82">
        <f t="shared" si="2"/>
        <v>113.458</v>
      </c>
      <c r="N546" s="27">
        <f t="shared" si="3"/>
        <v>0.001313171296</v>
      </c>
    </row>
    <row r="547">
      <c r="A547" s="77">
        <v>45997.0</v>
      </c>
      <c r="B547" s="4" t="s">
        <v>862</v>
      </c>
      <c r="C547" s="4" t="s">
        <v>223</v>
      </c>
      <c r="D547" s="83" t="s">
        <v>205</v>
      </c>
      <c r="E547" s="4" t="s">
        <v>235</v>
      </c>
      <c r="F547" s="80">
        <f t="shared" si="1"/>
        <v>0.00287318287</v>
      </c>
      <c r="G547" s="4" t="s">
        <v>165</v>
      </c>
      <c r="H547" s="4" t="s">
        <v>231</v>
      </c>
      <c r="I547" s="4" t="s">
        <v>313</v>
      </c>
      <c r="J547" s="81">
        <f>IFERROR(__xludf.DUMMYFUNCTION("FILTER('賽道紀錄'!E:E, '賽道紀錄'!A:A=B547, '賽道紀錄'!B:B=C547)-F547"),-0.0018549189814814813)</f>
        <v>-0.001854918981</v>
      </c>
      <c r="K547" s="4"/>
      <c r="L547" s="4" t="s">
        <v>903</v>
      </c>
      <c r="M547" s="82">
        <f t="shared" si="2"/>
        <v>248.243</v>
      </c>
      <c r="N547" s="27">
        <f t="shared" si="3"/>
        <v>0.00287318287</v>
      </c>
    </row>
    <row r="548">
      <c r="A548" s="77">
        <v>45999.0</v>
      </c>
      <c r="B548" s="4" t="s">
        <v>862</v>
      </c>
      <c r="C548" s="4" t="s">
        <v>223</v>
      </c>
      <c r="D548" s="83" t="s">
        <v>205</v>
      </c>
      <c r="E548" s="4" t="s">
        <v>886</v>
      </c>
      <c r="F548" s="80">
        <f t="shared" si="1"/>
        <v>0.001142743056</v>
      </c>
      <c r="G548" s="4" t="s">
        <v>155</v>
      </c>
      <c r="H548" s="4" t="s">
        <v>225</v>
      </c>
      <c r="I548" s="4" t="s">
        <v>313</v>
      </c>
      <c r="J548" s="81">
        <f>IFERROR(__xludf.DUMMYFUNCTION("FILTER('賽道紀錄'!E:E, '賽道紀錄'!A:A=B548, '賽道紀錄'!B:B=C548)-F548"),-1.2447916666666662E-4)</f>
        <v>-0.0001244791667</v>
      </c>
      <c r="K548" s="4"/>
      <c r="L548" s="4" t="s">
        <v>904</v>
      </c>
      <c r="M548" s="82">
        <f t="shared" si="2"/>
        <v>98.733</v>
      </c>
      <c r="N548" s="27">
        <f t="shared" si="3"/>
        <v>0.001142743056</v>
      </c>
    </row>
    <row r="549">
      <c r="A549" s="77">
        <v>45999.0</v>
      </c>
      <c r="B549" s="4" t="s">
        <v>862</v>
      </c>
      <c r="C549" s="4" t="s">
        <v>223</v>
      </c>
      <c r="D549" s="83" t="s">
        <v>205</v>
      </c>
      <c r="E549" s="83" t="s">
        <v>205</v>
      </c>
      <c r="F549" s="80">
        <f t="shared" si="1"/>
        <v>0.001079664352</v>
      </c>
      <c r="G549" s="4" t="s">
        <v>151</v>
      </c>
      <c r="H549" s="4" t="s">
        <v>231</v>
      </c>
      <c r="I549" s="4" t="s">
        <v>313</v>
      </c>
      <c r="J549" s="81">
        <f>IFERROR(__xludf.DUMMYFUNCTION("FILTER('賽道紀錄'!E:E, '賽道紀錄'!A:A=B549, '賽道紀錄'!B:B=C549)-F549"),-6.140046296296297E-5)</f>
        <v>-0.00006140046296</v>
      </c>
      <c r="K549" s="4"/>
      <c r="L549" s="4" t="s">
        <v>905</v>
      </c>
      <c r="M549" s="82">
        <f t="shared" si="2"/>
        <v>93.283</v>
      </c>
      <c r="N549" s="27">
        <f t="shared" si="3"/>
        <v>0.001079664352</v>
      </c>
    </row>
    <row r="550">
      <c r="A550" s="77">
        <v>45999.0</v>
      </c>
      <c r="B550" s="4" t="s">
        <v>862</v>
      </c>
      <c r="C550" s="4" t="s">
        <v>223</v>
      </c>
      <c r="D550" s="83" t="s">
        <v>205</v>
      </c>
      <c r="E550" s="4" t="s">
        <v>779</v>
      </c>
      <c r="F550" s="80">
        <f t="shared" si="1"/>
        <v>0.001018287037</v>
      </c>
      <c r="G550" s="4" t="s">
        <v>151</v>
      </c>
      <c r="H550" s="4" t="s">
        <v>225</v>
      </c>
      <c r="I550" s="4" t="s">
        <v>313</v>
      </c>
      <c r="J550" s="81">
        <f>IFERROR(__xludf.DUMMYFUNCTION("FILTER('賽道紀錄'!E:E, '賽道紀錄'!A:A=B550, '賽道紀錄'!B:B=C550)-F550"),-2.3148148148082956E-8)</f>
        <v>-0.00000002314814815</v>
      </c>
      <c r="K550" s="4"/>
      <c r="L550" s="4" t="s">
        <v>906</v>
      </c>
      <c r="M550" s="82">
        <f t="shared" si="2"/>
        <v>87.98</v>
      </c>
      <c r="N550" s="27">
        <f t="shared" si="3"/>
        <v>0.001018287037</v>
      </c>
    </row>
    <row r="551">
      <c r="A551" s="77">
        <v>45999.0</v>
      </c>
      <c r="B551" s="4" t="s">
        <v>862</v>
      </c>
      <c r="C551" s="4" t="s">
        <v>223</v>
      </c>
      <c r="D551" s="83" t="s">
        <v>205</v>
      </c>
      <c r="E551" s="4" t="s">
        <v>229</v>
      </c>
      <c r="F551" s="80">
        <f t="shared" si="1"/>
        <v>0.001377719907</v>
      </c>
      <c r="G551" s="4" t="s">
        <v>160</v>
      </c>
      <c r="H551" s="4" t="s">
        <v>231</v>
      </c>
      <c r="I551" s="4" t="s">
        <v>313</v>
      </c>
      <c r="J551" s="81">
        <f>IFERROR(__xludf.DUMMYFUNCTION("FILTER('賽道紀錄'!E:E, '賽道紀錄'!A:A=B551, '賽道紀錄'!B:B=C551)-F551"),-3.594560185185185E-4)</f>
        <v>-0.0003594560185</v>
      </c>
      <c r="K551" s="4"/>
      <c r="L551" s="4" t="s">
        <v>907</v>
      </c>
      <c r="M551" s="82">
        <f t="shared" si="2"/>
        <v>119.035</v>
      </c>
      <c r="N551" s="27">
        <f t="shared" si="3"/>
        <v>0.001377719907</v>
      </c>
    </row>
    <row r="552">
      <c r="A552" s="77">
        <v>45999.0</v>
      </c>
      <c r="B552" s="4" t="s">
        <v>862</v>
      </c>
      <c r="C552" s="4" t="s">
        <v>223</v>
      </c>
      <c r="D552" s="83" t="s">
        <v>205</v>
      </c>
      <c r="E552" s="4" t="s">
        <v>229</v>
      </c>
      <c r="F552" s="80">
        <f t="shared" si="1"/>
        <v>0.001446006944</v>
      </c>
      <c r="G552" s="4" t="s">
        <v>870</v>
      </c>
      <c r="H552" s="4" t="s">
        <v>231</v>
      </c>
      <c r="I552" s="4" t="s">
        <v>313</v>
      </c>
      <c r="J552" s="81">
        <f>IFERROR(__xludf.DUMMYFUNCTION("FILTER('賽道紀錄'!E:E, '賽道紀錄'!A:A=B552, '賽道紀錄'!B:B=C552)-F552"),-4.2774305555555556E-4)</f>
        <v>-0.0004277430556</v>
      </c>
      <c r="K552" s="4"/>
      <c r="L552" s="4" t="s">
        <v>908</v>
      </c>
      <c r="M552" s="82">
        <f t="shared" si="2"/>
        <v>124.935</v>
      </c>
      <c r="N552" s="27">
        <f t="shared" si="3"/>
        <v>0.001446006944</v>
      </c>
    </row>
    <row r="553">
      <c r="A553" s="77">
        <v>45999.0</v>
      </c>
      <c r="B553" s="4" t="s">
        <v>862</v>
      </c>
      <c r="C553" s="4" t="s">
        <v>223</v>
      </c>
      <c r="D553" s="83" t="s">
        <v>205</v>
      </c>
      <c r="E553" s="83" t="s">
        <v>205</v>
      </c>
      <c r="F553" s="80">
        <f t="shared" si="1"/>
        <v>0.001456597222</v>
      </c>
      <c r="G553" s="4" t="s">
        <v>155</v>
      </c>
      <c r="H553" s="4" t="s">
        <v>231</v>
      </c>
      <c r="I553" s="4" t="s">
        <v>313</v>
      </c>
      <c r="J553" s="81">
        <f>IFERROR(__xludf.DUMMYFUNCTION("FILTER('賽道紀錄'!E:E, '賽道紀錄'!A:A=B553, '賽道紀錄'!B:B=C553)-F553"),-4.383333333333333E-4)</f>
        <v>-0.0004383333333</v>
      </c>
      <c r="K553" s="4"/>
      <c r="L553" s="4" t="s">
        <v>909</v>
      </c>
      <c r="M553" s="82">
        <f t="shared" si="2"/>
        <v>125.85</v>
      </c>
      <c r="N553" s="27">
        <f t="shared" si="3"/>
        <v>0.001456597222</v>
      </c>
    </row>
    <row r="554">
      <c r="A554" s="92">
        <v>46003.0</v>
      </c>
      <c r="B554" s="4" t="s">
        <v>632</v>
      </c>
      <c r="D554" s="4" t="s">
        <v>594</v>
      </c>
      <c r="E554" s="4" t="s">
        <v>515</v>
      </c>
      <c r="F554" s="80">
        <f t="shared" si="1"/>
        <v>0.0007785185185</v>
      </c>
      <c r="G554" s="4" t="s">
        <v>127</v>
      </c>
      <c r="H554" s="4" t="s">
        <v>225</v>
      </c>
      <c r="I554" s="4" t="s">
        <v>313</v>
      </c>
      <c r="J554" s="81">
        <f>IFERROR(__xludf.DUMMYFUNCTION("FILTER('賽道紀錄'!E:E, '賽道紀錄'!A:A=B554, '賽道紀錄'!B:B=C554)-F554"),-5.6944444444444425E-5)</f>
        <v>-0.00005694444444</v>
      </c>
      <c r="K554" s="4"/>
      <c r="L554" s="4" t="s">
        <v>910</v>
      </c>
      <c r="M554" s="82">
        <f t="shared" si="2"/>
        <v>67.264</v>
      </c>
      <c r="N554" s="27">
        <f t="shared" si="3"/>
        <v>0.0007785185185</v>
      </c>
    </row>
    <row r="555">
      <c r="A555" s="92">
        <v>46014.0</v>
      </c>
      <c r="B555" s="4" t="s">
        <v>911</v>
      </c>
      <c r="E555" s="4" t="s">
        <v>515</v>
      </c>
      <c r="F555" s="80">
        <f t="shared" si="1"/>
        <v>0.001084270833</v>
      </c>
      <c r="G555" s="4" t="s">
        <v>127</v>
      </c>
      <c r="H555" s="4" t="s">
        <v>225</v>
      </c>
      <c r="I555" s="4" t="s">
        <v>313</v>
      </c>
      <c r="J555" s="81" t="str">
        <f>IFERROR(__xludf.DUMMYFUNCTION("FILTER('賽道紀錄'!E:E, '賽道紀錄'!A:A=B555, '賽道紀錄'!B:B=C555)-F555"),"#VALUE!")</f>
        <v>#VALUE!</v>
      </c>
      <c r="K555" s="4"/>
      <c r="L555" s="4" t="s">
        <v>912</v>
      </c>
      <c r="M555" s="82">
        <f t="shared" si="2"/>
        <v>93.681</v>
      </c>
      <c r="N555" s="27">
        <f t="shared" si="3"/>
        <v>0.001084270833</v>
      </c>
    </row>
    <row r="556">
      <c r="A556" s="92">
        <v>46026.0</v>
      </c>
      <c r="B556" s="4" t="s">
        <v>593</v>
      </c>
      <c r="D556" s="4" t="s">
        <v>594</v>
      </c>
      <c r="E556" s="4" t="s">
        <v>515</v>
      </c>
      <c r="F556" s="80">
        <f t="shared" si="1"/>
        <v>0.0008630787037</v>
      </c>
      <c r="G556" s="4" t="s">
        <v>127</v>
      </c>
      <c r="H556" s="4" t="s">
        <v>225</v>
      </c>
      <c r="I556" s="4" t="s">
        <v>313</v>
      </c>
      <c r="J556" s="81">
        <f>IFERROR(__xludf.DUMMYFUNCTION("FILTER('賽道紀錄'!E:E, '賽道紀錄'!A:A=B556, '賽道紀錄'!B:B=C556)-F556"),0.0)</f>
        <v>0</v>
      </c>
      <c r="K556" s="4"/>
      <c r="L556" s="4" t="s">
        <v>913</v>
      </c>
      <c r="M556" s="82">
        <f t="shared" si="2"/>
        <v>74.57</v>
      </c>
      <c r="N556" s="27">
        <f t="shared" si="3"/>
        <v>0.0008630787037</v>
      </c>
    </row>
    <row r="557">
      <c r="A557" s="77">
        <v>46067.0</v>
      </c>
      <c r="B557" s="4" t="s">
        <v>914</v>
      </c>
      <c r="C557" s="4" t="s">
        <v>223</v>
      </c>
      <c r="E557" s="4" t="s">
        <v>229</v>
      </c>
      <c r="F557" s="80">
        <f t="shared" si="1"/>
        <v>0.001514976852</v>
      </c>
      <c r="G557" s="4" t="s">
        <v>915</v>
      </c>
      <c r="H557" s="4" t="s">
        <v>225</v>
      </c>
      <c r="I557" s="4" t="s">
        <v>313</v>
      </c>
      <c r="J557" s="81">
        <f>IFERROR(__xludf.DUMMYFUNCTION("FILTER('賽道紀錄'!E:E, '賽道紀錄'!A:A=B557, '賽道紀錄'!B:B=C557)-F557"),-3.148726851851852E-4)</f>
        <v>-0.0003148726852</v>
      </c>
      <c r="K557" s="4"/>
      <c r="L557" s="4" t="s">
        <v>916</v>
      </c>
      <c r="M557" s="82">
        <f t="shared" si="2"/>
        <v>130.894</v>
      </c>
      <c r="N557" s="27">
        <f t="shared" si="3"/>
        <v>0.001514976852</v>
      </c>
    </row>
    <row r="558">
      <c r="A558" s="77">
        <v>46067.0</v>
      </c>
      <c r="B558" s="4" t="s">
        <v>914</v>
      </c>
      <c r="C558" s="4" t="s">
        <v>223</v>
      </c>
      <c r="E558" s="70" t="s">
        <v>602</v>
      </c>
      <c r="F558" s="80">
        <f t="shared" si="1"/>
        <v>0.001394027778</v>
      </c>
      <c r="G558" s="4" t="s">
        <v>917</v>
      </c>
      <c r="H558" s="4" t="s">
        <v>225</v>
      </c>
      <c r="I558" s="4" t="s">
        <v>313</v>
      </c>
      <c r="J558" s="81">
        <f>IFERROR(__xludf.DUMMYFUNCTION("FILTER('賽道紀錄'!E:E, '賽道紀錄'!A:A=B558, '賽道紀錄'!B:B=C558)-F558"),-1.939236111111113E-4)</f>
        <v>-0.0001939236111</v>
      </c>
      <c r="K558" s="4"/>
      <c r="L558" s="4" t="s">
        <v>918</v>
      </c>
      <c r="M558" s="82">
        <f t="shared" si="2"/>
        <v>120.444</v>
      </c>
      <c r="N558" s="27">
        <f t="shared" si="3"/>
        <v>0.001394027778</v>
      </c>
    </row>
    <row r="559">
      <c r="A559" s="77">
        <v>46067.0</v>
      </c>
      <c r="B559" s="4" t="s">
        <v>914</v>
      </c>
      <c r="C559" s="4" t="s">
        <v>223</v>
      </c>
      <c r="E559" s="83" t="s">
        <v>205</v>
      </c>
      <c r="F559" s="80">
        <f t="shared" si="1"/>
        <v>0.001641585648</v>
      </c>
      <c r="G559" s="4" t="s">
        <v>919</v>
      </c>
      <c r="H559" s="4" t="s">
        <v>231</v>
      </c>
      <c r="I559" s="4" t="s">
        <v>313</v>
      </c>
      <c r="J559" s="81">
        <f>IFERROR(__xludf.DUMMYFUNCTION("FILTER('賽道紀錄'!E:E, '賽道紀錄'!A:A=B559, '賽道紀錄'!B:B=C559)-F559"),-4.414814814814815E-4)</f>
        <v>-0.0004414814815</v>
      </c>
      <c r="K559" s="4"/>
      <c r="L559" s="4" t="s">
        <v>920</v>
      </c>
      <c r="M559" s="82">
        <f t="shared" si="2"/>
        <v>141.833</v>
      </c>
      <c r="N559" s="27">
        <f t="shared" si="3"/>
        <v>0.001641585648</v>
      </c>
    </row>
    <row r="560">
      <c r="A560" s="77">
        <v>46068.0</v>
      </c>
      <c r="B560" s="4" t="s">
        <v>325</v>
      </c>
      <c r="C560" s="4" t="s">
        <v>223</v>
      </c>
      <c r="D560" s="4" t="s">
        <v>720</v>
      </c>
      <c r="E560" s="4" t="s">
        <v>206</v>
      </c>
      <c r="F560" s="80">
        <f t="shared" si="1"/>
        <v>0.002357638889</v>
      </c>
      <c r="G560" s="4" t="s">
        <v>190</v>
      </c>
      <c r="H560" s="4" t="s">
        <v>231</v>
      </c>
      <c r="I560" s="4" t="s">
        <v>226</v>
      </c>
      <c r="J560" s="81">
        <f>IFERROR(__xludf.DUMMYFUNCTION("FILTER('賽道紀錄'!E:E, '賽道紀錄'!A:A=B560, '賽道紀錄'!B:B=C560)-F560"),-1.8531249999999971E-4)</f>
        <v>-0.0001853125</v>
      </c>
      <c r="K560" s="4"/>
      <c r="L560" s="4" t="s">
        <v>921</v>
      </c>
      <c r="M560" s="82">
        <f t="shared" si="2"/>
        <v>203.7</v>
      </c>
      <c r="N560" s="27">
        <f t="shared" si="3"/>
        <v>0.002357638889</v>
      </c>
    </row>
    <row r="561" ht="15.0" customHeight="1">
      <c r="A561" s="77">
        <v>46068.0</v>
      </c>
      <c r="B561" s="4" t="s">
        <v>325</v>
      </c>
      <c r="C561" s="4" t="s">
        <v>223</v>
      </c>
      <c r="D561" s="4" t="s">
        <v>720</v>
      </c>
      <c r="E561" s="4" t="s">
        <v>206</v>
      </c>
      <c r="F561" s="80">
        <f t="shared" si="1"/>
        <v>0.002344467593</v>
      </c>
      <c r="G561" s="5" t="s">
        <v>153</v>
      </c>
      <c r="H561" s="4" t="s">
        <v>231</v>
      </c>
      <c r="I561" s="4" t="s">
        <v>226</v>
      </c>
      <c r="J561" s="81">
        <f>IFERROR(__xludf.DUMMYFUNCTION("FILTER('賽道紀錄'!E:E, '賽道紀錄'!A:A=B561, '賽道紀錄'!B:B=C561)-F561"),-1.7214120370370387E-4)</f>
        <v>-0.0001721412037</v>
      </c>
      <c r="K561" s="4"/>
      <c r="L561" s="4" t="s">
        <v>922</v>
      </c>
      <c r="M561" s="82">
        <f t="shared" si="2"/>
        <v>202.562</v>
      </c>
      <c r="N561" s="27">
        <f t="shared" si="3"/>
        <v>0.002344467593</v>
      </c>
    </row>
    <row r="562" ht="15.0" customHeight="1">
      <c r="A562" s="77">
        <v>46068.0</v>
      </c>
      <c r="B562" s="4" t="s">
        <v>325</v>
      </c>
      <c r="C562" s="4" t="s">
        <v>223</v>
      </c>
      <c r="D562" s="4" t="s">
        <v>720</v>
      </c>
      <c r="E562" s="4" t="s">
        <v>206</v>
      </c>
      <c r="F562" s="80">
        <f t="shared" si="1"/>
        <v>0.002327349537</v>
      </c>
      <c r="G562" s="4" t="s">
        <v>126</v>
      </c>
      <c r="H562" s="4" t="s">
        <v>231</v>
      </c>
      <c r="I562" s="4" t="s">
        <v>226</v>
      </c>
      <c r="J562" s="81">
        <f>IFERROR(__xludf.DUMMYFUNCTION("FILTER('賽道紀錄'!E:E, '賽道紀錄'!A:A=B562, '賽道紀錄'!B:B=C562)-F562"),-1.5502314814814806E-4)</f>
        <v>-0.0001550231481</v>
      </c>
      <c r="K562" s="4"/>
      <c r="L562" s="4" t="s">
        <v>923</v>
      </c>
      <c r="M562" s="82">
        <f t="shared" si="2"/>
        <v>201.083</v>
      </c>
      <c r="N562" s="27">
        <f t="shared" si="3"/>
        <v>0.002327349537</v>
      </c>
    </row>
    <row r="563" ht="15.0" customHeight="1">
      <c r="A563" s="77">
        <v>46074.0</v>
      </c>
      <c r="B563" s="4" t="s">
        <v>418</v>
      </c>
      <c r="C563" s="4" t="s">
        <v>419</v>
      </c>
      <c r="D563" s="4" t="s">
        <v>720</v>
      </c>
      <c r="E563" s="83" t="s">
        <v>205</v>
      </c>
      <c r="F563" s="80">
        <f t="shared" si="1"/>
        <v>0.002595868056</v>
      </c>
      <c r="G563" s="4" t="s">
        <v>196</v>
      </c>
      <c r="H563" s="4" t="s">
        <v>231</v>
      </c>
      <c r="I563" s="4" t="s">
        <v>226</v>
      </c>
      <c r="J563" s="81">
        <f>IFERROR(__xludf.DUMMYFUNCTION("FILTER('賽道紀錄'!E:E, '賽道紀錄'!A:A=B563, '賽道紀錄'!B:B=C563)-F563"),-3.466435185185187E-4)</f>
        <v>-0.0003466435185</v>
      </c>
      <c r="K563" s="4"/>
      <c r="L563" s="4" t="s">
        <v>518</v>
      </c>
      <c r="M563" s="82">
        <f t="shared" si="2"/>
        <v>224.283</v>
      </c>
      <c r="N563" s="27">
        <f t="shared" si="3"/>
        <v>0.002595868056</v>
      </c>
    </row>
    <row r="564" ht="15.0" customHeight="1">
      <c r="A564" s="77">
        <v>46074.0</v>
      </c>
      <c r="B564" s="4" t="s">
        <v>418</v>
      </c>
      <c r="C564" s="4" t="s">
        <v>419</v>
      </c>
      <c r="D564" s="4" t="s">
        <v>720</v>
      </c>
      <c r="E564" s="83" t="s">
        <v>205</v>
      </c>
      <c r="F564" s="80">
        <f t="shared" si="1"/>
        <v>0.002541087963</v>
      </c>
      <c r="G564" s="5" t="s">
        <v>148</v>
      </c>
      <c r="H564" s="4" t="s">
        <v>231</v>
      </c>
      <c r="I564" s="4" t="s">
        <v>226</v>
      </c>
      <c r="J564" s="81">
        <f>IFERROR(__xludf.DUMMYFUNCTION("FILTER('賽道紀錄'!E:E, '賽道紀錄'!A:A=B564, '賽道紀錄'!B:B=C564)-F564"),-2.918634259259263E-4)</f>
        <v>-0.0002918634259</v>
      </c>
      <c r="K564" s="4"/>
      <c r="L564" s="4" t="s">
        <v>924</v>
      </c>
      <c r="M564" s="82">
        <f t="shared" si="2"/>
        <v>219.55</v>
      </c>
      <c r="N564" s="27">
        <f t="shared" si="3"/>
        <v>0.002541087963</v>
      </c>
    </row>
    <row r="565">
      <c r="A565" s="86">
        <v>45997.0</v>
      </c>
      <c r="B565" s="83" t="s">
        <v>862</v>
      </c>
      <c r="C565" s="93" t="s">
        <v>223</v>
      </c>
      <c r="D565" s="83" t="s">
        <v>205</v>
      </c>
      <c r="E565" s="4" t="s">
        <v>229</v>
      </c>
      <c r="F565" s="88">
        <f t="shared" si="1"/>
        <v>0.001081631944</v>
      </c>
      <c r="G565" s="83" t="s">
        <v>151</v>
      </c>
      <c r="H565" s="83" t="s">
        <v>225</v>
      </c>
      <c r="I565" s="83" t="s">
        <v>313</v>
      </c>
      <c r="J565" s="81">
        <f>IFERROR(__xludf.DUMMYFUNCTION("FILTER('賽道紀錄'!E:E, '賽道紀錄'!A:A=B565, '賽道紀錄'!B:B=C565)-F565"),-6.336805555555566E-5)</f>
        <v>-0.00006336805556</v>
      </c>
      <c r="K565" s="70"/>
      <c r="L565" s="70" t="s">
        <v>925</v>
      </c>
      <c r="M565" s="90">
        <f t="shared" si="2"/>
        <v>93.453</v>
      </c>
      <c r="N565" s="91">
        <f t="shared" si="3"/>
        <v>0.001081631944</v>
      </c>
      <c r="O565" s="83"/>
      <c r="P565" s="83"/>
      <c r="Q565" s="83"/>
      <c r="R565" s="83"/>
      <c r="S565" s="83"/>
      <c r="T565" s="83"/>
      <c r="U565" s="83"/>
      <c r="V565" s="83"/>
      <c r="W565" s="83"/>
      <c r="X565" s="83"/>
      <c r="Y565" s="83"/>
      <c r="Z565" s="83"/>
      <c r="AA565" s="83"/>
      <c r="AB565" s="83"/>
      <c r="AC565" s="83"/>
      <c r="AD565" s="83"/>
    </row>
    <row r="566">
      <c r="A566" s="86">
        <v>45997.0</v>
      </c>
      <c r="B566" s="83" t="s">
        <v>862</v>
      </c>
      <c r="C566" s="93" t="s">
        <v>223</v>
      </c>
      <c r="D566" s="83" t="s">
        <v>205</v>
      </c>
      <c r="E566" s="70" t="s">
        <v>208</v>
      </c>
      <c r="F566" s="88">
        <f t="shared" si="1"/>
        <v>0.001228981481</v>
      </c>
      <c r="G566" s="5" t="s">
        <v>155</v>
      </c>
      <c r="H566" s="83" t="s">
        <v>225</v>
      </c>
      <c r="I566" s="83" t="s">
        <v>313</v>
      </c>
      <c r="J566" s="81">
        <f>IFERROR(__xludf.DUMMYFUNCTION("FILTER('賽道紀錄'!E:E, '賽道紀錄'!A:A=B566, '賽道紀錄'!B:B=C566)-F566"),-2.1071759259259264E-4)</f>
        <v>-0.0002107175926</v>
      </c>
      <c r="K566" s="70"/>
      <c r="L566" s="70" t="s">
        <v>926</v>
      </c>
      <c r="M566" s="90">
        <f t="shared" si="2"/>
        <v>106.184</v>
      </c>
      <c r="N566" s="91">
        <f t="shared" si="3"/>
        <v>0.001228981481</v>
      </c>
      <c r="O566" s="83"/>
      <c r="P566" s="83"/>
      <c r="Q566" s="83"/>
      <c r="R566" s="83"/>
      <c r="S566" s="83"/>
      <c r="T566" s="83"/>
      <c r="U566" s="83"/>
      <c r="V566" s="83"/>
      <c r="W566" s="83"/>
      <c r="X566" s="83"/>
      <c r="Y566" s="83"/>
      <c r="Z566" s="83"/>
      <c r="AA566" s="83"/>
      <c r="AB566" s="83"/>
      <c r="AC566" s="83"/>
      <c r="AD566" s="83"/>
    </row>
    <row r="567">
      <c r="A567" s="86">
        <v>45997.0</v>
      </c>
      <c r="B567" s="83" t="s">
        <v>862</v>
      </c>
      <c r="C567" s="93" t="s">
        <v>223</v>
      </c>
      <c r="D567" s="83" t="s">
        <v>205</v>
      </c>
      <c r="E567" s="70" t="s">
        <v>208</v>
      </c>
      <c r="F567" s="88">
        <f t="shared" si="1"/>
        <v>0.001391944444</v>
      </c>
      <c r="G567" s="5" t="s">
        <v>160</v>
      </c>
      <c r="H567" s="83" t="s">
        <v>225</v>
      </c>
      <c r="I567" s="83" t="s">
        <v>313</v>
      </c>
      <c r="J567" s="81">
        <f>IFERROR(__xludf.DUMMYFUNCTION("FILTER('賽道紀錄'!E:E, '賽道紀錄'!A:A=B567, '賽道紀錄'!B:B=C567)-F567"),-3.736805555555557E-4)</f>
        <v>-0.0003736805556</v>
      </c>
      <c r="K567" s="70"/>
      <c r="L567" s="70" t="s">
        <v>927</v>
      </c>
      <c r="M567" s="90">
        <f t="shared" si="2"/>
        <v>120.264</v>
      </c>
      <c r="N567" s="91">
        <f t="shared" si="3"/>
        <v>0.001391944444</v>
      </c>
      <c r="O567" s="83"/>
      <c r="P567" s="83"/>
      <c r="Q567" s="83"/>
      <c r="R567" s="83"/>
      <c r="S567" s="83"/>
      <c r="T567" s="83"/>
      <c r="U567" s="83"/>
      <c r="V567" s="83"/>
      <c r="W567" s="83"/>
      <c r="X567" s="83"/>
      <c r="Y567" s="83"/>
      <c r="Z567" s="83"/>
      <c r="AA567" s="83"/>
      <c r="AB567" s="83"/>
      <c r="AC567" s="83"/>
      <c r="AD567" s="83"/>
    </row>
    <row r="568">
      <c r="A568" s="86">
        <v>45997.0</v>
      </c>
      <c r="B568" s="83" t="s">
        <v>862</v>
      </c>
      <c r="C568" s="93" t="s">
        <v>223</v>
      </c>
      <c r="D568" s="83" t="s">
        <v>205</v>
      </c>
      <c r="E568" s="70" t="s">
        <v>728</v>
      </c>
      <c r="F568" s="88">
        <f t="shared" si="1"/>
        <v>0.002023356481</v>
      </c>
      <c r="G568" s="5" t="s">
        <v>870</v>
      </c>
      <c r="H568" s="83" t="s">
        <v>225</v>
      </c>
      <c r="I568" s="83" t="s">
        <v>313</v>
      </c>
      <c r="J568" s="81">
        <f>IFERROR(__xludf.DUMMYFUNCTION("FILTER('賽道紀錄'!E:E, '賽道紀錄'!A:A=B568, '賽道紀錄'!B:B=C568)-F568"),-0.0010050925925925926)</f>
        <v>-0.001005092593</v>
      </c>
      <c r="K568" s="70"/>
      <c r="L568" s="70" t="s">
        <v>928</v>
      </c>
      <c r="M568" s="90">
        <f t="shared" si="2"/>
        <v>174.818</v>
      </c>
      <c r="N568" s="91">
        <f t="shared" si="3"/>
        <v>0.002023356481</v>
      </c>
      <c r="O568" s="83"/>
      <c r="P568" s="83"/>
      <c r="Q568" s="83"/>
      <c r="R568" s="83"/>
      <c r="S568" s="83"/>
      <c r="T568" s="83"/>
      <c r="U568" s="83"/>
      <c r="V568" s="83"/>
      <c r="W568" s="83"/>
      <c r="X568" s="83"/>
      <c r="Y568" s="83"/>
      <c r="Z568" s="83"/>
      <c r="AA568" s="83"/>
      <c r="AB568" s="83"/>
      <c r="AC568" s="83"/>
      <c r="AD568" s="83"/>
    </row>
    <row r="569">
      <c r="A569" s="86">
        <v>45997.0</v>
      </c>
      <c r="B569" s="83" t="s">
        <v>862</v>
      </c>
      <c r="C569" s="93" t="s">
        <v>223</v>
      </c>
      <c r="D569" s="83" t="s">
        <v>205</v>
      </c>
      <c r="E569" s="70" t="s">
        <v>929</v>
      </c>
      <c r="F569" s="88">
        <f t="shared" si="1"/>
        <v>0.003482638889</v>
      </c>
      <c r="G569" s="70" t="s">
        <v>165</v>
      </c>
      <c r="H569" s="83" t="s">
        <v>225</v>
      </c>
      <c r="I569" s="83" t="s">
        <v>313</v>
      </c>
      <c r="J569" s="81">
        <f>IFERROR(__xludf.DUMMYFUNCTION("FILTER('賽道紀錄'!E:E, '賽道紀錄'!A:A=B569, '賽道紀錄'!B:B=C569)-F569"),-0.002464375)</f>
        <v>-0.002464375</v>
      </c>
      <c r="K569" s="70"/>
      <c r="L569" s="70" t="s">
        <v>930</v>
      </c>
      <c r="M569" s="90">
        <f t="shared" si="2"/>
        <v>300.9</v>
      </c>
      <c r="N569" s="91">
        <f t="shared" si="3"/>
        <v>0.003482638889</v>
      </c>
      <c r="O569" s="83"/>
      <c r="P569" s="83"/>
      <c r="Q569" s="83"/>
      <c r="R569" s="83"/>
      <c r="S569" s="83"/>
      <c r="T569" s="83"/>
      <c r="U569" s="83"/>
      <c r="V569" s="83"/>
      <c r="W569" s="83"/>
      <c r="X569" s="83"/>
      <c r="Y569" s="83"/>
      <c r="Z569" s="83"/>
      <c r="AA569" s="83"/>
      <c r="AB569" s="83"/>
      <c r="AC569" s="83"/>
      <c r="AD569" s="83"/>
    </row>
    <row r="570">
      <c r="A570" s="77">
        <v>46087.0</v>
      </c>
      <c r="B570" s="4" t="s">
        <v>297</v>
      </c>
      <c r="C570" s="4" t="s">
        <v>223</v>
      </c>
      <c r="D570" s="4" t="s">
        <v>720</v>
      </c>
      <c r="E570" s="4" t="s">
        <v>206</v>
      </c>
      <c r="F570" s="80">
        <f t="shared" si="1"/>
        <v>0.002761990741</v>
      </c>
      <c r="G570" s="4" t="s">
        <v>195</v>
      </c>
      <c r="H570" s="4" t="s">
        <v>231</v>
      </c>
      <c r="I570" s="4" t="s">
        <v>226</v>
      </c>
      <c r="J570" s="81">
        <f>IFERROR(__xludf.DUMMYFUNCTION("FILTER('賽道紀錄'!E:E, '賽道紀錄'!A:A=B570, '賽道紀錄'!B:B=C570)-F570"),-2.7252314814814804E-4)</f>
        <v>-0.0002725231481</v>
      </c>
      <c r="K570" s="4"/>
      <c r="L570" s="4" t="s">
        <v>931</v>
      </c>
      <c r="M570" s="82">
        <f t="shared" si="2"/>
        <v>238.636</v>
      </c>
      <c r="N570" s="27">
        <f t="shared" si="3"/>
        <v>0.002761990741</v>
      </c>
    </row>
    <row r="571">
      <c r="A571" s="77">
        <v>46088.0</v>
      </c>
      <c r="B571" s="4" t="s">
        <v>527</v>
      </c>
      <c r="C571" s="4" t="s">
        <v>383</v>
      </c>
      <c r="D571" s="70" t="s">
        <v>514</v>
      </c>
      <c r="E571" s="83" t="s">
        <v>205</v>
      </c>
      <c r="F571" s="80">
        <f t="shared" si="1"/>
        <v>0.003566365741</v>
      </c>
      <c r="G571" s="4" t="s">
        <v>919</v>
      </c>
      <c r="H571" s="4" t="s">
        <v>231</v>
      </c>
      <c r="I571" s="4" t="s">
        <v>226</v>
      </c>
      <c r="J571" s="81">
        <f>IFERROR(__xludf.DUMMYFUNCTION("FILTER('賽道紀錄'!E:E, '賽道紀錄'!A:A=B571, '賽道紀錄'!B:B=C571)-F571"),-3.5725694444444477E-4)</f>
        <v>-0.0003572569444</v>
      </c>
      <c r="K571" s="4"/>
      <c r="L571" s="4" t="s">
        <v>932</v>
      </c>
      <c r="M571" s="82">
        <f t="shared" si="2"/>
        <v>308.134</v>
      </c>
      <c r="N571" s="27">
        <f t="shared" si="3"/>
        <v>0.003566365741</v>
      </c>
    </row>
    <row r="572">
      <c r="A572" s="77">
        <v>46089.0</v>
      </c>
      <c r="B572" s="4" t="s">
        <v>325</v>
      </c>
      <c r="C572" s="4" t="s">
        <v>223</v>
      </c>
      <c r="D572" s="4" t="s">
        <v>720</v>
      </c>
      <c r="E572" s="4" t="s">
        <v>245</v>
      </c>
      <c r="F572" s="80">
        <f t="shared" si="1"/>
        <v>0.002253657407</v>
      </c>
      <c r="G572" s="4" t="s">
        <v>171</v>
      </c>
      <c r="H572" s="4" t="s">
        <v>231</v>
      </c>
      <c r="I572" s="4" t="s">
        <v>226</v>
      </c>
      <c r="J572" s="81">
        <f>IFERROR(__xludf.DUMMYFUNCTION("FILTER('賽道紀錄'!E:E, '賽道紀錄'!A:A=B572, '賽道紀錄'!B:B=C572)-F572"),-8.133101851851877E-5)</f>
        <v>-0.00008133101852</v>
      </c>
      <c r="K572" s="4"/>
      <c r="L572" s="4" t="s">
        <v>933</v>
      </c>
      <c r="M572" s="82">
        <f t="shared" si="2"/>
        <v>194.716</v>
      </c>
      <c r="N572" s="27">
        <f t="shared" si="3"/>
        <v>0.002253657407</v>
      </c>
    </row>
    <row r="573">
      <c r="A573" s="77">
        <v>46092.0</v>
      </c>
      <c r="B573" s="4" t="s">
        <v>297</v>
      </c>
      <c r="C573" s="4" t="s">
        <v>223</v>
      </c>
      <c r="D573" s="4" t="s">
        <v>720</v>
      </c>
      <c r="E573" s="4" t="s">
        <v>304</v>
      </c>
      <c r="F573" s="80">
        <f t="shared" si="1"/>
        <v>0.002486388889</v>
      </c>
      <c r="G573" s="4" t="s">
        <v>123</v>
      </c>
      <c r="H573" s="4" t="s">
        <v>231</v>
      </c>
      <c r="I573" s="4" t="s">
        <v>226</v>
      </c>
      <c r="J573" s="81">
        <f>IFERROR(__xludf.DUMMYFUNCTION("FILTER('賽道紀錄'!E:E, '賽道紀錄'!A:A=B573, '賽道紀錄'!B:B=C573)-F573"),3.07870370370349E-6)</f>
        <v>0.000003078703704</v>
      </c>
      <c r="K573" s="4"/>
      <c r="L573" s="4" t="s">
        <v>934</v>
      </c>
      <c r="M573" s="82">
        <f t="shared" si="2"/>
        <v>214.824</v>
      </c>
      <c r="N573" s="27">
        <f t="shared" si="3"/>
        <v>0.002486388889</v>
      </c>
    </row>
    <row r="574">
      <c r="A574" s="77">
        <v>46094.0</v>
      </c>
      <c r="B574" s="4" t="s">
        <v>297</v>
      </c>
      <c r="C574" s="4" t="s">
        <v>223</v>
      </c>
      <c r="D574" s="4" t="s">
        <v>720</v>
      </c>
      <c r="E574" s="4" t="s">
        <v>245</v>
      </c>
      <c r="F574" s="80">
        <f t="shared" si="1"/>
        <v>0.002516875</v>
      </c>
      <c r="G574" s="4" t="s">
        <v>171</v>
      </c>
      <c r="H574" s="4" t="s">
        <v>231</v>
      </c>
      <c r="I574" s="4" t="s">
        <v>226</v>
      </c>
      <c r="J574" s="81">
        <f>IFERROR(__xludf.DUMMYFUNCTION("FILTER('賽道紀錄'!E:E, '賽道紀錄'!A:A=B574, '賽道紀錄'!B:B=C574)-F574"),-2.7407407407407415E-5)</f>
        <v>-0.00002740740741</v>
      </c>
      <c r="K574" s="4"/>
      <c r="L574" s="4" t="s">
        <v>935</v>
      </c>
      <c r="M574" s="82">
        <f t="shared" si="2"/>
        <v>217.458</v>
      </c>
      <c r="N574" s="27">
        <f t="shared" si="3"/>
        <v>0.002516875</v>
      </c>
    </row>
    <row r="575">
      <c r="A575" s="77">
        <v>46094.0</v>
      </c>
      <c r="B575" s="4" t="s">
        <v>297</v>
      </c>
      <c r="C575" s="4" t="s">
        <v>223</v>
      </c>
      <c r="D575" s="4" t="s">
        <v>720</v>
      </c>
      <c r="E575" s="83" t="s">
        <v>205</v>
      </c>
      <c r="F575" s="80">
        <f t="shared" si="1"/>
        <v>0.00258931713</v>
      </c>
      <c r="G575" s="4" t="s">
        <v>177</v>
      </c>
      <c r="H575" s="4" t="s">
        <v>231</v>
      </c>
      <c r="I575" s="4" t="s">
        <v>226</v>
      </c>
      <c r="J575" s="81">
        <f>IFERROR(__xludf.DUMMYFUNCTION("FILTER('賽道紀錄'!E:E, '賽道紀錄'!A:A=B575, '賽道紀錄'!B:B=C575)-F575"),-9.984953703703718E-5)</f>
        <v>-0.00009984953704</v>
      </c>
      <c r="K575" s="4"/>
      <c r="L575" s="4" t="s">
        <v>541</v>
      </c>
      <c r="M575" s="82">
        <f t="shared" si="2"/>
        <v>223.717</v>
      </c>
      <c r="N575" s="27">
        <f t="shared" si="3"/>
        <v>0.00258931713</v>
      </c>
    </row>
    <row r="576">
      <c r="A576" s="77">
        <v>46094.0</v>
      </c>
      <c r="B576" s="4" t="s">
        <v>297</v>
      </c>
      <c r="C576" s="4" t="s">
        <v>223</v>
      </c>
      <c r="D576" s="4" t="s">
        <v>720</v>
      </c>
      <c r="E576" s="70" t="s">
        <v>209</v>
      </c>
      <c r="F576" s="80">
        <f t="shared" si="1"/>
        <v>0.002450613426</v>
      </c>
      <c r="G576" s="4" t="s">
        <v>123</v>
      </c>
      <c r="H576" s="4" t="s">
        <v>225</v>
      </c>
      <c r="I576" s="4" t="s">
        <v>226</v>
      </c>
      <c r="J576" s="81">
        <f>IFERROR(__xludf.DUMMYFUNCTION("FILTER('賽道紀錄'!E:E, '賽道紀錄'!A:A=B576, '賽道紀錄'!B:B=C576)-F576"),3.885416666666664E-5)</f>
        <v>0.00003885416667</v>
      </c>
      <c r="K576" s="4"/>
      <c r="L576" s="4" t="s">
        <v>936</v>
      </c>
      <c r="M576" s="82">
        <f t="shared" si="2"/>
        <v>211.733</v>
      </c>
      <c r="N576" s="27">
        <f t="shared" si="3"/>
        <v>0.002450613426</v>
      </c>
    </row>
    <row r="577">
      <c r="A577" s="77">
        <v>46094.0</v>
      </c>
      <c r="B577" s="4" t="s">
        <v>297</v>
      </c>
      <c r="C577" s="4" t="s">
        <v>223</v>
      </c>
      <c r="D577" s="4" t="s">
        <v>720</v>
      </c>
      <c r="E577" s="83" t="s">
        <v>647</v>
      </c>
      <c r="F577" s="80">
        <f t="shared" si="1"/>
        <v>0.002571469907</v>
      </c>
      <c r="G577" s="5" t="s">
        <v>148</v>
      </c>
      <c r="H577" s="4" t="s">
        <v>225</v>
      </c>
      <c r="I577" s="4" t="s">
        <v>226</v>
      </c>
      <c r="J577" s="81">
        <f>IFERROR(__xludf.DUMMYFUNCTION("FILTER('賽道紀錄'!E:E, '賽道紀錄'!A:A=B577, '賽道紀錄'!B:B=C577)-F577"),-8.20023148148147E-5)</f>
        <v>-0.00008200231481</v>
      </c>
      <c r="K577" s="4"/>
      <c r="L577" s="4" t="s">
        <v>937</v>
      </c>
      <c r="M577" s="82">
        <f t="shared" si="2"/>
        <v>222.175</v>
      </c>
      <c r="N577" s="27">
        <f t="shared" si="3"/>
        <v>0.002571469907</v>
      </c>
    </row>
    <row r="578">
      <c r="A578" s="77">
        <v>46094.0</v>
      </c>
      <c r="B578" s="4" t="s">
        <v>297</v>
      </c>
      <c r="C578" s="4" t="s">
        <v>223</v>
      </c>
      <c r="D578" s="4" t="s">
        <v>720</v>
      </c>
      <c r="E578" s="4" t="s">
        <v>304</v>
      </c>
      <c r="F578" s="80">
        <f t="shared" si="1"/>
        <v>0.002593229167</v>
      </c>
      <c r="G578" s="4" t="s">
        <v>195</v>
      </c>
      <c r="H578" s="4" t="s">
        <v>231</v>
      </c>
      <c r="I578" s="4" t="s">
        <v>226</v>
      </c>
      <c r="J578" s="81">
        <f>IFERROR(__xludf.DUMMYFUNCTION("FILTER('賽道紀錄'!E:E, '賽道紀錄'!A:A=B578, '賽道紀錄'!B:B=C578)-F578"),-1.0376157407407426E-4)</f>
        <v>-0.0001037615741</v>
      </c>
      <c r="K578" s="4"/>
      <c r="L578" s="4" t="s">
        <v>938</v>
      </c>
      <c r="M578" s="82">
        <f t="shared" si="2"/>
        <v>224.055</v>
      </c>
      <c r="N578" s="27">
        <f t="shared" si="3"/>
        <v>0.002593229167</v>
      </c>
    </row>
    <row r="579">
      <c r="A579" s="77">
        <v>46094.0</v>
      </c>
      <c r="B579" s="4" t="s">
        <v>297</v>
      </c>
      <c r="C579" s="4" t="s">
        <v>223</v>
      </c>
      <c r="D579" s="4" t="s">
        <v>720</v>
      </c>
      <c r="E579" s="70" t="s">
        <v>207</v>
      </c>
      <c r="F579" s="80">
        <f t="shared" si="1"/>
        <v>0.002620219907</v>
      </c>
      <c r="G579" s="4" t="s">
        <v>123</v>
      </c>
      <c r="H579" s="4" t="s">
        <v>225</v>
      </c>
      <c r="I579" s="4" t="s">
        <v>226</v>
      </c>
      <c r="J579" s="81">
        <f>IFERROR(__xludf.DUMMYFUNCTION("FILTER('賽道紀錄'!E:E, '賽道紀錄'!A:A=B579, '賽道紀錄'!B:B=C579)-F579"),-1.3075231481481488E-4)</f>
        <v>-0.0001307523148</v>
      </c>
      <c r="K579" s="4"/>
      <c r="L579" s="4" t="s">
        <v>939</v>
      </c>
      <c r="M579" s="82">
        <f t="shared" si="2"/>
        <v>226.387</v>
      </c>
      <c r="N579" s="27">
        <f t="shared" si="3"/>
        <v>0.002620219907</v>
      </c>
    </row>
    <row r="580">
      <c r="A580" s="77">
        <v>46094.0</v>
      </c>
      <c r="B580" s="4" t="s">
        <v>297</v>
      </c>
      <c r="C580" s="4" t="s">
        <v>223</v>
      </c>
      <c r="D580" s="4" t="s">
        <v>720</v>
      </c>
      <c r="E580" s="4" t="s">
        <v>229</v>
      </c>
      <c r="F580" s="80">
        <f t="shared" si="1"/>
        <v>0.002640046296</v>
      </c>
      <c r="G580" s="4" t="s">
        <v>125</v>
      </c>
      <c r="H580" s="4" t="s">
        <v>231</v>
      </c>
      <c r="I580" s="4" t="s">
        <v>226</v>
      </c>
      <c r="J580" s="81">
        <f>IFERROR(__xludf.DUMMYFUNCTION("FILTER('賽道紀錄'!E:E, '賽道紀錄'!A:A=B580, '賽道紀錄'!B:B=C580)-F580"),-1.5057870370370355E-4)</f>
        <v>-0.0001505787037</v>
      </c>
      <c r="K580" s="4"/>
      <c r="L580" s="4" t="s">
        <v>940</v>
      </c>
      <c r="M580" s="82">
        <f t="shared" si="2"/>
        <v>228.1</v>
      </c>
      <c r="N580" s="27">
        <f t="shared" si="3"/>
        <v>0.002640046296</v>
      </c>
    </row>
    <row r="581">
      <c r="A581" s="77">
        <v>46094.0</v>
      </c>
      <c r="B581" s="4" t="s">
        <v>297</v>
      </c>
      <c r="C581" s="4" t="s">
        <v>223</v>
      </c>
      <c r="D581" s="4" t="s">
        <v>720</v>
      </c>
      <c r="E581" s="83" t="s">
        <v>205</v>
      </c>
      <c r="F581" s="80">
        <f t="shared" si="1"/>
        <v>0.002637349537</v>
      </c>
      <c r="G581" s="4" t="s">
        <v>123</v>
      </c>
      <c r="H581" s="4" t="s">
        <v>231</v>
      </c>
      <c r="I581" s="4" t="s">
        <v>226</v>
      </c>
      <c r="J581" s="81">
        <f>IFERROR(__xludf.DUMMYFUNCTION("FILTER('賽道紀錄'!E:E, '賽道紀錄'!A:A=B581, '賽道紀錄'!B:B=C581)-F581"),-1.478819444444444E-4)</f>
        <v>-0.0001478819444</v>
      </c>
      <c r="K581" s="4"/>
      <c r="L581" s="4" t="s">
        <v>544</v>
      </c>
      <c r="M581" s="82">
        <f t="shared" si="2"/>
        <v>227.867</v>
      </c>
      <c r="N581" s="27">
        <f t="shared" si="3"/>
        <v>0.002637349537</v>
      </c>
    </row>
    <row r="582">
      <c r="A582" s="77">
        <v>46095.0</v>
      </c>
      <c r="B582" s="4" t="s">
        <v>410</v>
      </c>
      <c r="C582" s="4" t="s">
        <v>223</v>
      </c>
      <c r="D582" s="83" t="s">
        <v>205</v>
      </c>
      <c r="E582" s="4" t="s">
        <v>941</v>
      </c>
      <c r="F582" s="80">
        <f t="shared" si="1"/>
        <v>0.003871030093</v>
      </c>
      <c r="G582" s="4" t="s">
        <v>125</v>
      </c>
      <c r="H582" s="4" t="s">
        <v>225</v>
      </c>
      <c r="I582" s="4" t="s">
        <v>313</v>
      </c>
      <c r="J582" s="81">
        <f>IFERROR(__xludf.DUMMYFUNCTION("FILTER('賽道紀錄'!E:E, '賽道紀錄'!A:A=B582, '賽道紀錄'!B:B=C582)-F582"),0.0)</f>
        <v>0</v>
      </c>
      <c r="L582" s="4" t="s">
        <v>942</v>
      </c>
      <c r="M582" s="82">
        <f t="shared" si="2"/>
        <v>334.457</v>
      </c>
      <c r="N582" s="27">
        <f t="shared" si="3"/>
        <v>0.003871030093</v>
      </c>
    </row>
    <row r="583">
      <c r="A583" s="77">
        <v>46095.0</v>
      </c>
      <c r="B583" s="4" t="s">
        <v>297</v>
      </c>
      <c r="C583" s="4" t="s">
        <v>223</v>
      </c>
      <c r="D583" s="4" t="s">
        <v>720</v>
      </c>
      <c r="E583" s="83" t="s">
        <v>205</v>
      </c>
      <c r="F583" s="80">
        <f t="shared" si="1"/>
        <v>0.002545127315</v>
      </c>
      <c r="G583" s="4" t="s">
        <v>177</v>
      </c>
      <c r="H583" s="4" t="s">
        <v>231</v>
      </c>
      <c r="I583" s="4" t="s">
        <v>226</v>
      </c>
      <c r="J583" s="81">
        <f>IFERROR(__xludf.DUMMYFUNCTION("FILTER('賽道紀錄'!E:E, '賽道紀錄'!A:A=B583, '賽道紀錄'!B:B=C583)-F583"),-5.5659722222222135E-5)</f>
        <v>-0.00005565972222</v>
      </c>
      <c r="K583" s="4"/>
      <c r="L583" s="4" t="s">
        <v>943</v>
      </c>
      <c r="M583" s="82">
        <f t="shared" si="2"/>
        <v>219.899</v>
      </c>
      <c r="N583" s="27">
        <f t="shared" si="3"/>
        <v>0.002545127315</v>
      </c>
    </row>
    <row r="584">
      <c r="A584" s="77">
        <v>46095.0</v>
      </c>
      <c r="B584" s="4" t="s">
        <v>944</v>
      </c>
      <c r="C584" s="4" t="s">
        <v>383</v>
      </c>
      <c r="D584" s="4" t="s">
        <v>945</v>
      </c>
      <c r="E584" s="83" t="s">
        <v>205</v>
      </c>
      <c r="F584" s="80">
        <f t="shared" si="1"/>
        <v>0.001274108796</v>
      </c>
      <c r="G584" s="4" t="s">
        <v>946</v>
      </c>
      <c r="H584" s="4" t="s">
        <v>231</v>
      </c>
      <c r="I584" s="4" t="s">
        <v>313</v>
      </c>
      <c r="J584" s="81">
        <f>IFERROR(__xludf.DUMMYFUNCTION("FILTER('賽道紀錄'!E:E, '賽道紀錄'!A:A=B584, '賽道紀錄'!B:B=C584)-F584"),-0.0012741087962962964)</f>
        <v>-0.001274108796</v>
      </c>
      <c r="L584" s="4" t="s">
        <v>947</v>
      </c>
      <c r="M584" s="82">
        <f t="shared" si="2"/>
        <v>110.083</v>
      </c>
      <c r="N584" s="27">
        <f t="shared" si="3"/>
        <v>0.001274108796</v>
      </c>
    </row>
    <row r="585">
      <c r="A585" s="77">
        <v>46095.0</v>
      </c>
      <c r="B585" s="4" t="s">
        <v>944</v>
      </c>
      <c r="C585" s="4" t="s">
        <v>383</v>
      </c>
      <c r="D585" s="4" t="s">
        <v>945</v>
      </c>
      <c r="E585" s="83" t="s">
        <v>205</v>
      </c>
      <c r="F585" s="80">
        <f t="shared" si="1"/>
        <v>0.001653356481</v>
      </c>
      <c r="G585" s="4" t="s">
        <v>948</v>
      </c>
      <c r="H585" s="4" t="s">
        <v>231</v>
      </c>
      <c r="I585" s="4" t="s">
        <v>313</v>
      </c>
      <c r="J585" s="81">
        <f>IFERROR(__xludf.DUMMYFUNCTION("FILTER('賽道紀錄'!E:E, '賽道紀錄'!A:A=B585, '賽道紀錄'!B:B=C585)-F585"),-0.0016533564814814813)</f>
        <v>-0.001653356481</v>
      </c>
      <c r="L585" s="4" t="s">
        <v>949</v>
      </c>
      <c r="M585" s="82">
        <f t="shared" si="2"/>
        <v>142.85</v>
      </c>
      <c r="N585" s="27">
        <f t="shared" si="3"/>
        <v>0.001653356481</v>
      </c>
    </row>
    <row r="586">
      <c r="A586" s="77">
        <v>46095.0</v>
      </c>
      <c r="B586" s="4" t="s">
        <v>944</v>
      </c>
      <c r="C586" s="4" t="s">
        <v>383</v>
      </c>
      <c r="D586" s="4" t="s">
        <v>945</v>
      </c>
      <c r="E586" s="4" t="s">
        <v>779</v>
      </c>
      <c r="F586" s="80">
        <f t="shared" si="1"/>
        <v>0.001358657407</v>
      </c>
      <c r="G586" s="4" t="s">
        <v>946</v>
      </c>
      <c r="H586" s="4" t="s">
        <v>225</v>
      </c>
      <c r="I586" s="4" t="s">
        <v>313</v>
      </c>
      <c r="J586" s="81">
        <f>IFERROR(__xludf.DUMMYFUNCTION("FILTER('賽道紀錄'!E:E, '賽道紀錄'!A:A=B586, '賽道紀錄'!B:B=C586)-F586"),-0.0013586574074074074)</f>
        <v>-0.001358657407</v>
      </c>
      <c r="L586" s="4" t="s">
        <v>950</v>
      </c>
      <c r="M586" s="82">
        <f t="shared" si="2"/>
        <v>117.388</v>
      </c>
      <c r="N586" s="27">
        <f t="shared" si="3"/>
        <v>0.001358657407</v>
      </c>
    </row>
    <row r="587">
      <c r="A587" s="77">
        <v>46095.0</v>
      </c>
      <c r="B587" s="4" t="s">
        <v>944</v>
      </c>
      <c r="C587" s="4" t="s">
        <v>383</v>
      </c>
      <c r="D587" s="4" t="s">
        <v>945</v>
      </c>
      <c r="E587" s="4" t="s">
        <v>779</v>
      </c>
      <c r="F587" s="80">
        <f t="shared" si="1"/>
        <v>0.00123755787</v>
      </c>
      <c r="G587" s="4" t="s">
        <v>951</v>
      </c>
      <c r="H587" s="4" t="s">
        <v>225</v>
      </c>
      <c r="I587" s="4" t="s">
        <v>313</v>
      </c>
      <c r="J587" s="81">
        <f>IFERROR(__xludf.DUMMYFUNCTION("FILTER('賽道紀錄'!E:E, '賽道紀錄'!A:A=B587, '賽道紀錄'!B:B=C587)-F587"),-0.0012375578703703704)</f>
        <v>-0.00123755787</v>
      </c>
      <c r="L587" s="4" t="s">
        <v>952</v>
      </c>
      <c r="M587" s="82">
        <f t="shared" si="2"/>
        <v>106.925</v>
      </c>
      <c r="N587" s="27">
        <f t="shared" si="3"/>
        <v>0.00123755787</v>
      </c>
    </row>
    <row r="588">
      <c r="A588" s="77">
        <v>46096.0</v>
      </c>
      <c r="B588" s="4" t="s">
        <v>297</v>
      </c>
      <c r="C588" s="4" t="s">
        <v>223</v>
      </c>
      <c r="D588" s="4" t="s">
        <v>720</v>
      </c>
      <c r="E588" s="83" t="s">
        <v>647</v>
      </c>
      <c r="F588" s="80">
        <f t="shared" si="1"/>
        <v>0.002482453704</v>
      </c>
      <c r="G588" s="4" t="s">
        <v>123</v>
      </c>
      <c r="H588" s="4" t="s">
        <v>225</v>
      </c>
      <c r="I588" s="4" t="s">
        <v>226</v>
      </c>
      <c r="J588" s="81">
        <f>IFERROR(__xludf.DUMMYFUNCTION("FILTER('賽道紀錄'!E:E, '賽道紀錄'!A:A=B588, '賽道紀錄'!B:B=C588)-F588"),7.013888888888868E-6)</f>
        <v>0.000007013888889</v>
      </c>
      <c r="K588" s="4"/>
      <c r="L588" s="4" t="s">
        <v>953</v>
      </c>
      <c r="M588" s="82">
        <f t="shared" si="2"/>
        <v>214.484</v>
      </c>
      <c r="N588" s="27">
        <f t="shared" si="3"/>
        <v>0.002482453704</v>
      </c>
    </row>
    <row r="589">
      <c r="A589" s="77">
        <v>46101.0</v>
      </c>
      <c r="B589" s="4" t="s">
        <v>297</v>
      </c>
      <c r="C589" s="4" t="s">
        <v>223</v>
      </c>
      <c r="D589" s="4" t="s">
        <v>720</v>
      </c>
      <c r="E589" s="4" t="s">
        <v>245</v>
      </c>
      <c r="F589" s="80">
        <f t="shared" si="1"/>
        <v>0.002516875</v>
      </c>
      <c r="G589" s="4" t="s">
        <v>171</v>
      </c>
      <c r="H589" s="4" t="s">
        <v>231</v>
      </c>
      <c r="I589" s="4" t="s">
        <v>226</v>
      </c>
      <c r="J589" s="81">
        <f>IFERROR(__xludf.DUMMYFUNCTION("FILTER('賽道紀錄'!E:E, '賽道紀錄'!A:A=B589, '賽道紀錄'!B:B=C589)-F589"),-2.7407407407407415E-5)</f>
        <v>-0.00002740740741</v>
      </c>
      <c r="K589" s="4"/>
      <c r="L589" s="4" t="s">
        <v>935</v>
      </c>
      <c r="M589" s="82">
        <f t="shared" si="2"/>
        <v>217.458</v>
      </c>
      <c r="N589" s="27">
        <f t="shared" si="3"/>
        <v>0.002516875</v>
      </c>
    </row>
    <row r="590">
      <c r="A590" s="77">
        <v>46101.0</v>
      </c>
      <c r="B590" s="4" t="s">
        <v>914</v>
      </c>
      <c r="C590" s="4" t="s">
        <v>223</v>
      </c>
      <c r="E590" s="83" t="s">
        <v>647</v>
      </c>
      <c r="F590" s="80">
        <f t="shared" si="1"/>
        <v>0.001331782407</v>
      </c>
      <c r="G590" s="4" t="s">
        <v>954</v>
      </c>
      <c r="H590" s="4" t="s">
        <v>225</v>
      </c>
      <c r="I590" s="4" t="s">
        <v>313</v>
      </c>
      <c r="J590" s="81">
        <f>IFERROR(__xludf.DUMMYFUNCTION("FILTER('賽道紀錄'!E:E, '賽道紀錄'!A:A=B590, '賽道紀錄'!B:B=C590)-F590"),-1.316782407407408E-4)</f>
        <v>-0.0001316782407</v>
      </c>
      <c r="K590" s="4"/>
      <c r="L590" s="4" t="s">
        <v>955</v>
      </c>
      <c r="M590" s="82">
        <f t="shared" si="2"/>
        <v>115.066</v>
      </c>
      <c r="N590" s="27">
        <f t="shared" si="3"/>
        <v>0.001331782407</v>
      </c>
    </row>
    <row r="591">
      <c r="A591" s="77">
        <v>46101.0</v>
      </c>
      <c r="B591" s="4" t="s">
        <v>914</v>
      </c>
      <c r="C591" s="4" t="s">
        <v>223</v>
      </c>
      <c r="E591" s="4" t="s">
        <v>956</v>
      </c>
      <c r="F591" s="80">
        <f t="shared" si="1"/>
        <v>0.001375509259</v>
      </c>
      <c r="G591" s="4" t="s">
        <v>915</v>
      </c>
      <c r="H591" s="4" t="s">
        <v>225</v>
      </c>
      <c r="I591" s="4" t="s">
        <v>313</v>
      </c>
      <c r="J591" s="81">
        <f>IFERROR(__xludf.DUMMYFUNCTION("FILTER('賽道紀錄'!E:E, '賽道紀錄'!A:A=B591, '賽道紀錄'!B:B=C591)-F591"),-1.7540509259259267E-4)</f>
        <v>-0.0001754050926</v>
      </c>
      <c r="K591" s="4"/>
      <c r="L591" s="4" t="s">
        <v>957</v>
      </c>
      <c r="M591" s="82">
        <f t="shared" si="2"/>
        <v>118.844</v>
      </c>
      <c r="N591" s="27">
        <f t="shared" si="3"/>
        <v>0.001375509259</v>
      </c>
    </row>
    <row r="592">
      <c r="A592" s="77">
        <v>46101.0</v>
      </c>
      <c r="B592" s="4" t="s">
        <v>914</v>
      </c>
      <c r="C592" s="4" t="s">
        <v>223</v>
      </c>
      <c r="E592" s="83" t="s">
        <v>647</v>
      </c>
      <c r="F592" s="80">
        <f t="shared" si="1"/>
        <v>0.001404224537</v>
      </c>
      <c r="G592" s="4" t="s">
        <v>915</v>
      </c>
      <c r="H592" s="4" t="s">
        <v>225</v>
      </c>
      <c r="I592" s="4" t="s">
        <v>313</v>
      </c>
      <c r="J592" s="81">
        <f>IFERROR(__xludf.DUMMYFUNCTION("FILTER('賽道紀錄'!E:E, '賽道紀錄'!A:A=B592, '賽道紀錄'!B:B=C592)-F592"),-2.0412037037037057E-4)</f>
        <v>-0.0002041203704</v>
      </c>
      <c r="K592" s="4"/>
      <c r="L592" s="4" t="s">
        <v>958</v>
      </c>
      <c r="M592" s="82">
        <f t="shared" si="2"/>
        <v>121.325</v>
      </c>
      <c r="N592" s="27">
        <f t="shared" si="3"/>
        <v>0.001404224537</v>
      </c>
    </row>
    <row r="593">
      <c r="A593" s="77">
        <v>46101.0</v>
      </c>
      <c r="B593" s="4" t="s">
        <v>914</v>
      </c>
      <c r="C593" s="4" t="s">
        <v>223</v>
      </c>
      <c r="E593" s="83" t="s">
        <v>205</v>
      </c>
      <c r="F593" s="80">
        <f t="shared" si="1"/>
        <v>0.001603009259</v>
      </c>
      <c r="G593" s="4" t="s">
        <v>919</v>
      </c>
      <c r="H593" s="4" t="s">
        <v>231</v>
      </c>
      <c r="I593" s="4" t="s">
        <v>313</v>
      </c>
      <c r="J593" s="81">
        <f>IFERROR(__xludf.DUMMYFUNCTION("FILTER('賽道紀錄'!E:E, '賽道紀錄'!A:A=B593, '賽道紀錄'!B:B=C593)-F593"),-4.029050925925925E-4)</f>
        <v>-0.0004029050926</v>
      </c>
      <c r="K593" s="4"/>
      <c r="L593" s="4" t="s">
        <v>959</v>
      </c>
      <c r="M593" s="82">
        <f t="shared" si="2"/>
        <v>138.5</v>
      </c>
      <c r="N593" s="27">
        <f t="shared" si="3"/>
        <v>0.001603009259</v>
      </c>
    </row>
    <row r="594">
      <c r="A594" s="77">
        <v>46101.0</v>
      </c>
      <c r="B594" s="4" t="s">
        <v>960</v>
      </c>
      <c r="C594" s="4" t="s">
        <v>223</v>
      </c>
      <c r="E594" s="83" t="s">
        <v>647</v>
      </c>
      <c r="F594" s="80">
        <f t="shared" si="1"/>
        <v>0.003071469907</v>
      </c>
      <c r="G594" s="4" t="s">
        <v>961</v>
      </c>
      <c r="H594" s="4" t="s">
        <v>225</v>
      </c>
      <c r="I594" s="4" t="s">
        <v>313</v>
      </c>
      <c r="J594" s="81" t="str">
        <f>IFERROR(__xludf.DUMMYFUNCTION("FILTER('賽道紀錄'!E:E, '賽道紀錄'!A:A=B594, '賽道紀錄'!B:B=C594)-F594"),"#VALUE!")</f>
        <v>#VALUE!</v>
      </c>
      <c r="K594" s="4"/>
      <c r="L594" s="4" t="s">
        <v>962</v>
      </c>
      <c r="M594" s="82">
        <f t="shared" si="2"/>
        <v>265.375</v>
      </c>
      <c r="N594" s="27">
        <f t="shared" si="3"/>
        <v>0.003071469907</v>
      </c>
    </row>
    <row r="595">
      <c r="A595" s="77">
        <v>46101.0</v>
      </c>
      <c r="B595" s="4" t="s">
        <v>960</v>
      </c>
      <c r="C595" s="4" t="s">
        <v>223</v>
      </c>
      <c r="E595" s="83" t="s">
        <v>647</v>
      </c>
      <c r="F595" s="80">
        <f t="shared" si="1"/>
        <v>0.003360532407</v>
      </c>
      <c r="G595" s="4" t="s">
        <v>963</v>
      </c>
      <c r="H595" s="4" t="s">
        <v>225</v>
      </c>
      <c r="I595" s="4" t="s">
        <v>313</v>
      </c>
      <c r="J595" s="81" t="str">
        <f>IFERROR(__xludf.DUMMYFUNCTION("FILTER('賽道紀錄'!E:E, '賽道紀錄'!A:A=B595, '賽道紀錄'!B:B=C595)-F595"),"#VALUE!")</f>
        <v>#VALUE!</v>
      </c>
      <c r="K595" s="4"/>
      <c r="L595" s="4" t="s">
        <v>964</v>
      </c>
      <c r="M595" s="82">
        <f t="shared" si="2"/>
        <v>290.35</v>
      </c>
      <c r="N595" s="27">
        <f t="shared" si="3"/>
        <v>0.003360532407</v>
      </c>
    </row>
    <row r="596">
      <c r="A596" s="77">
        <v>46102.0</v>
      </c>
      <c r="B596" s="4" t="s">
        <v>960</v>
      </c>
      <c r="C596" s="4" t="s">
        <v>223</v>
      </c>
      <c r="E596" s="83" t="s">
        <v>647</v>
      </c>
      <c r="F596" s="80">
        <f t="shared" si="1"/>
        <v>0.003026712963</v>
      </c>
      <c r="G596" s="4" t="s">
        <v>965</v>
      </c>
      <c r="H596" s="4" t="s">
        <v>225</v>
      </c>
      <c r="I596" s="4" t="s">
        <v>313</v>
      </c>
      <c r="J596" s="81" t="str">
        <f>IFERROR(__xludf.DUMMYFUNCTION("FILTER('賽道紀錄'!E:E, '賽道紀錄'!A:A=B596, '賽道紀錄'!B:B=C596)-F596"),"#VALUE!")</f>
        <v>#VALUE!</v>
      </c>
      <c r="K596" s="4"/>
      <c r="L596" s="4" t="s">
        <v>966</v>
      </c>
      <c r="M596" s="82">
        <f t="shared" si="2"/>
        <v>261.508</v>
      </c>
      <c r="N596" s="27">
        <f t="shared" si="3"/>
        <v>0.003026712963</v>
      </c>
    </row>
    <row r="597">
      <c r="A597" s="77">
        <v>46102.0</v>
      </c>
      <c r="B597" s="4" t="s">
        <v>960</v>
      </c>
      <c r="C597" s="4" t="s">
        <v>223</v>
      </c>
      <c r="E597" s="83" t="s">
        <v>647</v>
      </c>
      <c r="F597" s="80">
        <f t="shared" si="1"/>
        <v>0.003029027778</v>
      </c>
      <c r="G597" s="4" t="s">
        <v>961</v>
      </c>
      <c r="H597" s="4" t="s">
        <v>225</v>
      </c>
      <c r="I597" s="4" t="s">
        <v>313</v>
      </c>
      <c r="J597" s="81" t="str">
        <f>IFERROR(__xludf.DUMMYFUNCTION("FILTER('賽道紀錄'!E:E, '賽道紀錄'!A:A=B597, '賽道紀錄'!B:B=C597)-F597"),"#VALUE!")</f>
        <v>#VALUE!</v>
      </c>
      <c r="K597" s="4"/>
      <c r="L597" s="4" t="s">
        <v>967</v>
      </c>
      <c r="M597" s="82">
        <f t="shared" si="2"/>
        <v>261.708</v>
      </c>
      <c r="N597" s="27">
        <f t="shared" si="3"/>
        <v>0.003029027778</v>
      </c>
    </row>
    <row r="598">
      <c r="A598" s="77">
        <v>46102.0</v>
      </c>
      <c r="B598" s="4" t="s">
        <v>960</v>
      </c>
      <c r="C598" s="4" t="s">
        <v>223</v>
      </c>
      <c r="E598" s="70" t="s">
        <v>209</v>
      </c>
      <c r="F598" s="80">
        <f t="shared" si="1"/>
        <v>0.003081284722</v>
      </c>
      <c r="G598" s="4" t="s">
        <v>961</v>
      </c>
      <c r="H598" s="4" t="s">
        <v>225</v>
      </c>
      <c r="I598" s="4" t="s">
        <v>313</v>
      </c>
      <c r="J598" s="81" t="str">
        <f>IFERROR(__xludf.DUMMYFUNCTION("FILTER('賽道紀錄'!E:E, '賽道紀錄'!A:A=B598, '賽道紀錄'!B:B=C598)-F598"),"#VALUE!")</f>
        <v>#VALUE!</v>
      </c>
      <c r="K598" s="4"/>
      <c r="L598" s="4" t="s">
        <v>968</v>
      </c>
      <c r="M598" s="82">
        <f t="shared" si="2"/>
        <v>266.223</v>
      </c>
      <c r="N598" s="27">
        <f t="shared" si="3"/>
        <v>0.003081284722</v>
      </c>
    </row>
    <row r="599">
      <c r="A599" s="77">
        <v>46102.0</v>
      </c>
      <c r="B599" s="4" t="s">
        <v>960</v>
      </c>
      <c r="C599" s="4" t="s">
        <v>223</v>
      </c>
      <c r="E599" s="70" t="s">
        <v>209</v>
      </c>
      <c r="F599" s="80">
        <f t="shared" si="1"/>
        <v>0.003204340278</v>
      </c>
      <c r="G599" s="4" t="s">
        <v>969</v>
      </c>
      <c r="H599" s="4" t="s">
        <v>225</v>
      </c>
      <c r="I599" s="4" t="s">
        <v>313</v>
      </c>
      <c r="J599" s="81" t="str">
        <f>IFERROR(__xludf.DUMMYFUNCTION("FILTER('賽道紀錄'!E:E, '賽道紀錄'!A:A=B599, '賽道紀錄'!B:B=C599)-F599"),"#VALUE!")</f>
        <v>#VALUE!</v>
      </c>
      <c r="K599" s="4"/>
      <c r="L599" s="4" t="s">
        <v>970</v>
      </c>
      <c r="M599" s="82">
        <f t="shared" si="2"/>
        <v>276.855</v>
      </c>
      <c r="N599" s="27">
        <f t="shared" si="3"/>
        <v>0.003204340278</v>
      </c>
    </row>
    <row r="600">
      <c r="A600" s="77">
        <v>46102.0</v>
      </c>
      <c r="B600" s="4" t="s">
        <v>960</v>
      </c>
      <c r="C600" s="4" t="s">
        <v>223</v>
      </c>
      <c r="E600" s="70" t="s">
        <v>209</v>
      </c>
      <c r="F600" s="80">
        <f t="shared" si="1"/>
        <v>0.00313181713</v>
      </c>
      <c r="G600" s="4" t="s">
        <v>971</v>
      </c>
      <c r="H600" s="4" t="s">
        <v>225</v>
      </c>
      <c r="I600" s="4" t="s">
        <v>313</v>
      </c>
      <c r="J600" s="81" t="str">
        <f>IFERROR(__xludf.DUMMYFUNCTION("FILTER('賽道紀錄'!E:E, '賽道紀錄'!A:A=B600, '賽道紀錄'!B:B=C600)-F600"),"#VALUE!")</f>
        <v>#VALUE!</v>
      </c>
      <c r="K600" s="4"/>
      <c r="L600" s="4" t="s">
        <v>972</v>
      </c>
      <c r="M600" s="82">
        <f t="shared" si="2"/>
        <v>270.589</v>
      </c>
      <c r="N600" s="27">
        <f t="shared" si="3"/>
        <v>0.00313181713</v>
      </c>
    </row>
    <row r="601">
      <c r="A601" s="77">
        <v>46102.0</v>
      </c>
      <c r="B601" s="4" t="s">
        <v>960</v>
      </c>
      <c r="C601" s="4" t="s">
        <v>223</v>
      </c>
      <c r="E601" s="4" t="s">
        <v>956</v>
      </c>
      <c r="F601" s="80">
        <f t="shared" si="1"/>
        <v>0.003278935185</v>
      </c>
      <c r="G601" s="4" t="s">
        <v>965</v>
      </c>
      <c r="H601" s="4" t="s">
        <v>225</v>
      </c>
      <c r="I601" s="4" t="s">
        <v>313</v>
      </c>
      <c r="J601" s="81" t="str">
        <f>IFERROR(__xludf.DUMMYFUNCTION("FILTER('賽道紀錄'!E:E, '賽道紀錄'!A:A=B601, '賽道紀錄'!B:B=C601)-F601"),"#VALUE!")</f>
        <v>#VALUE!</v>
      </c>
      <c r="K601" s="4"/>
      <c r="L601" s="4" t="s">
        <v>973</v>
      </c>
      <c r="M601" s="82">
        <f t="shared" si="2"/>
        <v>283.3</v>
      </c>
      <c r="N601" s="27">
        <f t="shared" si="3"/>
        <v>0.003278935185</v>
      </c>
    </row>
    <row r="602">
      <c r="A602" s="77">
        <v>46102.0</v>
      </c>
      <c r="B602" s="4" t="s">
        <v>960</v>
      </c>
      <c r="C602" s="4" t="s">
        <v>223</v>
      </c>
      <c r="E602" s="4" t="s">
        <v>974</v>
      </c>
      <c r="F602" s="80">
        <f t="shared" si="1"/>
        <v>0.003320983796</v>
      </c>
      <c r="G602" s="4" t="s">
        <v>965</v>
      </c>
      <c r="H602" s="4" t="s">
        <v>225</v>
      </c>
      <c r="I602" s="4" t="s">
        <v>313</v>
      </c>
      <c r="J602" s="81" t="str">
        <f>IFERROR(__xludf.DUMMYFUNCTION("FILTER('賽道紀錄'!E:E, '賽道紀錄'!A:A=B602, '賽道紀錄'!B:B=C602)-F602"),"#VALUE!")</f>
        <v>#VALUE!</v>
      </c>
      <c r="K602" s="4"/>
      <c r="L602" s="4" t="s">
        <v>975</v>
      </c>
      <c r="M602" s="82">
        <f t="shared" si="2"/>
        <v>286.933</v>
      </c>
      <c r="N602" s="27">
        <f t="shared" si="3"/>
        <v>0.003320983796</v>
      </c>
    </row>
    <row r="603">
      <c r="A603" s="77">
        <v>46102.0</v>
      </c>
      <c r="B603" s="4" t="s">
        <v>960</v>
      </c>
      <c r="C603" s="4" t="s">
        <v>223</v>
      </c>
      <c r="E603" s="83" t="s">
        <v>647</v>
      </c>
      <c r="F603" s="80">
        <f t="shared" si="1"/>
        <v>0.003367673611</v>
      </c>
      <c r="G603" s="4" t="s">
        <v>963</v>
      </c>
      <c r="H603" s="4" t="s">
        <v>225</v>
      </c>
      <c r="I603" s="4" t="s">
        <v>313</v>
      </c>
      <c r="J603" s="81" t="str">
        <f>IFERROR(__xludf.DUMMYFUNCTION("FILTER('賽道紀錄'!E:E, '賽道紀錄'!A:A=B603, '賽道紀錄'!B:B=C603)-F603"),"#VALUE!")</f>
        <v>#VALUE!</v>
      </c>
      <c r="K603" s="4"/>
      <c r="L603" s="4" t="s">
        <v>976</v>
      </c>
      <c r="M603" s="82">
        <f t="shared" si="2"/>
        <v>290.967</v>
      </c>
      <c r="N603" s="27">
        <f t="shared" si="3"/>
        <v>0.003367673611</v>
      </c>
    </row>
    <row r="604">
      <c r="A604" s="77">
        <v>46102.0</v>
      </c>
      <c r="B604" s="4" t="s">
        <v>960</v>
      </c>
      <c r="C604" s="4" t="s">
        <v>223</v>
      </c>
      <c r="E604" s="4" t="s">
        <v>977</v>
      </c>
      <c r="F604" s="80">
        <f t="shared" si="1"/>
        <v>0.003933553241</v>
      </c>
      <c r="G604" s="4" t="s">
        <v>978</v>
      </c>
      <c r="H604" s="4" t="s">
        <v>225</v>
      </c>
      <c r="I604" s="4" t="s">
        <v>313</v>
      </c>
      <c r="J604" s="81" t="str">
        <f>IFERROR(__xludf.DUMMYFUNCTION("FILTER('賽道紀錄'!E:E, '賽道紀錄'!A:A=B604, '賽道紀錄'!B:B=C604)-F604"),"#VALUE!")</f>
        <v>#VALUE!</v>
      </c>
      <c r="K604" s="4"/>
      <c r="L604" s="4" t="s">
        <v>979</v>
      </c>
      <c r="M604" s="82">
        <f t="shared" si="2"/>
        <v>339.859</v>
      </c>
      <c r="N604" s="27">
        <f t="shared" si="3"/>
        <v>0.003933553241</v>
      </c>
    </row>
    <row r="605">
      <c r="A605" s="77">
        <v>46102.0</v>
      </c>
      <c r="B605" s="4" t="s">
        <v>960</v>
      </c>
      <c r="C605" s="4" t="s">
        <v>223</v>
      </c>
      <c r="E605" s="4" t="s">
        <v>956</v>
      </c>
      <c r="F605" s="80">
        <f t="shared" si="1"/>
        <v>0.00415818287</v>
      </c>
      <c r="G605" s="4" t="s">
        <v>980</v>
      </c>
      <c r="H605" s="4" t="s">
        <v>225</v>
      </c>
      <c r="I605" s="4" t="s">
        <v>313</v>
      </c>
      <c r="J605" s="81" t="str">
        <f>IFERROR(__xludf.DUMMYFUNCTION("FILTER('賽道紀錄'!E:E, '賽道紀錄'!A:A=B605, '賽道紀錄'!B:B=C605)-F605"),"#VALUE!")</f>
        <v>#VALUE!</v>
      </c>
      <c r="K605" s="4"/>
      <c r="L605" s="4" t="s">
        <v>981</v>
      </c>
      <c r="M605" s="82">
        <f t="shared" si="2"/>
        <v>359.267</v>
      </c>
      <c r="N605" s="27">
        <f t="shared" si="3"/>
        <v>0.00415818287</v>
      </c>
    </row>
    <row r="606">
      <c r="A606" s="77">
        <v>46102.0</v>
      </c>
      <c r="B606" s="4" t="s">
        <v>960</v>
      </c>
      <c r="C606" s="4" t="s">
        <v>223</v>
      </c>
      <c r="E606" s="4" t="s">
        <v>674</v>
      </c>
      <c r="F606" s="80">
        <f t="shared" si="1"/>
        <v>0.004220104167</v>
      </c>
      <c r="G606" s="4" t="s">
        <v>980</v>
      </c>
      <c r="H606" s="4" t="s">
        <v>225</v>
      </c>
      <c r="I606" s="4" t="s">
        <v>313</v>
      </c>
      <c r="J606" s="81" t="str">
        <f>IFERROR(__xludf.DUMMYFUNCTION("FILTER('賽道紀錄'!E:E, '賽道紀錄'!A:A=B606, '賽道紀錄'!B:B=C606)-F606"),"#VALUE!")</f>
        <v>#VALUE!</v>
      </c>
      <c r="K606" s="4"/>
      <c r="L606" s="4" t="s">
        <v>982</v>
      </c>
      <c r="M606" s="82">
        <f t="shared" si="2"/>
        <v>364.617</v>
      </c>
      <c r="N606" s="27">
        <f t="shared" si="3"/>
        <v>0.004220104167</v>
      </c>
    </row>
    <row r="607">
      <c r="A607" s="77">
        <v>46106.0</v>
      </c>
      <c r="B607" s="83" t="s">
        <v>862</v>
      </c>
      <c r="C607" s="93" t="s">
        <v>223</v>
      </c>
      <c r="D607" s="83" t="s">
        <v>205</v>
      </c>
      <c r="E607" s="83" t="s">
        <v>205</v>
      </c>
      <c r="F607" s="88">
        <f t="shared" si="1"/>
        <v>0.001355706019</v>
      </c>
      <c r="G607" s="4" t="s">
        <v>160</v>
      </c>
      <c r="H607" s="70" t="s">
        <v>231</v>
      </c>
      <c r="I607" s="83" t="s">
        <v>313</v>
      </c>
      <c r="J607" s="81">
        <f>IFERROR(__xludf.DUMMYFUNCTION("FILTER('賽道紀錄'!E:E, '賽道紀錄'!A:A=B607, '賽道紀錄'!B:B=C607)-F607"),-3.374421296296296E-4)</f>
        <v>-0.0003374421296</v>
      </c>
      <c r="K607" s="70"/>
      <c r="L607" s="70" t="s">
        <v>983</v>
      </c>
      <c r="M607" s="90">
        <f t="shared" si="2"/>
        <v>117.133</v>
      </c>
      <c r="N607" s="91">
        <f t="shared" si="3"/>
        <v>0.001355706019</v>
      </c>
      <c r="O607" s="83"/>
      <c r="P607" s="83"/>
      <c r="Q607" s="83"/>
      <c r="R607" s="83"/>
      <c r="S607" s="83"/>
      <c r="T607" s="83"/>
      <c r="U607" s="83"/>
      <c r="V607" s="83"/>
      <c r="W607" s="83"/>
      <c r="X607" s="83"/>
      <c r="Y607" s="83"/>
      <c r="Z607" s="83"/>
      <c r="AA607" s="83"/>
      <c r="AB607" s="83"/>
      <c r="AC607" s="83"/>
      <c r="AD607" s="83"/>
    </row>
    <row r="608">
      <c r="A608" s="77">
        <v>46106.0</v>
      </c>
      <c r="B608" s="83" t="s">
        <v>862</v>
      </c>
      <c r="C608" s="93" t="s">
        <v>223</v>
      </c>
      <c r="D608" s="83" t="s">
        <v>205</v>
      </c>
      <c r="E608" s="4" t="s">
        <v>984</v>
      </c>
      <c r="F608" s="88">
        <f t="shared" si="1"/>
        <v>0.001461296296</v>
      </c>
      <c r="G608" s="5" t="s">
        <v>151</v>
      </c>
      <c r="H608" s="70" t="s">
        <v>225</v>
      </c>
      <c r="I608" s="83" t="s">
        <v>313</v>
      </c>
      <c r="J608" s="81">
        <f>IFERROR(__xludf.DUMMYFUNCTION("FILTER('賽道紀錄'!E:E, '賽道紀錄'!A:A=B608, '賽道紀錄'!B:B=C608)-F608"),-4.430324074074074E-4)</f>
        <v>-0.0004430324074</v>
      </c>
      <c r="K608" s="70"/>
      <c r="L608" s="70" t="s">
        <v>985</v>
      </c>
      <c r="M608" s="90">
        <f t="shared" si="2"/>
        <v>126.256</v>
      </c>
      <c r="N608" s="91">
        <f t="shared" si="3"/>
        <v>0.001461296296</v>
      </c>
      <c r="O608" s="83"/>
      <c r="P608" s="83"/>
      <c r="Q608" s="83"/>
      <c r="R608" s="83"/>
      <c r="S608" s="83"/>
      <c r="T608" s="83"/>
      <c r="U608" s="83"/>
      <c r="V608" s="83"/>
      <c r="W608" s="83"/>
      <c r="X608" s="83"/>
      <c r="Y608" s="83"/>
      <c r="Z608" s="83"/>
      <c r="AA608" s="83"/>
      <c r="AB608" s="83"/>
      <c r="AC608" s="83"/>
      <c r="AD608" s="83"/>
    </row>
    <row r="609">
      <c r="A609" s="77">
        <v>46106.0</v>
      </c>
      <c r="B609" s="83" t="s">
        <v>862</v>
      </c>
      <c r="C609" s="93" t="s">
        <v>223</v>
      </c>
      <c r="D609" s="83" t="s">
        <v>205</v>
      </c>
      <c r="E609" s="4" t="s">
        <v>986</v>
      </c>
      <c r="F609" s="88">
        <f t="shared" si="1"/>
        <v>0.001829108796</v>
      </c>
      <c r="G609" s="4" t="s">
        <v>870</v>
      </c>
      <c r="H609" s="70" t="s">
        <v>225</v>
      </c>
      <c r="I609" s="83" t="s">
        <v>313</v>
      </c>
      <c r="J609" s="81">
        <f>IFERROR(__xludf.DUMMYFUNCTION("FILTER('賽道紀錄'!E:E, '賽道紀錄'!A:A=B609, '賽道紀錄'!B:B=C609)-F609"),-8.108449074074075E-4)</f>
        <v>-0.0008108449074</v>
      </c>
      <c r="K609" s="70"/>
      <c r="L609" s="70" t="s">
        <v>987</v>
      </c>
      <c r="M609" s="90">
        <f t="shared" si="2"/>
        <v>158.035</v>
      </c>
      <c r="N609" s="91">
        <f t="shared" si="3"/>
        <v>0.001829108796</v>
      </c>
      <c r="O609" s="83"/>
      <c r="P609" s="83"/>
      <c r="Q609" s="83"/>
      <c r="R609" s="83"/>
      <c r="S609" s="83"/>
      <c r="T609" s="83"/>
      <c r="U609" s="83"/>
      <c r="V609" s="83"/>
      <c r="W609" s="83"/>
      <c r="X609" s="83"/>
      <c r="Y609" s="83"/>
      <c r="Z609" s="83"/>
      <c r="AA609" s="83"/>
      <c r="AB609" s="83"/>
      <c r="AC609" s="83"/>
      <c r="AD609" s="83"/>
    </row>
    <row r="610">
      <c r="A610" s="77">
        <v>46106.0</v>
      </c>
      <c r="B610" s="83" t="s">
        <v>862</v>
      </c>
      <c r="C610" s="93" t="s">
        <v>223</v>
      </c>
      <c r="D610" s="83" t="s">
        <v>205</v>
      </c>
      <c r="E610" s="4" t="s">
        <v>988</v>
      </c>
      <c r="F610" s="88">
        <f t="shared" si="1"/>
        <v>0.001847511574</v>
      </c>
      <c r="G610" s="4" t="s">
        <v>155</v>
      </c>
      <c r="H610" s="70" t="s">
        <v>225</v>
      </c>
      <c r="I610" s="83" t="s">
        <v>313</v>
      </c>
      <c r="J610" s="81">
        <f>IFERROR(__xludf.DUMMYFUNCTION("FILTER('賽道紀錄'!E:E, '賽道紀錄'!A:A=B610, '賽道紀錄'!B:B=C610)-F610"),-8.292476851851853E-4)</f>
        <v>-0.0008292476852</v>
      </c>
      <c r="K610" s="70"/>
      <c r="L610" s="70" t="s">
        <v>989</v>
      </c>
      <c r="M610" s="90">
        <f t="shared" si="2"/>
        <v>159.625</v>
      </c>
      <c r="N610" s="91">
        <f t="shared" si="3"/>
        <v>0.001847511574</v>
      </c>
      <c r="O610" s="83"/>
      <c r="P610" s="83"/>
      <c r="Q610" s="83"/>
      <c r="R610" s="83"/>
      <c r="S610" s="83"/>
      <c r="T610" s="83"/>
      <c r="U610" s="83"/>
      <c r="V610" s="83"/>
      <c r="W610" s="83"/>
      <c r="X610" s="83"/>
      <c r="Y610" s="83"/>
      <c r="Z610" s="83"/>
      <c r="AA610" s="83"/>
      <c r="AB610" s="83"/>
      <c r="AC610" s="83"/>
      <c r="AD610" s="83"/>
    </row>
    <row r="611">
      <c r="A611" s="77">
        <v>46106.0</v>
      </c>
      <c r="B611" s="83" t="s">
        <v>862</v>
      </c>
      <c r="C611" s="93" t="s">
        <v>223</v>
      </c>
      <c r="D611" s="83" t="s">
        <v>205</v>
      </c>
      <c r="E611" s="83" t="s">
        <v>205</v>
      </c>
      <c r="F611" s="88">
        <f t="shared" si="1"/>
        <v>0.001302083333</v>
      </c>
      <c r="G611" s="4" t="s">
        <v>155</v>
      </c>
      <c r="H611" s="70" t="s">
        <v>231</v>
      </c>
      <c r="I611" s="83" t="s">
        <v>313</v>
      </c>
      <c r="J611" s="81">
        <f>IFERROR(__xludf.DUMMYFUNCTION("FILTER('賽道紀錄'!E:E, '賽道紀錄'!A:A=B611, '賽道紀錄'!B:B=C611)-F611"),-2.838194444444444E-4)</f>
        <v>-0.0002838194444</v>
      </c>
      <c r="K611" s="70"/>
      <c r="L611" s="70" t="s">
        <v>990</v>
      </c>
      <c r="M611" s="90">
        <f t="shared" si="2"/>
        <v>112.5</v>
      </c>
      <c r="N611" s="91">
        <f t="shared" si="3"/>
        <v>0.001302083333</v>
      </c>
      <c r="O611" s="83"/>
      <c r="P611" s="83"/>
      <c r="Q611" s="83"/>
      <c r="R611" s="83"/>
      <c r="S611" s="83"/>
      <c r="T611" s="83"/>
      <c r="U611" s="83"/>
      <c r="V611" s="83"/>
      <c r="W611" s="83"/>
      <c r="X611" s="83"/>
      <c r="Y611" s="83"/>
      <c r="Z611" s="83"/>
      <c r="AA611" s="83"/>
      <c r="AB611" s="83"/>
      <c r="AC611" s="83"/>
      <c r="AD611" s="83"/>
    </row>
    <row r="612">
      <c r="A612" s="77">
        <v>46107.0</v>
      </c>
      <c r="B612" s="4" t="s">
        <v>297</v>
      </c>
      <c r="C612" s="4" t="s">
        <v>223</v>
      </c>
      <c r="D612" s="4" t="s">
        <v>720</v>
      </c>
      <c r="E612" s="4" t="s">
        <v>245</v>
      </c>
      <c r="F612" s="80">
        <f t="shared" si="1"/>
        <v>0.002489467593</v>
      </c>
      <c r="G612" s="4" t="s">
        <v>123</v>
      </c>
      <c r="H612" s="4" t="s">
        <v>231</v>
      </c>
      <c r="I612" s="4" t="s">
        <v>226</v>
      </c>
      <c r="J612" s="81">
        <f>IFERROR(__xludf.DUMMYFUNCTION("FILTER('賽道紀錄'!E:E, '賽道紀錄'!A:A=B612, '賽道紀錄'!B:B=C612)-F612"),0.0)</f>
        <v>0</v>
      </c>
      <c r="K612" s="4"/>
      <c r="L612" s="4" t="s">
        <v>991</v>
      </c>
      <c r="M612" s="82">
        <f t="shared" si="2"/>
        <v>215.09</v>
      </c>
      <c r="N612" s="27">
        <f t="shared" si="3"/>
        <v>0.002489467593</v>
      </c>
    </row>
    <row r="613">
      <c r="A613" s="77">
        <v>46109.0</v>
      </c>
      <c r="B613" s="4" t="s">
        <v>297</v>
      </c>
      <c r="C613" s="4" t="s">
        <v>223</v>
      </c>
      <c r="D613" s="4" t="s">
        <v>720</v>
      </c>
      <c r="E613" s="4" t="s">
        <v>304</v>
      </c>
      <c r="F613" s="80">
        <f t="shared" si="1"/>
        <v>0.002475798611</v>
      </c>
      <c r="G613" s="4" t="s">
        <v>123</v>
      </c>
      <c r="H613" s="4" t="s">
        <v>225</v>
      </c>
      <c r="I613" s="4" t="s">
        <v>226</v>
      </c>
      <c r="J613" s="81">
        <f>IFERROR(__xludf.DUMMYFUNCTION("FILTER('賽道紀錄'!E:E, '賽道紀錄'!A:A=B613, '賽道紀錄'!B:B=C613)-F613"),1.3668981481481692E-5)</f>
        <v>0.00001366898148</v>
      </c>
      <c r="K613" s="4"/>
      <c r="L613" s="4" t="s">
        <v>992</v>
      </c>
      <c r="M613" s="82">
        <f t="shared" si="2"/>
        <v>213.909</v>
      </c>
      <c r="N613" s="27">
        <f t="shared" si="3"/>
        <v>0.002475798611</v>
      </c>
    </row>
    <row r="614">
      <c r="A614" s="77">
        <v>46111.0</v>
      </c>
      <c r="B614" s="4" t="s">
        <v>914</v>
      </c>
      <c r="C614" s="4" t="s">
        <v>223</v>
      </c>
      <c r="E614" s="4" t="s">
        <v>609</v>
      </c>
      <c r="F614" s="80">
        <f t="shared" si="1"/>
        <v>0.002020347222</v>
      </c>
      <c r="G614" s="4" t="s">
        <v>993</v>
      </c>
      <c r="H614" s="4" t="s">
        <v>225</v>
      </c>
      <c r="I614" s="4" t="s">
        <v>313</v>
      </c>
      <c r="J614" s="81">
        <f>IFERROR(__xludf.DUMMYFUNCTION("FILTER('賽道紀錄'!E:E, '賽道紀錄'!A:A=B614, '賽道紀錄'!B:B=C614)-F614"),-8.202430555555558E-4)</f>
        <v>-0.0008202430556</v>
      </c>
      <c r="K614" s="4"/>
      <c r="L614" s="4" t="s">
        <v>994</v>
      </c>
      <c r="M614" s="82">
        <f t="shared" si="2"/>
        <v>174.558</v>
      </c>
      <c r="N614" s="27">
        <f t="shared" si="3"/>
        <v>0.002020347222</v>
      </c>
    </row>
    <row r="615">
      <c r="A615" s="77">
        <v>46111.0</v>
      </c>
      <c r="B615" s="4" t="s">
        <v>914</v>
      </c>
      <c r="C615" s="4" t="s">
        <v>223</v>
      </c>
      <c r="E615" s="83" t="s">
        <v>647</v>
      </c>
      <c r="F615" s="80">
        <f t="shared" si="1"/>
        <v>0.001533854167</v>
      </c>
      <c r="G615" s="4" t="s">
        <v>917</v>
      </c>
      <c r="H615" s="4" t="s">
        <v>225</v>
      </c>
      <c r="I615" s="4" t="s">
        <v>313</v>
      </c>
      <c r="J615" s="81">
        <f>IFERROR(__xludf.DUMMYFUNCTION("FILTER('賽道紀錄'!E:E, '賽道紀錄'!A:A=B615, '賽道紀錄'!B:B=C615)-F615"),-3.337500000000003E-4)</f>
        <v>-0.00033375</v>
      </c>
      <c r="K615" s="4"/>
      <c r="L615" s="4" t="s">
        <v>995</v>
      </c>
      <c r="M615" s="82">
        <f t="shared" si="2"/>
        <v>132.525</v>
      </c>
      <c r="N615" s="27">
        <f t="shared" si="3"/>
        <v>0.001533854167</v>
      </c>
    </row>
    <row r="616">
      <c r="A616" s="77">
        <v>46111.0</v>
      </c>
      <c r="B616" s="4" t="s">
        <v>914</v>
      </c>
      <c r="C616" s="4" t="s">
        <v>223</v>
      </c>
      <c r="E616" s="4" t="s">
        <v>977</v>
      </c>
      <c r="F616" s="80">
        <f t="shared" si="1"/>
        <v>0.001489918981</v>
      </c>
      <c r="G616" s="4" t="s">
        <v>917</v>
      </c>
      <c r="H616" s="4" t="s">
        <v>225</v>
      </c>
      <c r="I616" s="4" t="s">
        <v>313</v>
      </c>
      <c r="J616" s="81">
        <f>IFERROR(__xludf.DUMMYFUNCTION("FILTER('賽道紀錄'!E:E, '賽道紀錄'!A:A=B616, '賽道紀錄'!B:B=C616)-F616"),-2.89814814814815E-4)</f>
        <v>-0.0002898148148</v>
      </c>
      <c r="K616" s="4"/>
      <c r="L616" s="4" t="s">
        <v>996</v>
      </c>
      <c r="M616" s="82">
        <f t="shared" si="2"/>
        <v>128.729</v>
      </c>
      <c r="N616" s="27">
        <f t="shared" si="3"/>
        <v>0.001489918981</v>
      </c>
    </row>
    <row r="617">
      <c r="A617" s="77">
        <v>46111.0</v>
      </c>
      <c r="B617" s="4" t="s">
        <v>914</v>
      </c>
      <c r="C617" s="4" t="s">
        <v>223</v>
      </c>
      <c r="E617" s="83" t="s">
        <v>205</v>
      </c>
      <c r="F617" s="80">
        <f t="shared" si="1"/>
        <v>0.001472418981</v>
      </c>
      <c r="G617" s="4" t="s">
        <v>919</v>
      </c>
      <c r="H617" s="4" t="s">
        <v>231</v>
      </c>
      <c r="I617" s="4" t="s">
        <v>313</v>
      </c>
      <c r="J617" s="81">
        <f>IFERROR(__xludf.DUMMYFUNCTION("FILTER('賽道紀錄'!E:E, '賽道紀錄'!A:A=B617, '賽道紀錄'!B:B=C617)-F617"),-2.7231481481481486E-4)</f>
        <v>-0.0002723148148</v>
      </c>
      <c r="K617" s="4"/>
      <c r="L617" s="4" t="s">
        <v>997</v>
      </c>
      <c r="M617" s="82">
        <f t="shared" si="2"/>
        <v>127.217</v>
      </c>
      <c r="N617" s="27">
        <f t="shared" si="3"/>
        <v>0.001472418981</v>
      </c>
    </row>
    <row r="618">
      <c r="A618" s="77">
        <v>46111.0</v>
      </c>
      <c r="B618" s="4" t="s">
        <v>914</v>
      </c>
      <c r="C618" s="4" t="s">
        <v>223</v>
      </c>
      <c r="E618" s="70" t="s">
        <v>929</v>
      </c>
      <c r="F618" s="80">
        <f t="shared" si="1"/>
        <v>0.00146875</v>
      </c>
      <c r="G618" s="4" t="s">
        <v>998</v>
      </c>
      <c r="H618" s="4" t="s">
        <v>225</v>
      </c>
      <c r="I618" s="4" t="s">
        <v>313</v>
      </c>
      <c r="J618" s="81">
        <f>IFERROR(__xludf.DUMMYFUNCTION("FILTER('賽道紀錄'!E:E, '賽道紀錄'!A:A=B618, '賽道紀錄'!B:B=C618)-F618"),-2.686458333333336E-4)</f>
        <v>-0.0002686458333</v>
      </c>
      <c r="K618" s="4"/>
      <c r="L618" s="4" t="s">
        <v>999</v>
      </c>
      <c r="M618" s="82">
        <f t="shared" si="2"/>
        <v>126.9</v>
      </c>
      <c r="N618" s="27">
        <f t="shared" si="3"/>
        <v>0.00146875</v>
      </c>
    </row>
    <row r="619">
      <c r="A619" s="77">
        <v>46111.0</v>
      </c>
      <c r="B619" s="4" t="s">
        <v>914</v>
      </c>
      <c r="C619" s="4" t="s">
        <v>223</v>
      </c>
      <c r="E619" s="4" t="s">
        <v>977</v>
      </c>
      <c r="F619" s="80">
        <f t="shared" si="1"/>
        <v>0.001391585648</v>
      </c>
      <c r="G619" s="4" t="s">
        <v>1000</v>
      </c>
      <c r="H619" s="4" t="s">
        <v>225</v>
      </c>
      <c r="I619" s="4" t="s">
        <v>313</v>
      </c>
      <c r="J619" s="81">
        <f>IFERROR(__xludf.DUMMYFUNCTION("FILTER('賽道紀錄'!E:E, '賽道紀錄'!A:A=B619, '賽道紀錄'!B:B=C619)-F619"),-1.914814814814815E-4)</f>
        <v>-0.0001914814815</v>
      </c>
      <c r="K619" s="4"/>
      <c r="L619" s="4" t="s">
        <v>1001</v>
      </c>
      <c r="M619" s="82">
        <f t="shared" si="2"/>
        <v>120.233</v>
      </c>
      <c r="N619" s="27">
        <f t="shared" si="3"/>
        <v>0.001391585648</v>
      </c>
    </row>
    <row r="620">
      <c r="A620" s="77">
        <v>46111.0</v>
      </c>
      <c r="B620" s="4" t="s">
        <v>914</v>
      </c>
      <c r="C620" s="4" t="s">
        <v>223</v>
      </c>
      <c r="E620" s="70" t="s">
        <v>929</v>
      </c>
      <c r="F620" s="80">
        <f t="shared" si="1"/>
        <v>0.0013590625</v>
      </c>
      <c r="G620" s="4" t="s">
        <v>1002</v>
      </c>
      <c r="H620" s="4" t="s">
        <v>225</v>
      </c>
      <c r="I620" s="4" t="s">
        <v>313</v>
      </c>
      <c r="J620" s="81">
        <f>IFERROR(__xludf.DUMMYFUNCTION("FILTER('賽道紀錄'!E:E, '賽道紀錄'!A:A=B620, '賽道紀錄'!B:B=C620)-F620"),-1.5895833333333343E-4)</f>
        <v>-0.0001589583333</v>
      </c>
      <c r="K620" s="4"/>
      <c r="L620" s="4" t="s">
        <v>1003</v>
      </c>
      <c r="M620" s="82">
        <f t="shared" si="2"/>
        <v>117.423</v>
      </c>
      <c r="N620" s="27">
        <f t="shared" si="3"/>
        <v>0.0013590625</v>
      </c>
    </row>
    <row r="621">
      <c r="A621" s="77">
        <v>46111.0</v>
      </c>
      <c r="B621" s="4" t="s">
        <v>914</v>
      </c>
      <c r="C621" s="4" t="s">
        <v>223</v>
      </c>
      <c r="E621" s="70" t="s">
        <v>929</v>
      </c>
      <c r="F621" s="80">
        <f t="shared" si="1"/>
        <v>0.001329861111</v>
      </c>
      <c r="G621" s="4" t="s">
        <v>1004</v>
      </c>
      <c r="H621" s="4" t="s">
        <v>225</v>
      </c>
      <c r="I621" s="4" t="s">
        <v>313</v>
      </c>
      <c r="J621" s="81">
        <f>IFERROR(__xludf.DUMMYFUNCTION("FILTER('賽道紀錄'!E:E, '賽道紀錄'!A:A=B621, '賽道紀錄'!B:B=C621)-F621"),-1.297569444444447E-4)</f>
        <v>-0.0001297569444</v>
      </c>
      <c r="K621" s="4"/>
      <c r="L621" s="4" t="s">
        <v>1005</v>
      </c>
      <c r="M621" s="82">
        <f t="shared" si="2"/>
        <v>114.9</v>
      </c>
      <c r="N621" s="27">
        <f t="shared" si="3"/>
        <v>0.001329861111</v>
      </c>
    </row>
    <row r="622">
      <c r="A622" s="77">
        <v>46111.0</v>
      </c>
      <c r="B622" s="4" t="s">
        <v>914</v>
      </c>
      <c r="C622" s="4" t="s">
        <v>223</v>
      </c>
      <c r="E622" s="4" t="s">
        <v>609</v>
      </c>
      <c r="F622" s="80">
        <f t="shared" si="1"/>
        <v>0.001304594907</v>
      </c>
      <c r="G622" s="4" t="s">
        <v>1000</v>
      </c>
      <c r="H622" s="4" t="s">
        <v>225</v>
      </c>
      <c r="I622" s="4" t="s">
        <v>313</v>
      </c>
      <c r="J622" s="81">
        <f>IFERROR(__xludf.DUMMYFUNCTION("FILTER('賽道紀錄'!E:E, '賽道紀錄'!A:A=B622, '賽道紀錄'!B:B=C622)-F622"),-1.0449074074074072E-4)</f>
        <v>-0.0001044907407</v>
      </c>
      <c r="K622" s="4"/>
      <c r="L622" s="4" t="s">
        <v>1006</v>
      </c>
      <c r="M622" s="82">
        <f t="shared" si="2"/>
        <v>112.717</v>
      </c>
      <c r="N622" s="27">
        <f t="shared" si="3"/>
        <v>0.001304594907</v>
      </c>
    </row>
    <row r="623">
      <c r="A623" s="77">
        <v>46111.0</v>
      </c>
      <c r="B623" s="4" t="s">
        <v>914</v>
      </c>
      <c r="C623" s="4" t="s">
        <v>223</v>
      </c>
      <c r="E623" s="83" t="s">
        <v>647</v>
      </c>
      <c r="F623" s="80">
        <f t="shared" si="1"/>
        <v>0.001301412037</v>
      </c>
      <c r="G623" s="4" t="s">
        <v>998</v>
      </c>
      <c r="H623" s="4" t="s">
        <v>225</v>
      </c>
      <c r="I623" s="4" t="s">
        <v>313</v>
      </c>
      <c r="J623" s="81">
        <f>IFERROR(__xludf.DUMMYFUNCTION("FILTER('賽道紀錄'!E:E, '賽道紀錄'!A:A=B623, '賽道紀錄'!B:B=C623)-F623"),-1.0130787037037031E-4)</f>
        <v>-0.0001013078704</v>
      </c>
      <c r="K623" s="4"/>
      <c r="L623" s="4" t="s">
        <v>1007</v>
      </c>
      <c r="M623" s="82">
        <f t="shared" si="2"/>
        <v>112.442</v>
      </c>
      <c r="N623" s="27">
        <f t="shared" si="3"/>
        <v>0.001301412037</v>
      </c>
    </row>
    <row r="624">
      <c r="A624" s="77">
        <v>46111.0</v>
      </c>
      <c r="B624" s="4" t="s">
        <v>914</v>
      </c>
      <c r="C624" s="4" t="s">
        <v>223</v>
      </c>
      <c r="E624" s="83" t="s">
        <v>647</v>
      </c>
      <c r="F624" s="80">
        <f t="shared" si="1"/>
        <v>0.001299386574</v>
      </c>
      <c r="G624" s="4" t="s">
        <v>954</v>
      </c>
      <c r="H624" s="4" t="s">
        <v>225</v>
      </c>
      <c r="I624" s="4" t="s">
        <v>313</v>
      </c>
      <c r="J624" s="81">
        <f>IFERROR(__xludf.DUMMYFUNCTION("FILTER('賽道紀錄'!E:E, '賽道紀錄'!A:A=B624, '賽道紀錄'!B:B=C624)-F624"),-9.928240740740752E-5)</f>
        <v>-0.00009928240741</v>
      </c>
      <c r="K624" s="4"/>
      <c r="L624" s="4" t="s">
        <v>1008</v>
      </c>
      <c r="M624" s="82">
        <f t="shared" si="2"/>
        <v>112.267</v>
      </c>
      <c r="N624" s="27">
        <f t="shared" si="3"/>
        <v>0.001299386574</v>
      </c>
    </row>
    <row r="625">
      <c r="A625" s="77">
        <v>46111.0</v>
      </c>
      <c r="B625" s="4" t="s">
        <v>914</v>
      </c>
      <c r="C625" s="4" t="s">
        <v>223</v>
      </c>
      <c r="E625" s="70" t="s">
        <v>209</v>
      </c>
      <c r="F625" s="80">
        <f t="shared" si="1"/>
        <v>0.001200104167</v>
      </c>
      <c r="G625" s="4" t="s">
        <v>998</v>
      </c>
      <c r="H625" s="4" t="s">
        <v>225</v>
      </c>
      <c r="I625" s="4" t="s">
        <v>313</v>
      </c>
      <c r="J625" s="81">
        <f>IFERROR(__xludf.DUMMYFUNCTION("FILTER('賽道紀錄'!E:E, '賽道紀錄'!A:A=B625, '賽道紀錄'!B:B=C625)-F625"),0.0)</f>
        <v>0</v>
      </c>
      <c r="K625" s="4"/>
      <c r="L625" s="4" t="s">
        <v>1009</v>
      </c>
      <c r="M625" s="82">
        <f t="shared" si="2"/>
        <v>103.689</v>
      </c>
      <c r="N625" s="27">
        <f t="shared" si="3"/>
        <v>0.001200104167</v>
      </c>
    </row>
    <row r="626">
      <c r="A626" s="77">
        <v>46117.0</v>
      </c>
      <c r="B626" s="4" t="s">
        <v>1010</v>
      </c>
      <c r="C626" s="4"/>
      <c r="E626" s="70" t="s">
        <v>929</v>
      </c>
      <c r="F626" s="80">
        <f t="shared" si="1"/>
        <v>0.0001963773148</v>
      </c>
      <c r="G626" s="4" t="s">
        <v>1011</v>
      </c>
      <c r="H626" s="4" t="s">
        <v>225</v>
      </c>
      <c r="I626" s="4" t="s">
        <v>313</v>
      </c>
      <c r="J626" s="81">
        <f>IFERROR(__xludf.DUMMYFUNCTION("FILTER('賽道紀錄'!E:E, '賽道紀錄'!A:A=B626, '賽道紀錄'!B:B=C626)-F626"),-1.963773148148148E-4)</f>
        <v>-0.0001963773148</v>
      </c>
      <c r="K626" s="4"/>
      <c r="L626" s="4" t="s">
        <v>1012</v>
      </c>
      <c r="M626" s="82">
        <f t="shared" si="2"/>
        <v>16.967</v>
      </c>
      <c r="N626" s="27">
        <f t="shared" si="3"/>
        <v>0.0001963773148</v>
      </c>
    </row>
    <row r="627">
      <c r="A627" s="77">
        <v>46117.0</v>
      </c>
      <c r="B627" s="4" t="s">
        <v>1010</v>
      </c>
      <c r="C627" s="4"/>
      <c r="E627" s="4" t="s">
        <v>888</v>
      </c>
      <c r="F627" s="80">
        <f t="shared" si="1"/>
        <v>0.000234525463</v>
      </c>
      <c r="G627" s="4" t="s">
        <v>1011</v>
      </c>
      <c r="H627" s="4" t="s">
        <v>225</v>
      </c>
      <c r="I627" s="4" t="s">
        <v>313</v>
      </c>
      <c r="J627" s="81">
        <f>IFERROR(__xludf.DUMMYFUNCTION("FILTER('賽道紀錄'!E:E, '賽道紀錄'!A:A=B627, '賽道紀錄'!B:B=C627)-F627"),-2.34525462962963E-4)</f>
        <v>-0.000234525463</v>
      </c>
      <c r="K627" s="4"/>
      <c r="L627" s="4" t="s">
        <v>1013</v>
      </c>
      <c r="M627" s="82">
        <f t="shared" si="2"/>
        <v>20.263</v>
      </c>
      <c r="N627" s="27">
        <f t="shared" si="3"/>
        <v>0.000234525463</v>
      </c>
    </row>
    <row r="628">
      <c r="A628" s="77">
        <v>46117.0</v>
      </c>
      <c r="B628" s="4" t="s">
        <v>1010</v>
      </c>
      <c r="C628" s="4"/>
      <c r="E628" s="4" t="s">
        <v>956</v>
      </c>
      <c r="F628" s="80">
        <f t="shared" si="1"/>
        <v>0.0002352083333</v>
      </c>
      <c r="G628" s="4" t="s">
        <v>1011</v>
      </c>
      <c r="H628" s="4" t="s">
        <v>225</v>
      </c>
      <c r="I628" s="4" t="s">
        <v>313</v>
      </c>
      <c r="J628" s="81">
        <f>IFERROR(__xludf.DUMMYFUNCTION("FILTER('賽道紀錄'!E:E, '賽道紀錄'!A:A=B628, '賽道紀錄'!B:B=C628)-F628"),-2.3520833333333334E-4)</f>
        <v>-0.0002352083333</v>
      </c>
      <c r="K628" s="4"/>
      <c r="L628" s="4" t="s">
        <v>1014</v>
      </c>
      <c r="M628" s="82">
        <f t="shared" si="2"/>
        <v>20.322</v>
      </c>
      <c r="N628" s="27">
        <f t="shared" si="3"/>
        <v>0.0002352083333</v>
      </c>
    </row>
    <row r="629">
      <c r="A629" s="77">
        <v>46117.0</v>
      </c>
      <c r="B629" s="4" t="s">
        <v>1010</v>
      </c>
      <c r="C629" s="4"/>
      <c r="E629" s="4" t="s">
        <v>315</v>
      </c>
      <c r="F629" s="80">
        <f t="shared" si="1"/>
        <v>0.0002356597222</v>
      </c>
      <c r="G629" s="4" t="s">
        <v>1011</v>
      </c>
      <c r="H629" s="4" t="s">
        <v>225</v>
      </c>
      <c r="I629" s="4" t="s">
        <v>313</v>
      </c>
      <c r="J629" s="81">
        <f>IFERROR(__xludf.DUMMYFUNCTION("FILTER('賽道紀錄'!E:E, '賽道紀錄'!A:A=B629, '賽道紀錄'!B:B=C629)-F629"),-2.3565972222222225E-4)</f>
        <v>-0.0002356597222</v>
      </c>
      <c r="K629" s="4"/>
      <c r="L629" s="4" t="s">
        <v>1015</v>
      </c>
      <c r="M629" s="82">
        <f t="shared" si="2"/>
        <v>20.361</v>
      </c>
      <c r="N629" s="27">
        <f t="shared" si="3"/>
        <v>0.0002356597222</v>
      </c>
    </row>
    <row r="630">
      <c r="A630" s="77">
        <v>46117.0</v>
      </c>
      <c r="B630" s="4" t="s">
        <v>1010</v>
      </c>
      <c r="C630" s="4"/>
      <c r="E630" s="70" t="s">
        <v>674</v>
      </c>
      <c r="F630" s="80">
        <f t="shared" si="1"/>
        <v>0.0002362384259</v>
      </c>
      <c r="G630" s="4" t="s">
        <v>1011</v>
      </c>
      <c r="H630" s="4" t="s">
        <v>225</v>
      </c>
      <c r="I630" s="4" t="s">
        <v>313</v>
      </c>
      <c r="J630" s="81">
        <f>IFERROR(__xludf.DUMMYFUNCTION("FILTER('賽道紀錄'!E:E, '賽道紀錄'!A:A=B630, '賽道紀錄'!B:B=C630)-F630"),-2.3623842592592595E-4)</f>
        <v>-0.0002362384259</v>
      </c>
      <c r="K630" s="4"/>
      <c r="L630" s="4" t="s">
        <v>1016</v>
      </c>
      <c r="M630" s="82">
        <f t="shared" si="2"/>
        <v>20.411</v>
      </c>
      <c r="N630" s="27">
        <f t="shared" si="3"/>
        <v>0.0002362384259</v>
      </c>
    </row>
    <row r="631">
      <c r="A631" s="77">
        <v>46117.0</v>
      </c>
      <c r="B631" s="4" t="s">
        <v>1010</v>
      </c>
      <c r="C631" s="4"/>
      <c r="E631" s="83" t="s">
        <v>647</v>
      </c>
      <c r="F631" s="80">
        <f t="shared" si="1"/>
        <v>0.0002378472222</v>
      </c>
      <c r="G631" s="4" t="s">
        <v>1011</v>
      </c>
      <c r="H631" s="4" t="s">
        <v>225</v>
      </c>
      <c r="I631" s="4" t="s">
        <v>313</v>
      </c>
      <c r="J631" s="81">
        <f>IFERROR(__xludf.DUMMYFUNCTION("FILTER('賽道紀錄'!E:E, '賽道紀錄'!A:A=B631, '賽道紀錄'!B:B=C631)-F631"),-2.3784722222222222E-4)</f>
        <v>-0.0002378472222</v>
      </c>
      <c r="K631" s="4"/>
      <c r="L631" s="4" t="s">
        <v>1017</v>
      </c>
      <c r="M631" s="82">
        <f t="shared" si="2"/>
        <v>20.55</v>
      </c>
      <c r="N631" s="27">
        <f t="shared" si="3"/>
        <v>0.0002378472222</v>
      </c>
    </row>
    <row r="632">
      <c r="A632" s="77">
        <v>46117.0</v>
      </c>
      <c r="B632" s="4" t="s">
        <v>1010</v>
      </c>
      <c r="C632" s="4"/>
      <c r="E632" s="83" t="s">
        <v>205</v>
      </c>
      <c r="F632" s="80">
        <f t="shared" si="1"/>
        <v>0.00028125</v>
      </c>
      <c r="G632" s="4" t="s">
        <v>1011</v>
      </c>
      <c r="H632" s="4" t="s">
        <v>231</v>
      </c>
      <c r="I632" s="4" t="s">
        <v>313</v>
      </c>
      <c r="J632" s="81">
        <f>IFERROR(__xludf.DUMMYFUNCTION("FILTER('賽道紀錄'!E:E, '賽道紀錄'!A:A=B632, '賽道紀錄'!B:B=C632)-F632"),-2.8125E-4)</f>
        <v>-0.00028125</v>
      </c>
      <c r="K632" s="4"/>
      <c r="L632" s="4" t="s">
        <v>1018</v>
      </c>
      <c r="M632" s="82">
        <f t="shared" si="2"/>
        <v>24.3</v>
      </c>
      <c r="N632" s="27">
        <f t="shared" si="3"/>
        <v>0.00028125</v>
      </c>
    </row>
    <row r="633">
      <c r="A633" s="77">
        <v>46117.0</v>
      </c>
      <c r="B633" s="4" t="s">
        <v>1010</v>
      </c>
      <c r="C633" s="4"/>
      <c r="E633" s="70" t="s">
        <v>1019</v>
      </c>
      <c r="F633" s="80">
        <f t="shared" si="1"/>
        <v>0.0002817708333</v>
      </c>
      <c r="G633" s="4" t="s">
        <v>1011</v>
      </c>
      <c r="H633" s="4" t="s">
        <v>225</v>
      </c>
      <c r="I633" s="4" t="s">
        <v>313</v>
      </c>
      <c r="J633" s="81">
        <f>IFERROR(__xludf.DUMMYFUNCTION("FILTER('賽道紀錄'!E:E, '賽道紀錄'!A:A=B633, '賽道紀錄'!B:B=C633)-F633"),-2.817708333333333E-4)</f>
        <v>-0.0002817708333</v>
      </c>
      <c r="K633" s="4"/>
      <c r="L633" s="4" t="s">
        <v>1020</v>
      </c>
      <c r="M633" s="82">
        <f t="shared" si="2"/>
        <v>24.345</v>
      </c>
      <c r="N633" s="27">
        <f t="shared" si="3"/>
        <v>0.0002817708333</v>
      </c>
    </row>
    <row r="634">
      <c r="A634" s="77">
        <v>46117.0</v>
      </c>
      <c r="B634" s="4" t="s">
        <v>1010</v>
      </c>
      <c r="C634" s="4"/>
      <c r="E634" s="70" t="s">
        <v>1021</v>
      </c>
      <c r="F634" s="80">
        <f t="shared" si="1"/>
        <v>0.0003102546296</v>
      </c>
      <c r="G634" s="4" t="s">
        <v>1011</v>
      </c>
      <c r="H634" s="4" t="s">
        <v>225</v>
      </c>
      <c r="I634" s="4" t="s">
        <v>313</v>
      </c>
      <c r="J634" s="81">
        <f>IFERROR(__xludf.DUMMYFUNCTION("FILTER('賽道紀錄'!E:E, '賽道紀錄'!A:A=B634, '賽道紀錄'!B:B=C634)-F634"),-3.1025462962962967E-4)</f>
        <v>-0.0003102546296</v>
      </c>
      <c r="K634" s="4"/>
      <c r="L634" s="4" t="s">
        <v>1022</v>
      </c>
      <c r="M634" s="82">
        <f t="shared" si="2"/>
        <v>26.806</v>
      </c>
      <c r="N634" s="27">
        <f t="shared" si="3"/>
        <v>0.0003102546296</v>
      </c>
    </row>
    <row r="635">
      <c r="A635" s="77">
        <v>46117.0</v>
      </c>
      <c r="B635" s="4" t="s">
        <v>1010</v>
      </c>
      <c r="C635" s="4"/>
      <c r="E635" s="70" t="s">
        <v>984</v>
      </c>
      <c r="F635" s="80">
        <f t="shared" si="1"/>
        <v>0.0003105671296</v>
      </c>
      <c r="G635" s="4" t="s">
        <v>1011</v>
      </c>
      <c r="H635" s="4" t="s">
        <v>225</v>
      </c>
      <c r="I635" s="4" t="s">
        <v>313</v>
      </c>
      <c r="J635" s="81">
        <f>IFERROR(__xludf.DUMMYFUNCTION("FILTER('賽道紀錄'!E:E, '賽道紀錄'!A:A=B635, '賽道紀錄'!B:B=C635)-F635"),-3.105671296296296E-4)</f>
        <v>-0.0003105671296</v>
      </c>
      <c r="K635" s="4"/>
      <c r="L635" s="4" t="s">
        <v>1023</v>
      </c>
      <c r="M635" s="82">
        <f t="shared" si="2"/>
        <v>26.833</v>
      </c>
      <c r="N635" s="27">
        <f t="shared" si="3"/>
        <v>0.0003105671296</v>
      </c>
    </row>
    <row r="636">
      <c r="A636" s="77">
        <v>46117.0</v>
      </c>
      <c r="B636" s="4" t="s">
        <v>1010</v>
      </c>
      <c r="C636" s="4"/>
      <c r="E636" s="70" t="s">
        <v>1024</v>
      </c>
      <c r="F636" s="80">
        <f t="shared" si="1"/>
        <v>0.0003869560185</v>
      </c>
      <c r="G636" s="4" t="s">
        <v>1011</v>
      </c>
      <c r="H636" s="4" t="s">
        <v>225</v>
      </c>
      <c r="I636" s="4" t="s">
        <v>313</v>
      </c>
      <c r="J636" s="81">
        <f>IFERROR(__xludf.DUMMYFUNCTION("FILTER('賽道紀錄'!E:E, '賽道紀錄'!A:A=B636, '賽道紀錄'!B:B=C636)-F636"),-3.869560185185185E-4)</f>
        <v>-0.0003869560185</v>
      </c>
      <c r="K636" s="4"/>
      <c r="L636" s="4" t="s">
        <v>1025</v>
      </c>
      <c r="M636" s="82">
        <f t="shared" si="2"/>
        <v>33.433</v>
      </c>
      <c r="N636" s="27">
        <f t="shared" si="3"/>
        <v>0.0003869560185</v>
      </c>
    </row>
    <row r="637">
      <c r="A637" s="77">
        <v>46117.0</v>
      </c>
      <c r="B637" s="4" t="s">
        <v>1010</v>
      </c>
      <c r="C637" s="4"/>
      <c r="E637" s="70" t="s">
        <v>1026</v>
      </c>
      <c r="F637" s="80">
        <f t="shared" si="1"/>
        <v>0.000231724537</v>
      </c>
      <c r="G637" s="4" t="s">
        <v>1011</v>
      </c>
      <c r="H637" s="4" t="s">
        <v>225</v>
      </c>
      <c r="I637" s="4" t="s">
        <v>313</v>
      </c>
      <c r="J637" s="81">
        <f>IFERROR(__xludf.DUMMYFUNCTION("FILTER('賽道紀錄'!E:E, '賽道紀錄'!A:A=B637, '賽道紀錄'!B:B=C637)-F637"),-2.3172453703703704E-4)</f>
        <v>-0.000231724537</v>
      </c>
      <c r="K637" s="4"/>
      <c r="L637" s="4" t="s">
        <v>1027</v>
      </c>
      <c r="M637" s="82">
        <f t="shared" si="2"/>
        <v>20.021</v>
      </c>
      <c r="N637" s="27">
        <f t="shared" si="3"/>
        <v>0.000231724537</v>
      </c>
    </row>
    <row r="638">
      <c r="A638" s="77">
        <v>46117.0</v>
      </c>
      <c r="B638" s="4" t="s">
        <v>1010</v>
      </c>
      <c r="C638" s="4"/>
      <c r="E638" s="70" t="s">
        <v>1028</v>
      </c>
      <c r="F638" s="80">
        <f t="shared" si="1"/>
        <v>0.0003386342593</v>
      </c>
      <c r="G638" s="4" t="s">
        <v>1011</v>
      </c>
      <c r="H638" s="4" t="s">
        <v>225</v>
      </c>
      <c r="I638" s="4" t="s">
        <v>313</v>
      </c>
      <c r="J638" s="81">
        <f>IFERROR(__xludf.DUMMYFUNCTION("FILTER('賽道紀錄'!E:E, '賽道紀錄'!A:A=B638, '賽道紀錄'!B:B=C638)-F638"),-3.386342592592592E-4)</f>
        <v>-0.0003386342593</v>
      </c>
      <c r="K638" s="4"/>
      <c r="L638" s="4" t="s">
        <v>1029</v>
      </c>
      <c r="M638" s="82">
        <f t="shared" si="2"/>
        <v>29.258</v>
      </c>
      <c r="N638" s="27">
        <f t="shared" si="3"/>
        <v>0.0003386342593</v>
      </c>
    </row>
    <row r="639">
      <c r="A639" s="77">
        <v>46117.0</v>
      </c>
      <c r="B639" s="4" t="s">
        <v>1010</v>
      </c>
      <c r="C639" s="4"/>
      <c r="E639" s="70" t="s">
        <v>1030</v>
      </c>
      <c r="F639" s="80">
        <f t="shared" si="1"/>
        <v>0.0003886921296</v>
      </c>
      <c r="G639" s="4" t="s">
        <v>1011</v>
      </c>
      <c r="H639" s="4" t="s">
        <v>225</v>
      </c>
      <c r="I639" s="4" t="s">
        <v>313</v>
      </c>
      <c r="J639" s="81">
        <f>IFERROR(__xludf.DUMMYFUNCTION("FILTER('賽道紀錄'!E:E, '賽道紀錄'!A:A=B639, '賽道紀錄'!B:B=C639)-F639"),-3.886921296296296E-4)</f>
        <v>-0.0003886921296</v>
      </c>
      <c r="K639" s="4"/>
      <c r="L639" s="4" t="s">
        <v>1031</v>
      </c>
      <c r="M639" s="82">
        <f t="shared" si="2"/>
        <v>33.583</v>
      </c>
      <c r="N639" s="27">
        <f t="shared" si="3"/>
        <v>0.0003886921296</v>
      </c>
    </row>
    <row r="640">
      <c r="A640" s="77">
        <v>46117.0</v>
      </c>
      <c r="B640" s="4" t="s">
        <v>1010</v>
      </c>
      <c r="C640" s="4"/>
      <c r="E640" s="70" t="s">
        <v>1032</v>
      </c>
      <c r="F640" s="80">
        <f t="shared" si="1"/>
        <v>0.0004029282407</v>
      </c>
      <c r="G640" s="4" t="s">
        <v>1011</v>
      </c>
      <c r="H640" s="4" t="s">
        <v>225</v>
      </c>
      <c r="I640" s="4" t="s">
        <v>313</v>
      </c>
      <c r="J640" s="81">
        <f>IFERROR(__xludf.DUMMYFUNCTION("FILTER('賽道紀錄'!E:E, '賽道紀錄'!A:A=B640, '賽道紀錄'!B:B=C640)-F640"),-4.0292824074074075E-4)</f>
        <v>-0.0004029282407</v>
      </c>
      <c r="K640" s="4"/>
      <c r="L640" s="4" t="s">
        <v>1033</v>
      </c>
      <c r="M640" s="82">
        <f t="shared" si="2"/>
        <v>34.813</v>
      </c>
      <c r="N640" s="27">
        <f t="shared" si="3"/>
        <v>0.0004029282407</v>
      </c>
    </row>
    <row r="641">
      <c r="A641" s="77">
        <v>46117.0</v>
      </c>
      <c r="B641" s="4" t="s">
        <v>1010</v>
      </c>
      <c r="C641" s="4"/>
      <c r="E641" s="70" t="s">
        <v>1034</v>
      </c>
      <c r="F641" s="80">
        <f t="shared" si="1"/>
        <v>0.0004702893519</v>
      </c>
      <c r="G641" s="4" t="s">
        <v>1011</v>
      </c>
      <c r="H641" s="4" t="s">
        <v>225</v>
      </c>
      <c r="I641" s="4" t="s">
        <v>313</v>
      </c>
      <c r="J641" s="81">
        <f>IFERROR(__xludf.DUMMYFUNCTION("FILTER('賽道紀錄'!E:E, '賽道紀錄'!A:A=B641, '賽道紀錄'!B:B=C641)-F641"),-4.702893518518519E-4)</f>
        <v>-0.0004702893519</v>
      </c>
      <c r="K641" s="4"/>
      <c r="L641" s="4" t="s">
        <v>1035</v>
      </c>
      <c r="M641" s="82">
        <f t="shared" si="2"/>
        <v>40.633</v>
      </c>
      <c r="N641" s="27">
        <f t="shared" si="3"/>
        <v>0.0004702893519</v>
      </c>
    </row>
    <row r="642">
      <c r="A642" s="77">
        <v>46120.0</v>
      </c>
      <c r="B642" s="83" t="s">
        <v>862</v>
      </c>
      <c r="C642" s="93" t="s">
        <v>223</v>
      </c>
      <c r="D642" s="83" t="s">
        <v>205</v>
      </c>
      <c r="E642" s="70" t="s">
        <v>1036</v>
      </c>
      <c r="F642" s="88">
        <f t="shared" si="1"/>
        <v>0.001078622685</v>
      </c>
      <c r="G642" s="4" t="s">
        <v>160</v>
      </c>
      <c r="H642" s="70" t="s">
        <v>225</v>
      </c>
      <c r="I642" s="83" t="s">
        <v>313</v>
      </c>
      <c r="J642" s="81">
        <f>IFERROR(__xludf.DUMMYFUNCTION("FILTER('賽道紀錄'!E:E, '賽道紀錄'!A:A=B642, '賽道紀錄'!B:B=C642)-F642"),-6.035879629629642E-5)</f>
        <v>-0.0000603587963</v>
      </c>
      <c r="K642" s="70"/>
      <c r="L642" s="70" t="s">
        <v>1037</v>
      </c>
      <c r="M642" s="90">
        <f t="shared" si="2"/>
        <v>93.193</v>
      </c>
      <c r="N642" s="91">
        <f t="shared" si="3"/>
        <v>0.001078622685</v>
      </c>
      <c r="O642" s="83"/>
      <c r="P642" s="83"/>
      <c r="Q642" s="83"/>
      <c r="R642" s="83"/>
      <c r="S642" s="83"/>
      <c r="T642" s="83"/>
      <c r="U642" s="83"/>
      <c r="V642" s="83"/>
      <c r="W642" s="83"/>
      <c r="X642" s="83"/>
      <c r="Y642" s="83"/>
      <c r="Z642" s="83"/>
      <c r="AA642" s="83"/>
      <c r="AB642" s="83"/>
      <c r="AC642" s="83"/>
      <c r="AD642" s="83"/>
    </row>
    <row r="643">
      <c r="A643" s="77">
        <v>46120.0</v>
      </c>
      <c r="B643" s="83" t="s">
        <v>862</v>
      </c>
      <c r="C643" s="93" t="s">
        <v>223</v>
      </c>
      <c r="D643" s="83" t="s">
        <v>205</v>
      </c>
      <c r="E643" s="70" t="s">
        <v>1038</v>
      </c>
      <c r="F643" s="88">
        <f t="shared" si="1"/>
        <v>0.001241956019</v>
      </c>
      <c r="G643" s="4" t="s">
        <v>155</v>
      </c>
      <c r="H643" s="70" t="s">
        <v>1039</v>
      </c>
      <c r="I643" s="83" t="s">
        <v>313</v>
      </c>
      <c r="J643" s="81">
        <f>IFERROR(__xludf.DUMMYFUNCTION("FILTER('賽道紀錄'!E:E, '賽道紀錄'!A:A=B643, '賽道紀錄'!B:B=C643)-F643"),-2.2369212962962967E-4)</f>
        <v>-0.0002236921296</v>
      </c>
      <c r="K643" s="70"/>
      <c r="L643" s="70" t="s">
        <v>1040</v>
      </c>
      <c r="M643" s="90">
        <f t="shared" si="2"/>
        <v>107.305</v>
      </c>
      <c r="N643" s="91">
        <f t="shared" si="3"/>
        <v>0.001241956019</v>
      </c>
      <c r="O643" s="83"/>
      <c r="P643" s="83"/>
      <c r="Q643" s="83"/>
      <c r="R643" s="83"/>
      <c r="S643" s="83"/>
      <c r="T643" s="83"/>
      <c r="U643" s="83"/>
      <c r="V643" s="83"/>
      <c r="W643" s="83"/>
      <c r="X643" s="83"/>
      <c r="Y643" s="83"/>
      <c r="Z643" s="83"/>
      <c r="AA643" s="83"/>
      <c r="AB643" s="83"/>
      <c r="AC643" s="83"/>
      <c r="AD643" s="83"/>
    </row>
    <row r="644">
      <c r="A644" s="77">
        <v>46121.0</v>
      </c>
      <c r="B644" s="4" t="s">
        <v>862</v>
      </c>
      <c r="C644" s="4" t="s">
        <v>223</v>
      </c>
      <c r="D644" s="83" t="s">
        <v>205</v>
      </c>
      <c r="E644" s="4" t="s">
        <v>1041</v>
      </c>
      <c r="F644" s="80">
        <f t="shared" si="1"/>
        <v>0.002849340278</v>
      </c>
      <c r="G644" s="5" t="s">
        <v>163</v>
      </c>
      <c r="H644" s="4" t="s">
        <v>231</v>
      </c>
      <c r="I644" s="4" t="s">
        <v>313</v>
      </c>
      <c r="J644" s="81">
        <f>IFERROR(__xludf.DUMMYFUNCTION("FILTER('賽道紀錄'!E:E, '賽道紀錄'!A:A=B644, '賽道紀錄'!B:B=C644)-F644"),-0.0018310763888888886)</f>
        <v>-0.001831076389</v>
      </c>
      <c r="K644" s="4"/>
      <c r="L644" s="4" t="s">
        <v>1042</v>
      </c>
      <c r="M644" s="82">
        <f t="shared" si="2"/>
        <v>246.183</v>
      </c>
      <c r="N644" s="27">
        <f t="shared" si="3"/>
        <v>0.002849340278</v>
      </c>
    </row>
    <row r="645">
      <c r="A645" s="86">
        <v>46121.0</v>
      </c>
      <c r="B645" s="83" t="s">
        <v>862</v>
      </c>
      <c r="C645" s="93" t="s">
        <v>223</v>
      </c>
      <c r="D645" s="83" t="s">
        <v>205</v>
      </c>
      <c r="E645" s="70" t="s">
        <v>1043</v>
      </c>
      <c r="F645" s="88">
        <f t="shared" si="1"/>
        <v>0.0018853125</v>
      </c>
      <c r="G645" s="4" t="s">
        <v>160</v>
      </c>
      <c r="H645" s="83" t="s">
        <v>231</v>
      </c>
      <c r="I645" s="83" t="s">
        <v>313</v>
      </c>
      <c r="J645" s="94">
        <f>IFERROR(__xludf.DUMMYFUNCTION("FILTER('賽道紀錄'!E:E, '賽道紀錄'!A:A=B645, '賽道紀錄'!B:B=C645)-F645"),-8.67048611111111E-4)</f>
        <v>-0.0008670486111</v>
      </c>
      <c r="K645" s="83"/>
      <c r="L645" s="70" t="s">
        <v>1044</v>
      </c>
      <c r="M645" s="90">
        <f t="shared" si="2"/>
        <v>162.891</v>
      </c>
      <c r="N645" s="91">
        <f t="shared" si="3"/>
        <v>0.0018853125</v>
      </c>
      <c r="O645" s="83"/>
      <c r="P645" s="83"/>
      <c r="Q645" s="83"/>
      <c r="R645" s="83"/>
      <c r="S645" s="83"/>
      <c r="T645" s="83"/>
      <c r="U645" s="83"/>
      <c r="V645" s="83"/>
      <c r="W645" s="83"/>
      <c r="X645" s="83"/>
      <c r="Y645" s="83"/>
      <c r="Z645" s="83"/>
      <c r="AA645" s="83"/>
      <c r="AB645" s="83"/>
      <c r="AC645" s="83"/>
      <c r="AD645" s="83"/>
    </row>
    <row r="646">
      <c r="A646" s="86">
        <v>46121.0</v>
      </c>
      <c r="B646" s="70" t="s">
        <v>279</v>
      </c>
      <c r="C646" s="93"/>
      <c r="D646" s="70" t="s">
        <v>224</v>
      </c>
      <c r="E646" s="70" t="s">
        <v>1045</v>
      </c>
      <c r="F646" s="88">
        <f t="shared" si="1"/>
        <v>0.00250994213</v>
      </c>
      <c r="G646" s="4" t="s">
        <v>1046</v>
      </c>
      <c r="H646" s="83" t="s">
        <v>231</v>
      </c>
      <c r="I646" s="70" t="s">
        <v>226</v>
      </c>
      <c r="J646" s="94">
        <f>IFERROR(__xludf.DUMMYFUNCTION("FILTER('賽道紀錄'!E:E, '賽道紀錄'!A:A=B646, '賽道紀錄'!B:B=C646)-F646"),0.0)</f>
        <v>0</v>
      </c>
      <c r="K646" s="83"/>
      <c r="L646" s="70" t="s">
        <v>1047</v>
      </c>
      <c r="M646" s="90">
        <f t="shared" si="2"/>
        <v>216.859</v>
      </c>
      <c r="N646" s="91">
        <f t="shared" si="3"/>
        <v>0.00250994213</v>
      </c>
      <c r="O646" s="83"/>
      <c r="P646" s="83"/>
      <c r="Q646" s="83"/>
      <c r="R646" s="83"/>
      <c r="S646" s="83"/>
      <c r="T646" s="83"/>
      <c r="U646" s="83"/>
      <c r="V646" s="83"/>
      <c r="W646" s="83"/>
      <c r="X646" s="83"/>
      <c r="Y646" s="83"/>
      <c r="Z646" s="83"/>
      <c r="AA646" s="83"/>
      <c r="AB646" s="83"/>
      <c r="AC646" s="83"/>
      <c r="AD646" s="83"/>
    </row>
    <row r="647">
      <c r="A647" s="86">
        <v>46121.0</v>
      </c>
      <c r="B647" s="70" t="s">
        <v>1048</v>
      </c>
      <c r="C647" s="93"/>
      <c r="D647" s="70" t="s">
        <v>1049</v>
      </c>
      <c r="E647" s="70" t="s">
        <v>515</v>
      </c>
      <c r="F647" s="88">
        <f t="shared" si="1"/>
        <v>0.001759583333</v>
      </c>
      <c r="G647" s="4" t="s">
        <v>1050</v>
      </c>
      <c r="H647" s="83" t="s">
        <v>231</v>
      </c>
      <c r="I647" s="83" t="s">
        <v>313</v>
      </c>
      <c r="J647" s="94" t="str">
        <f>IFERROR(__xludf.DUMMYFUNCTION("FILTER('賽道紀錄'!E:E, '賽道紀錄'!A:A=B647, '賽道紀錄'!B:B=C647)-F647"),"#N/A")</f>
        <v>#N/A</v>
      </c>
      <c r="K647" s="83"/>
      <c r="L647" s="70" t="s">
        <v>1051</v>
      </c>
      <c r="M647" s="90">
        <f t="shared" si="2"/>
        <v>152.028</v>
      </c>
      <c r="N647" s="91">
        <f t="shared" si="3"/>
        <v>0.001759583333</v>
      </c>
      <c r="O647" s="83"/>
      <c r="P647" s="83"/>
      <c r="Q647" s="83"/>
      <c r="R647" s="83"/>
      <c r="S647" s="83"/>
      <c r="T647" s="83"/>
      <c r="U647" s="83"/>
      <c r="V647" s="83"/>
      <c r="W647" s="83"/>
      <c r="X647" s="83"/>
      <c r="Y647" s="83"/>
      <c r="Z647" s="83"/>
      <c r="AA647" s="83"/>
      <c r="AB647" s="83"/>
      <c r="AC647" s="83"/>
      <c r="AD647" s="83"/>
    </row>
    <row r="648">
      <c r="A648" s="86">
        <v>46121.0</v>
      </c>
      <c r="B648" s="70" t="s">
        <v>1048</v>
      </c>
      <c r="C648" s="93"/>
      <c r="D648" s="70" t="s">
        <v>1049</v>
      </c>
      <c r="E648" s="70" t="s">
        <v>1045</v>
      </c>
      <c r="F648" s="88">
        <f t="shared" si="1"/>
        <v>0.002086064815</v>
      </c>
      <c r="G648" s="4" t="s">
        <v>1050</v>
      </c>
      <c r="H648" s="83" t="s">
        <v>231</v>
      </c>
      <c r="I648" s="83" t="s">
        <v>313</v>
      </c>
      <c r="J648" s="94" t="str">
        <f>IFERROR(__xludf.DUMMYFUNCTION("FILTER('賽道紀錄'!E:E, '賽道紀錄'!A:A=B648, '賽道紀錄'!B:B=C648)-F648"),"#N/A")</f>
        <v>#N/A</v>
      </c>
      <c r="K648" s="83"/>
      <c r="L648" s="70" t="s">
        <v>1052</v>
      </c>
      <c r="M648" s="90">
        <f t="shared" si="2"/>
        <v>180.236</v>
      </c>
      <c r="N648" s="91">
        <f t="shared" si="3"/>
        <v>0.002086064815</v>
      </c>
      <c r="O648" s="83"/>
      <c r="P648" s="83"/>
      <c r="Q648" s="83"/>
      <c r="R648" s="83"/>
      <c r="S648" s="83"/>
      <c r="T648" s="83"/>
      <c r="U648" s="83"/>
      <c r="V648" s="83"/>
      <c r="W648" s="83"/>
      <c r="X648" s="83"/>
      <c r="Y648" s="83"/>
      <c r="Z648" s="83"/>
      <c r="AA648" s="83"/>
      <c r="AB648" s="83"/>
      <c r="AC648" s="83"/>
      <c r="AD648" s="83"/>
    </row>
    <row r="649">
      <c r="A649" s="86">
        <v>46121.0</v>
      </c>
      <c r="B649" s="70" t="s">
        <v>1048</v>
      </c>
      <c r="C649" s="93"/>
      <c r="D649" s="70" t="s">
        <v>1049</v>
      </c>
      <c r="E649" s="70" t="s">
        <v>1045</v>
      </c>
      <c r="F649" s="88">
        <f t="shared" si="1"/>
        <v>0.002648136574</v>
      </c>
      <c r="G649" s="4" t="s">
        <v>1050</v>
      </c>
      <c r="H649" s="83" t="s">
        <v>231</v>
      </c>
      <c r="I649" s="83" t="s">
        <v>313</v>
      </c>
      <c r="J649" s="94" t="str">
        <f>IFERROR(__xludf.DUMMYFUNCTION("FILTER('賽道紀錄'!E:E, '賽道紀錄'!A:A=B649, '賽道紀錄'!B:B=C649)-F649"),"#N/A")</f>
        <v>#N/A</v>
      </c>
      <c r="K649" s="83"/>
      <c r="L649" s="70" t="s">
        <v>1053</v>
      </c>
      <c r="M649" s="90">
        <f t="shared" si="2"/>
        <v>228.799</v>
      </c>
      <c r="N649" s="91">
        <f t="shared" si="3"/>
        <v>0.002648136574</v>
      </c>
      <c r="O649" s="83"/>
      <c r="P649" s="83"/>
      <c r="Q649" s="83"/>
      <c r="R649" s="83"/>
      <c r="S649" s="83"/>
      <c r="T649" s="83"/>
      <c r="U649" s="83"/>
      <c r="V649" s="83"/>
      <c r="W649" s="83"/>
      <c r="X649" s="83"/>
      <c r="Y649" s="83"/>
      <c r="Z649" s="83"/>
      <c r="AA649" s="83"/>
      <c r="AB649" s="83"/>
      <c r="AC649" s="83"/>
      <c r="AD649" s="83"/>
    </row>
    <row r="650">
      <c r="A650" s="86">
        <v>46121.0</v>
      </c>
      <c r="B650" s="70" t="s">
        <v>1048</v>
      </c>
      <c r="C650" s="93"/>
      <c r="D650" s="70" t="s">
        <v>1049</v>
      </c>
      <c r="E650" s="70" t="s">
        <v>1045</v>
      </c>
      <c r="F650" s="88">
        <f t="shared" si="1"/>
        <v>0.002654027778</v>
      </c>
      <c r="G650" s="4" t="s">
        <v>1050</v>
      </c>
      <c r="H650" s="83" t="s">
        <v>231</v>
      </c>
      <c r="I650" s="83" t="s">
        <v>313</v>
      </c>
      <c r="J650" s="94" t="str">
        <f>IFERROR(__xludf.DUMMYFUNCTION("FILTER('賽道紀錄'!E:E, '賽道紀錄'!A:A=B650, '賽道紀錄'!B:B=C650)-F650"),"#N/A")</f>
        <v>#N/A</v>
      </c>
      <c r="K650" s="83"/>
      <c r="L650" s="70" t="s">
        <v>1054</v>
      </c>
      <c r="M650" s="90">
        <f t="shared" si="2"/>
        <v>229.308</v>
      </c>
      <c r="N650" s="91">
        <f t="shared" si="3"/>
        <v>0.002654027778</v>
      </c>
      <c r="O650" s="83"/>
      <c r="P650" s="83"/>
      <c r="Q650" s="83"/>
      <c r="R650" s="83"/>
      <c r="S650" s="83"/>
      <c r="T650" s="83"/>
      <c r="U650" s="83"/>
      <c r="V650" s="83"/>
      <c r="W650" s="83"/>
      <c r="X650" s="83"/>
      <c r="Y650" s="83"/>
      <c r="Z650" s="83"/>
      <c r="AA650" s="83"/>
      <c r="AB650" s="83"/>
      <c r="AC650" s="83"/>
      <c r="AD650" s="83"/>
    </row>
    <row r="651">
      <c r="A651" s="86">
        <v>46121.0</v>
      </c>
      <c r="B651" s="70" t="s">
        <v>1048</v>
      </c>
      <c r="C651" s="93"/>
      <c r="D651" s="70" t="s">
        <v>1049</v>
      </c>
      <c r="E651" s="70" t="s">
        <v>1045</v>
      </c>
      <c r="F651" s="88">
        <f t="shared" si="1"/>
        <v>0.005090185185</v>
      </c>
      <c r="G651" s="4" t="s">
        <v>1055</v>
      </c>
      <c r="H651" s="83" t="s">
        <v>231</v>
      </c>
      <c r="I651" s="83" t="s">
        <v>313</v>
      </c>
      <c r="J651" s="94" t="str">
        <f>IFERROR(__xludf.DUMMYFUNCTION("FILTER('賽道紀錄'!E:E, '賽道紀錄'!A:A=B651, '賽道紀錄'!B:B=C651)-F651"),"#N/A")</f>
        <v>#N/A</v>
      </c>
      <c r="K651" s="83"/>
      <c r="L651" s="70" t="s">
        <v>1056</v>
      </c>
      <c r="M651" s="90">
        <f t="shared" si="2"/>
        <v>439.792</v>
      </c>
      <c r="N651" s="91">
        <f t="shared" si="3"/>
        <v>0.005090185185</v>
      </c>
      <c r="O651" s="83"/>
      <c r="P651" s="83"/>
      <c r="Q651" s="83"/>
      <c r="R651" s="83"/>
      <c r="S651" s="83"/>
      <c r="T651" s="83"/>
      <c r="U651" s="83"/>
      <c r="V651" s="83"/>
      <c r="W651" s="83"/>
      <c r="X651" s="83"/>
      <c r="Y651" s="83"/>
      <c r="Z651" s="83"/>
      <c r="AA651" s="83"/>
      <c r="AB651" s="83"/>
      <c r="AC651" s="83"/>
      <c r="AD651" s="83"/>
    </row>
    <row r="652">
      <c r="A652" s="77">
        <v>46123.0</v>
      </c>
      <c r="B652" s="70" t="s">
        <v>410</v>
      </c>
      <c r="C652" s="93" t="s">
        <v>223</v>
      </c>
      <c r="D652" s="83" t="s">
        <v>205</v>
      </c>
      <c r="E652" s="95" t="s">
        <v>1057</v>
      </c>
      <c r="F652" s="88">
        <f t="shared" si="1"/>
        <v>0.004702604167</v>
      </c>
      <c r="G652" s="14" t="s">
        <v>174</v>
      </c>
      <c r="H652" s="70" t="s">
        <v>225</v>
      </c>
      <c r="I652" s="83" t="s">
        <v>313</v>
      </c>
      <c r="J652" s="81">
        <f>IFERROR(__xludf.DUMMYFUNCTION("FILTER('賽道紀錄'!E:E, '賽道紀錄'!A:A=B652, '賽道紀錄'!B:B=C652)-F652"),-8.31574074074074E-4)</f>
        <v>-0.0008315740741</v>
      </c>
      <c r="K652" s="70"/>
      <c r="L652" s="70" t="s">
        <v>1058</v>
      </c>
      <c r="M652" s="90">
        <f t="shared" si="2"/>
        <v>406.305</v>
      </c>
      <c r="N652" s="91">
        <f t="shared" si="3"/>
        <v>0.004702604167</v>
      </c>
      <c r="O652" s="83"/>
      <c r="P652" s="83"/>
      <c r="Q652" s="83"/>
      <c r="R652" s="83"/>
      <c r="S652" s="83"/>
      <c r="T652" s="83"/>
      <c r="U652" s="83"/>
      <c r="V652" s="83"/>
      <c r="W652" s="83"/>
      <c r="X652" s="83"/>
      <c r="Y652" s="83"/>
      <c r="Z652" s="83"/>
      <c r="AA652" s="83"/>
      <c r="AB652" s="83"/>
      <c r="AC652" s="83"/>
      <c r="AD652" s="83"/>
    </row>
    <row r="653">
      <c r="F653" s="96"/>
      <c r="H653" s="27"/>
      <c r="I653" s="27"/>
      <c r="J653" s="81"/>
    </row>
    <row r="654">
      <c r="F654" s="96"/>
      <c r="H654" s="27"/>
      <c r="I654" s="27"/>
      <c r="J654" s="81"/>
    </row>
    <row r="655">
      <c r="F655" s="96"/>
      <c r="H655" s="27"/>
      <c r="I655" s="27"/>
      <c r="J655" s="81"/>
    </row>
    <row r="656">
      <c r="F656" s="96"/>
      <c r="H656" s="27"/>
      <c r="I656" s="27"/>
      <c r="J656" s="81"/>
    </row>
    <row r="657">
      <c r="F657" s="96"/>
      <c r="H657" s="27"/>
      <c r="I657" s="27"/>
      <c r="J657" s="81"/>
    </row>
    <row r="658">
      <c r="F658" s="96"/>
      <c r="H658" s="27"/>
      <c r="I658" s="27"/>
      <c r="J658" s="81"/>
    </row>
    <row r="659">
      <c r="F659" s="96"/>
      <c r="H659" s="27"/>
      <c r="I659" s="27"/>
      <c r="J659" s="81"/>
    </row>
    <row r="660">
      <c r="A660" s="77"/>
      <c r="B660" s="4" t="s">
        <v>308</v>
      </c>
      <c r="C660" s="4" t="s">
        <v>223</v>
      </c>
      <c r="D660" s="4" t="s">
        <v>311</v>
      </c>
      <c r="E660" s="4" t="s">
        <v>1059</v>
      </c>
      <c r="F660" s="80">
        <v>0.006944444444444444</v>
      </c>
      <c r="G660" s="4" t="s">
        <v>819</v>
      </c>
      <c r="H660" s="27"/>
      <c r="I660" s="4" t="s">
        <v>313</v>
      </c>
      <c r="J660" s="81"/>
      <c r="M660" s="82"/>
    </row>
    <row r="661">
      <c r="A661" s="77"/>
      <c r="B661" s="4" t="s">
        <v>308</v>
      </c>
      <c r="C661" s="4" t="s">
        <v>223</v>
      </c>
      <c r="D661" s="4" t="s">
        <v>311</v>
      </c>
      <c r="E661" s="4" t="s">
        <v>1059</v>
      </c>
      <c r="F661" s="80">
        <v>0.006944444444444444</v>
      </c>
      <c r="G661" s="4" t="s">
        <v>1060</v>
      </c>
      <c r="H661" s="27"/>
      <c r="I661" s="4" t="s">
        <v>313</v>
      </c>
      <c r="J661" s="81"/>
      <c r="M661" s="82"/>
    </row>
    <row r="662" ht="16.5" customHeight="1">
      <c r="A662" s="77"/>
      <c r="B662" s="4" t="s">
        <v>308</v>
      </c>
      <c r="C662" s="4" t="s">
        <v>223</v>
      </c>
      <c r="D662" s="4" t="s">
        <v>311</v>
      </c>
      <c r="E662" s="4" t="s">
        <v>1059</v>
      </c>
      <c r="F662" s="80">
        <v>0.006944444444444444</v>
      </c>
      <c r="G662" s="4" t="s">
        <v>140</v>
      </c>
      <c r="H662" s="27"/>
      <c r="I662" s="4" t="s">
        <v>313</v>
      </c>
      <c r="J662" s="81"/>
      <c r="M662" s="82"/>
    </row>
    <row r="663">
      <c r="A663" s="77"/>
      <c r="B663" s="4" t="s">
        <v>308</v>
      </c>
      <c r="C663" s="4" t="s">
        <v>223</v>
      </c>
      <c r="D663" s="4" t="s">
        <v>311</v>
      </c>
      <c r="E663" s="4" t="s">
        <v>1059</v>
      </c>
      <c r="F663" s="80">
        <v>0.006944444444444444</v>
      </c>
      <c r="G663" s="4" t="s">
        <v>1061</v>
      </c>
      <c r="H663" s="27"/>
      <c r="I663" s="4" t="s">
        <v>313</v>
      </c>
      <c r="J663" s="81"/>
      <c r="M663" s="82"/>
    </row>
    <row r="664">
      <c r="A664" s="77"/>
      <c r="B664" s="4" t="s">
        <v>308</v>
      </c>
      <c r="C664" s="4" t="s">
        <v>223</v>
      </c>
      <c r="D664" s="4" t="s">
        <v>311</v>
      </c>
      <c r="E664" s="4" t="s">
        <v>1059</v>
      </c>
      <c r="F664" s="80">
        <v>0.006944444444444444</v>
      </c>
      <c r="G664" s="4" t="s">
        <v>731</v>
      </c>
      <c r="H664" s="27"/>
      <c r="I664" s="4" t="s">
        <v>313</v>
      </c>
      <c r="J664" s="81"/>
      <c r="M664" s="82"/>
    </row>
    <row r="665">
      <c r="A665" s="77"/>
      <c r="B665" s="4" t="s">
        <v>308</v>
      </c>
      <c r="C665" s="4" t="s">
        <v>223</v>
      </c>
      <c r="D665" s="4" t="s">
        <v>311</v>
      </c>
      <c r="E665" s="4" t="s">
        <v>1059</v>
      </c>
      <c r="F665" s="80">
        <v>0.006944444444444444</v>
      </c>
      <c r="G665" s="4" t="s">
        <v>136</v>
      </c>
      <c r="H665" s="27"/>
      <c r="I665" s="4" t="s">
        <v>313</v>
      </c>
      <c r="J665" s="81"/>
      <c r="M665" s="82"/>
    </row>
    <row r="666">
      <c r="A666" s="77"/>
      <c r="B666" s="4" t="s">
        <v>308</v>
      </c>
      <c r="C666" s="4" t="s">
        <v>223</v>
      </c>
      <c r="D666" s="4" t="s">
        <v>311</v>
      </c>
      <c r="E666" s="4" t="s">
        <v>1059</v>
      </c>
      <c r="F666" s="80">
        <v>0.006944444444444444</v>
      </c>
      <c r="G666" s="4" t="s">
        <v>1062</v>
      </c>
      <c r="H666" s="27"/>
      <c r="I666" s="4" t="s">
        <v>313</v>
      </c>
      <c r="J666" s="81"/>
      <c r="M666" s="82"/>
    </row>
    <row r="667">
      <c r="A667" s="77"/>
      <c r="B667" s="4" t="s">
        <v>308</v>
      </c>
      <c r="C667" s="4" t="s">
        <v>223</v>
      </c>
      <c r="D667" s="4" t="s">
        <v>311</v>
      </c>
      <c r="E667" s="4" t="s">
        <v>1059</v>
      </c>
      <c r="F667" s="80">
        <v>0.006944444444444444</v>
      </c>
      <c r="G667" s="4" t="s">
        <v>1063</v>
      </c>
      <c r="H667" s="27"/>
      <c r="I667" s="4" t="s">
        <v>313</v>
      </c>
      <c r="J667" s="81"/>
      <c r="M667" s="82"/>
    </row>
    <row r="668">
      <c r="A668" s="77"/>
      <c r="B668" s="4" t="s">
        <v>308</v>
      </c>
      <c r="C668" s="4" t="s">
        <v>223</v>
      </c>
      <c r="D668" s="4" t="s">
        <v>311</v>
      </c>
      <c r="E668" s="4" t="s">
        <v>1059</v>
      </c>
      <c r="F668" s="80">
        <v>0.006944444444444444</v>
      </c>
      <c r="G668" s="4" t="s">
        <v>1064</v>
      </c>
      <c r="H668" s="27"/>
      <c r="I668" s="4" t="s">
        <v>313</v>
      </c>
      <c r="J668" s="81"/>
      <c r="M668" s="82"/>
    </row>
    <row r="669">
      <c r="A669" s="77"/>
      <c r="B669" s="4" t="s">
        <v>308</v>
      </c>
      <c r="C669" s="4" t="s">
        <v>223</v>
      </c>
      <c r="D669" s="4" t="s">
        <v>311</v>
      </c>
      <c r="E669" s="4" t="s">
        <v>1059</v>
      </c>
      <c r="F669" s="80">
        <v>0.006944444444444444</v>
      </c>
      <c r="G669" s="4" t="s">
        <v>129</v>
      </c>
      <c r="H669" s="27"/>
      <c r="I669" s="4" t="s">
        <v>313</v>
      </c>
      <c r="J669" s="81"/>
      <c r="M669" s="82"/>
    </row>
    <row r="670">
      <c r="A670" s="77"/>
      <c r="B670" s="4" t="s">
        <v>237</v>
      </c>
      <c r="C670" s="4" t="s">
        <v>223</v>
      </c>
      <c r="D670" s="4" t="s">
        <v>224</v>
      </c>
      <c r="E670" s="4" t="s">
        <v>1059</v>
      </c>
      <c r="F670" s="80">
        <v>0.006944444444444444</v>
      </c>
      <c r="G670" s="4" t="s">
        <v>186</v>
      </c>
      <c r="H670" s="27"/>
      <c r="I670" s="4" t="s">
        <v>226</v>
      </c>
      <c r="J670" s="81"/>
      <c r="M670" s="82"/>
    </row>
    <row r="671">
      <c r="A671" s="77"/>
      <c r="B671" s="4" t="s">
        <v>237</v>
      </c>
      <c r="C671" s="4" t="s">
        <v>223</v>
      </c>
      <c r="D671" s="4" t="s">
        <v>224</v>
      </c>
      <c r="E671" s="4" t="s">
        <v>1059</v>
      </c>
      <c r="F671" s="80">
        <v>0.006944444444444444</v>
      </c>
      <c r="G671" s="5" t="s">
        <v>157</v>
      </c>
      <c r="H671" s="27"/>
      <c r="I671" s="4" t="s">
        <v>226</v>
      </c>
      <c r="J671" s="81"/>
      <c r="M671" s="82"/>
    </row>
    <row r="672">
      <c r="A672" s="77"/>
      <c r="B672" s="4" t="s">
        <v>237</v>
      </c>
      <c r="C672" s="4" t="s">
        <v>242</v>
      </c>
      <c r="D672" s="4" t="s">
        <v>224</v>
      </c>
      <c r="E672" s="4" t="s">
        <v>1059</v>
      </c>
      <c r="F672" s="80">
        <v>0.006944444444444444</v>
      </c>
      <c r="G672" s="4" t="s">
        <v>1065</v>
      </c>
      <c r="H672" s="27"/>
      <c r="I672" s="4" t="s">
        <v>226</v>
      </c>
      <c r="J672" s="81"/>
      <c r="M672" s="82"/>
    </row>
    <row r="673">
      <c r="A673" s="77"/>
      <c r="B673" s="4" t="s">
        <v>237</v>
      </c>
      <c r="C673" s="4" t="s">
        <v>242</v>
      </c>
      <c r="D673" s="4" t="s">
        <v>224</v>
      </c>
      <c r="E673" s="4" t="s">
        <v>1059</v>
      </c>
      <c r="F673" s="80">
        <v>0.006944444444444444</v>
      </c>
      <c r="G673" s="5" t="s">
        <v>583</v>
      </c>
      <c r="H673" s="27"/>
      <c r="I673" s="4" t="s">
        <v>226</v>
      </c>
      <c r="J673" s="81"/>
      <c r="M673" s="82"/>
    </row>
    <row r="674">
      <c r="A674" s="77"/>
      <c r="B674" s="4" t="s">
        <v>237</v>
      </c>
      <c r="C674" s="4" t="s">
        <v>242</v>
      </c>
      <c r="D674" s="4" t="s">
        <v>224</v>
      </c>
      <c r="E674" s="4" t="s">
        <v>1059</v>
      </c>
      <c r="F674" s="80">
        <v>0.006944444444444444</v>
      </c>
      <c r="G674" s="4" t="s">
        <v>156</v>
      </c>
      <c r="H674" s="27"/>
      <c r="I674" s="4" t="s">
        <v>226</v>
      </c>
      <c r="J674" s="81"/>
      <c r="M674" s="82"/>
    </row>
    <row r="675">
      <c r="A675" s="77"/>
      <c r="B675" s="4" t="s">
        <v>237</v>
      </c>
      <c r="C675" s="4" t="s">
        <v>242</v>
      </c>
      <c r="D675" s="4" t="s">
        <v>224</v>
      </c>
      <c r="E675" s="4" t="s">
        <v>1059</v>
      </c>
      <c r="F675" s="80">
        <v>0.006944444444444444</v>
      </c>
      <c r="G675" s="4" t="s">
        <v>561</v>
      </c>
      <c r="H675" s="27"/>
      <c r="I675" s="4" t="s">
        <v>226</v>
      </c>
      <c r="J675" s="81"/>
      <c r="M675" s="82"/>
    </row>
    <row r="676">
      <c r="A676" s="77"/>
      <c r="B676" s="4" t="s">
        <v>237</v>
      </c>
      <c r="C676" s="4" t="s">
        <v>242</v>
      </c>
      <c r="D676" s="4" t="s">
        <v>224</v>
      </c>
      <c r="E676" s="4" t="s">
        <v>1059</v>
      </c>
      <c r="F676" s="80">
        <v>0.006944444444444444</v>
      </c>
      <c r="G676" s="5" t="s">
        <v>180</v>
      </c>
      <c r="H676" s="27"/>
      <c r="I676" s="4" t="s">
        <v>226</v>
      </c>
      <c r="J676" s="81"/>
      <c r="M676" s="82"/>
    </row>
    <row r="677">
      <c r="A677" s="77"/>
      <c r="B677" s="4" t="s">
        <v>237</v>
      </c>
      <c r="C677" s="4" t="s">
        <v>242</v>
      </c>
      <c r="D677" s="4" t="s">
        <v>224</v>
      </c>
      <c r="E677" s="4" t="s">
        <v>1059</v>
      </c>
      <c r="F677" s="80">
        <v>0.006944444444444444</v>
      </c>
      <c r="G677" s="5" t="s">
        <v>1066</v>
      </c>
      <c r="H677" s="27"/>
      <c r="I677" s="4" t="s">
        <v>226</v>
      </c>
      <c r="J677" s="81"/>
      <c r="M677" s="82"/>
    </row>
    <row r="678">
      <c r="A678" s="77"/>
      <c r="B678" s="4" t="s">
        <v>237</v>
      </c>
      <c r="C678" s="4" t="s">
        <v>242</v>
      </c>
      <c r="D678" s="4" t="s">
        <v>224</v>
      </c>
      <c r="E678" s="4" t="s">
        <v>1059</v>
      </c>
      <c r="F678" s="80">
        <v>0.006944444444444444</v>
      </c>
      <c r="G678" s="5" t="s">
        <v>191</v>
      </c>
      <c r="H678" s="27"/>
      <c r="I678" s="4" t="s">
        <v>226</v>
      </c>
      <c r="J678" s="81"/>
      <c r="M678" s="82"/>
    </row>
    <row r="679">
      <c r="A679" s="77"/>
      <c r="B679" s="4" t="s">
        <v>237</v>
      </c>
      <c r="C679" s="4" t="s">
        <v>242</v>
      </c>
      <c r="D679" s="4" t="s">
        <v>224</v>
      </c>
      <c r="E679" s="4" t="s">
        <v>1059</v>
      </c>
      <c r="F679" s="80">
        <v>0.006944444444444444</v>
      </c>
      <c r="G679" s="5" t="s">
        <v>157</v>
      </c>
      <c r="H679" s="27"/>
      <c r="I679" s="4" t="s">
        <v>226</v>
      </c>
      <c r="J679" s="81"/>
      <c r="M679" s="82"/>
    </row>
    <row r="680">
      <c r="A680" s="77"/>
      <c r="B680" s="4" t="s">
        <v>237</v>
      </c>
      <c r="C680" s="4" t="s">
        <v>242</v>
      </c>
      <c r="D680" s="4" t="s">
        <v>224</v>
      </c>
      <c r="E680" s="4" t="s">
        <v>1059</v>
      </c>
      <c r="F680" s="80">
        <v>0.006944444444444444</v>
      </c>
      <c r="G680" s="5" t="s">
        <v>135</v>
      </c>
      <c r="H680" s="27"/>
      <c r="I680" s="4" t="s">
        <v>226</v>
      </c>
      <c r="J680" s="81"/>
      <c r="M680" s="82"/>
    </row>
    <row r="681">
      <c r="A681" s="77"/>
      <c r="B681" s="4" t="s">
        <v>237</v>
      </c>
      <c r="C681" s="4" t="s">
        <v>242</v>
      </c>
      <c r="D681" s="4" t="s">
        <v>224</v>
      </c>
      <c r="E681" s="4" t="s">
        <v>1059</v>
      </c>
      <c r="F681" s="80">
        <v>0.006944444444444444</v>
      </c>
      <c r="G681" s="5" t="s">
        <v>123</v>
      </c>
      <c r="H681" s="27"/>
      <c r="I681" s="4" t="s">
        <v>226</v>
      </c>
      <c r="J681" s="81"/>
      <c r="M681" s="82"/>
    </row>
    <row r="682">
      <c r="A682" s="77"/>
      <c r="B682" s="4" t="s">
        <v>237</v>
      </c>
      <c r="C682" s="4" t="s">
        <v>242</v>
      </c>
      <c r="D682" s="4" t="s">
        <v>224</v>
      </c>
      <c r="E682" s="4" t="s">
        <v>1059</v>
      </c>
      <c r="F682" s="80">
        <v>0.006944444444444444</v>
      </c>
      <c r="G682" s="5" t="s">
        <v>164</v>
      </c>
      <c r="H682" s="27"/>
      <c r="I682" s="4" t="s">
        <v>226</v>
      </c>
      <c r="J682" s="81"/>
      <c r="M682" s="82"/>
    </row>
    <row r="683">
      <c r="A683" s="77"/>
      <c r="B683" s="4" t="s">
        <v>237</v>
      </c>
      <c r="C683" s="4" t="s">
        <v>242</v>
      </c>
      <c r="D683" s="4" t="s">
        <v>224</v>
      </c>
      <c r="E683" s="4" t="s">
        <v>1059</v>
      </c>
      <c r="F683" s="80">
        <v>0.006944444444444444</v>
      </c>
      <c r="G683" s="5" t="s">
        <v>186</v>
      </c>
      <c r="H683" s="27"/>
      <c r="I683" s="4" t="s">
        <v>226</v>
      </c>
      <c r="J683" s="81"/>
      <c r="M683" s="82"/>
    </row>
    <row r="684">
      <c r="A684" s="77"/>
      <c r="B684" s="4" t="s">
        <v>237</v>
      </c>
      <c r="C684" s="4" t="s">
        <v>242</v>
      </c>
      <c r="D684" s="4" t="s">
        <v>224</v>
      </c>
      <c r="E684" s="4" t="s">
        <v>1059</v>
      </c>
      <c r="F684" s="80">
        <v>0.006944444444444444</v>
      </c>
      <c r="G684" s="5" t="s">
        <v>192</v>
      </c>
      <c r="H684" s="27"/>
      <c r="I684" s="4" t="s">
        <v>226</v>
      </c>
      <c r="J684" s="81"/>
      <c r="M684" s="82"/>
    </row>
    <row r="685">
      <c r="A685" s="77"/>
      <c r="B685" s="4" t="s">
        <v>237</v>
      </c>
      <c r="C685" s="4" t="s">
        <v>242</v>
      </c>
      <c r="D685" s="4" t="s">
        <v>224</v>
      </c>
      <c r="E685" s="4" t="s">
        <v>1059</v>
      </c>
      <c r="F685" s="80">
        <v>0.006944444444444444</v>
      </c>
      <c r="G685" s="5" t="s">
        <v>147</v>
      </c>
      <c r="H685" s="27"/>
      <c r="I685" s="4" t="s">
        <v>226</v>
      </c>
      <c r="J685" s="81"/>
      <c r="M685" s="82"/>
    </row>
    <row r="686">
      <c r="A686" s="77"/>
      <c r="B686" s="4" t="s">
        <v>237</v>
      </c>
      <c r="C686" s="4" t="s">
        <v>242</v>
      </c>
      <c r="D686" s="4" t="s">
        <v>224</v>
      </c>
      <c r="E686" s="4" t="s">
        <v>1059</v>
      </c>
      <c r="F686" s="80">
        <v>0.006944444444444444</v>
      </c>
      <c r="G686" s="5" t="s">
        <v>183</v>
      </c>
      <c r="H686" s="27"/>
      <c r="I686" s="4" t="s">
        <v>226</v>
      </c>
      <c r="J686" s="81"/>
      <c r="M686" s="82"/>
    </row>
    <row r="687">
      <c r="A687" s="77"/>
      <c r="B687" s="4" t="s">
        <v>237</v>
      </c>
      <c r="C687" s="4" t="s">
        <v>242</v>
      </c>
      <c r="D687" s="4" t="s">
        <v>224</v>
      </c>
      <c r="E687" s="4" t="s">
        <v>1059</v>
      </c>
      <c r="F687" s="80">
        <v>0.006944444444444444</v>
      </c>
      <c r="G687" s="5" t="s">
        <v>177</v>
      </c>
      <c r="H687" s="27"/>
      <c r="I687" s="4" t="s">
        <v>226</v>
      </c>
      <c r="J687" s="81"/>
      <c r="M687" s="82"/>
    </row>
    <row r="688">
      <c r="A688" s="77"/>
      <c r="B688" s="4" t="s">
        <v>237</v>
      </c>
      <c r="C688" s="4" t="s">
        <v>242</v>
      </c>
      <c r="D688" s="4" t="s">
        <v>224</v>
      </c>
      <c r="E688" s="4" t="s">
        <v>1059</v>
      </c>
      <c r="F688" s="80">
        <v>0.006944444444444444</v>
      </c>
      <c r="G688" s="4" t="s">
        <v>148</v>
      </c>
      <c r="H688" s="27"/>
      <c r="I688" s="4" t="s">
        <v>226</v>
      </c>
      <c r="J688" s="81"/>
      <c r="M688" s="82"/>
    </row>
    <row r="689">
      <c r="A689" s="77"/>
      <c r="B689" s="4" t="s">
        <v>237</v>
      </c>
      <c r="C689" s="4" t="s">
        <v>242</v>
      </c>
      <c r="D689" s="4" t="s">
        <v>224</v>
      </c>
      <c r="E689" s="4" t="s">
        <v>1059</v>
      </c>
      <c r="F689" s="80">
        <v>0.006944444444444444</v>
      </c>
      <c r="G689" s="5" t="s">
        <v>194</v>
      </c>
      <c r="H689" s="27"/>
      <c r="I689" s="4" t="s">
        <v>226</v>
      </c>
      <c r="J689" s="81"/>
      <c r="M689" s="82"/>
    </row>
    <row r="690">
      <c r="A690" s="77"/>
      <c r="B690" s="4" t="s">
        <v>237</v>
      </c>
      <c r="C690" s="4" t="s">
        <v>242</v>
      </c>
      <c r="D690" s="4" t="s">
        <v>224</v>
      </c>
      <c r="E690" s="4" t="s">
        <v>1059</v>
      </c>
      <c r="F690" s="80">
        <v>0.006944444444444444</v>
      </c>
      <c r="G690" s="5" t="s">
        <v>126</v>
      </c>
      <c r="H690" s="27"/>
      <c r="I690" s="4" t="s">
        <v>226</v>
      </c>
      <c r="J690" s="81"/>
      <c r="M690" s="82"/>
    </row>
    <row r="691">
      <c r="A691" s="77"/>
      <c r="B691" s="4" t="s">
        <v>237</v>
      </c>
      <c r="C691" s="4" t="s">
        <v>223</v>
      </c>
      <c r="D691" s="4" t="s">
        <v>224</v>
      </c>
      <c r="E691" s="4" t="s">
        <v>1059</v>
      </c>
      <c r="F691" s="80">
        <v>0.006944444444444444</v>
      </c>
      <c r="G691" s="4" t="s">
        <v>156</v>
      </c>
      <c r="H691" s="27"/>
      <c r="I691" s="4" t="s">
        <v>226</v>
      </c>
      <c r="J691" s="81"/>
      <c r="M691" s="82"/>
    </row>
    <row r="692">
      <c r="A692" s="77"/>
      <c r="B692" s="4" t="s">
        <v>237</v>
      </c>
      <c r="C692" s="4" t="s">
        <v>223</v>
      </c>
      <c r="D692" s="4" t="s">
        <v>224</v>
      </c>
      <c r="E692" s="4" t="s">
        <v>1059</v>
      </c>
      <c r="F692" s="80">
        <v>0.006944444444444444</v>
      </c>
      <c r="G692" s="4" t="s">
        <v>561</v>
      </c>
      <c r="H692" s="27"/>
      <c r="I692" s="4" t="s">
        <v>226</v>
      </c>
      <c r="J692" s="81"/>
      <c r="M692" s="82"/>
    </row>
    <row r="693">
      <c r="A693" s="77"/>
      <c r="B693" s="4" t="s">
        <v>237</v>
      </c>
      <c r="C693" s="4" t="s">
        <v>223</v>
      </c>
      <c r="D693" s="4" t="s">
        <v>224</v>
      </c>
      <c r="E693" s="4" t="s">
        <v>1059</v>
      </c>
      <c r="F693" s="80">
        <v>0.006944444444444444</v>
      </c>
      <c r="G693" s="4" t="s">
        <v>180</v>
      </c>
      <c r="H693" s="27"/>
      <c r="I693" s="4" t="s">
        <v>226</v>
      </c>
      <c r="J693" s="81"/>
      <c r="M693" s="82"/>
    </row>
    <row r="694">
      <c r="A694" s="77"/>
      <c r="B694" s="4" t="s">
        <v>237</v>
      </c>
      <c r="C694" s="4" t="s">
        <v>223</v>
      </c>
      <c r="D694" s="4" t="s">
        <v>224</v>
      </c>
      <c r="E694" s="4" t="s">
        <v>1059</v>
      </c>
      <c r="F694" s="80">
        <v>0.006944444444444444</v>
      </c>
      <c r="G694" s="4" t="s">
        <v>1066</v>
      </c>
      <c r="H694" s="27"/>
      <c r="I694" s="4" t="s">
        <v>226</v>
      </c>
      <c r="J694" s="81"/>
      <c r="M694" s="82"/>
    </row>
    <row r="695">
      <c r="A695" s="77"/>
      <c r="B695" s="4" t="s">
        <v>237</v>
      </c>
      <c r="C695" s="4" t="s">
        <v>223</v>
      </c>
      <c r="D695" s="4" t="s">
        <v>224</v>
      </c>
      <c r="E695" s="4" t="s">
        <v>1059</v>
      </c>
      <c r="F695" s="80">
        <v>0.006944444444444444</v>
      </c>
      <c r="G695" s="5" t="s">
        <v>191</v>
      </c>
      <c r="H695" s="27"/>
      <c r="I695" s="4" t="s">
        <v>226</v>
      </c>
      <c r="J695" s="81"/>
      <c r="M695" s="82"/>
    </row>
    <row r="696">
      <c r="A696" s="77"/>
      <c r="B696" s="4" t="s">
        <v>237</v>
      </c>
      <c r="C696" s="4" t="s">
        <v>223</v>
      </c>
      <c r="D696" s="4" t="s">
        <v>224</v>
      </c>
      <c r="E696" s="4" t="s">
        <v>1059</v>
      </c>
      <c r="F696" s="80">
        <v>0.006944444444444444</v>
      </c>
      <c r="G696" s="5" t="s">
        <v>195</v>
      </c>
      <c r="H696" s="27"/>
      <c r="I696" s="4" t="s">
        <v>226</v>
      </c>
      <c r="J696" s="81"/>
      <c r="M696" s="82"/>
    </row>
    <row r="697">
      <c r="A697" s="77"/>
      <c r="B697" s="4" t="s">
        <v>237</v>
      </c>
      <c r="C697" s="4" t="s">
        <v>223</v>
      </c>
      <c r="D697" s="4" t="s">
        <v>224</v>
      </c>
      <c r="E697" s="4" t="s">
        <v>1059</v>
      </c>
      <c r="F697" s="80">
        <v>0.006944444444444444</v>
      </c>
      <c r="G697" s="4" t="s">
        <v>1065</v>
      </c>
      <c r="H697" s="27"/>
      <c r="I697" s="4" t="s">
        <v>226</v>
      </c>
      <c r="J697" s="81"/>
      <c r="M697" s="82"/>
    </row>
    <row r="698">
      <c r="A698" s="77"/>
      <c r="B698" s="4" t="s">
        <v>579</v>
      </c>
      <c r="C698" s="4" t="s">
        <v>383</v>
      </c>
      <c r="D698" s="4" t="s">
        <v>224</v>
      </c>
      <c r="E698" s="4" t="s">
        <v>1059</v>
      </c>
      <c r="F698" s="80">
        <v>0.006944444444444444</v>
      </c>
      <c r="G698" s="4" t="s">
        <v>124</v>
      </c>
      <c r="H698" s="27"/>
      <c r="I698" s="4" t="s">
        <v>226</v>
      </c>
      <c r="J698" s="81"/>
      <c r="M698" s="82"/>
    </row>
    <row r="699">
      <c r="A699" s="77"/>
      <c r="B699" s="4" t="s">
        <v>579</v>
      </c>
      <c r="C699" s="4" t="s">
        <v>383</v>
      </c>
      <c r="D699" s="4" t="s">
        <v>224</v>
      </c>
      <c r="E699" s="4" t="s">
        <v>1059</v>
      </c>
      <c r="F699" s="80">
        <v>0.006944444444444444</v>
      </c>
      <c r="G699" s="4" t="s">
        <v>583</v>
      </c>
      <c r="H699" s="27"/>
      <c r="I699" s="4" t="s">
        <v>226</v>
      </c>
      <c r="J699" s="81"/>
      <c r="M699" s="82"/>
    </row>
    <row r="700">
      <c r="A700" s="77"/>
      <c r="B700" s="4" t="s">
        <v>579</v>
      </c>
      <c r="C700" s="4" t="s">
        <v>383</v>
      </c>
      <c r="D700" s="4" t="s">
        <v>224</v>
      </c>
      <c r="E700" s="4" t="s">
        <v>1059</v>
      </c>
      <c r="F700" s="80">
        <v>0.006944444444444444</v>
      </c>
      <c r="G700" s="4" t="s">
        <v>164</v>
      </c>
      <c r="H700" s="27"/>
      <c r="I700" s="4" t="s">
        <v>226</v>
      </c>
      <c r="J700" s="81"/>
      <c r="M700" s="82"/>
    </row>
    <row r="701">
      <c r="A701" s="77"/>
      <c r="B701" s="4" t="s">
        <v>579</v>
      </c>
      <c r="C701" s="4" t="s">
        <v>383</v>
      </c>
      <c r="D701" s="4" t="s">
        <v>224</v>
      </c>
      <c r="E701" s="4" t="s">
        <v>1059</v>
      </c>
      <c r="F701" s="80">
        <v>0.006944444444444444</v>
      </c>
      <c r="G701" s="4" t="s">
        <v>1065</v>
      </c>
      <c r="H701" s="27"/>
      <c r="I701" s="4" t="s">
        <v>226</v>
      </c>
      <c r="J701" s="81"/>
      <c r="M701" s="82"/>
    </row>
    <row r="702">
      <c r="A702" s="77"/>
      <c r="B702" s="4" t="s">
        <v>579</v>
      </c>
      <c r="C702" s="4" t="s">
        <v>383</v>
      </c>
      <c r="D702" s="4" t="s">
        <v>224</v>
      </c>
      <c r="E702" s="4" t="s">
        <v>1059</v>
      </c>
      <c r="F702" s="80">
        <v>0.006944444444444444</v>
      </c>
      <c r="G702" s="4" t="s">
        <v>175</v>
      </c>
      <c r="H702" s="27"/>
      <c r="I702" s="4" t="s">
        <v>226</v>
      </c>
      <c r="J702" s="81"/>
      <c r="M702" s="82"/>
    </row>
    <row r="703">
      <c r="A703" s="77"/>
      <c r="B703" s="4" t="s">
        <v>579</v>
      </c>
      <c r="C703" s="4" t="s">
        <v>383</v>
      </c>
      <c r="D703" s="4" t="s">
        <v>224</v>
      </c>
      <c r="E703" s="4" t="s">
        <v>1059</v>
      </c>
      <c r="F703" s="80">
        <v>0.006944444444444444</v>
      </c>
      <c r="G703" s="4" t="s">
        <v>1067</v>
      </c>
      <c r="H703" s="27"/>
      <c r="I703" s="4" t="s">
        <v>226</v>
      </c>
      <c r="J703" s="81"/>
      <c r="M703" s="82"/>
    </row>
    <row r="704">
      <c r="A704" s="77"/>
      <c r="B704" s="4" t="s">
        <v>579</v>
      </c>
      <c r="C704" s="4" t="s">
        <v>383</v>
      </c>
      <c r="D704" s="4" t="s">
        <v>224</v>
      </c>
      <c r="E704" s="4" t="s">
        <v>1059</v>
      </c>
      <c r="F704" s="80">
        <v>0.006944444444444444</v>
      </c>
      <c r="G704" s="4" t="s">
        <v>186</v>
      </c>
      <c r="H704" s="27"/>
      <c r="I704" s="4" t="s">
        <v>226</v>
      </c>
      <c r="J704" s="81"/>
      <c r="M704" s="82"/>
    </row>
    <row r="705">
      <c r="A705" s="77"/>
      <c r="B705" s="4" t="s">
        <v>579</v>
      </c>
      <c r="C705" s="4" t="s">
        <v>381</v>
      </c>
      <c r="D705" s="4" t="s">
        <v>224</v>
      </c>
      <c r="E705" s="4" t="s">
        <v>1059</v>
      </c>
      <c r="F705" s="80">
        <v>0.006944444444444444</v>
      </c>
      <c r="G705" s="4" t="s">
        <v>164</v>
      </c>
      <c r="H705" s="27"/>
      <c r="I705" s="4" t="s">
        <v>226</v>
      </c>
      <c r="J705" s="81"/>
      <c r="M705" s="82"/>
    </row>
    <row r="706">
      <c r="A706" s="77"/>
      <c r="B706" s="4" t="s">
        <v>579</v>
      </c>
      <c r="C706" s="4" t="s">
        <v>381</v>
      </c>
      <c r="D706" s="4" t="s">
        <v>224</v>
      </c>
      <c r="E706" s="4" t="s">
        <v>1059</v>
      </c>
      <c r="F706" s="80">
        <v>0.006944444444444444</v>
      </c>
      <c r="G706" s="4" t="s">
        <v>1065</v>
      </c>
      <c r="H706" s="27"/>
      <c r="I706" s="4" t="s">
        <v>226</v>
      </c>
      <c r="J706" s="81"/>
      <c r="M706" s="82"/>
    </row>
    <row r="707">
      <c r="A707" s="77"/>
      <c r="B707" s="4" t="s">
        <v>579</v>
      </c>
      <c r="C707" s="4" t="s">
        <v>381</v>
      </c>
      <c r="D707" s="4" t="s">
        <v>224</v>
      </c>
      <c r="E707" s="4" t="s">
        <v>1059</v>
      </c>
      <c r="F707" s="80">
        <v>0.006944444444444444</v>
      </c>
      <c r="G707" s="4" t="s">
        <v>175</v>
      </c>
      <c r="H707" s="27"/>
      <c r="I707" s="4" t="s">
        <v>226</v>
      </c>
      <c r="J707" s="81"/>
      <c r="M707" s="82"/>
    </row>
    <row r="708">
      <c r="A708" s="77"/>
      <c r="B708" s="4" t="s">
        <v>579</v>
      </c>
      <c r="C708" s="4" t="s">
        <v>381</v>
      </c>
      <c r="D708" s="4" t="s">
        <v>224</v>
      </c>
      <c r="E708" s="4" t="s">
        <v>1059</v>
      </c>
      <c r="F708" s="80">
        <v>0.006944444444444444</v>
      </c>
      <c r="G708" s="4" t="s">
        <v>1067</v>
      </c>
      <c r="H708" s="27"/>
      <c r="I708" s="4" t="s">
        <v>226</v>
      </c>
      <c r="J708" s="81"/>
      <c r="M708" s="82"/>
    </row>
    <row r="709">
      <c r="A709" s="77"/>
      <c r="B709" s="4" t="s">
        <v>579</v>
      </c>
      <c r="C709" s="4" t="s">
        <v>381</v>
      </c>
      <c r="D709" s="4" t="s">
        <v>224</v>
      </c>
      <c r="E709" s="4" t="s">
        <v>1059</v>
      </c>
      <c r="F709" s="80">
        <v>0.006944444444444444</v>
      </c>
      <c r="G709" s="4" t="s">
        <v>186</v>
      </c>
      <c r="H709" s="27"/>
      <c r="I709" s="4" t="s">
        <v>226</v>
      </c>
      <c r="J709" s="81"/>
      <c r="M709" s="82"/>
    </row>
    <row r="710">
      <c r="A710" s="77"/>
      <c r="B710" s="4" t="s">
        <v>222</v>
      </c>
      <c r="C710" s="4" t="s">
        <v>223</v>
      </c>
      <c r="D710" s="4" t="s">
        <v>224</v>
      </c>
      <c r="E710" s="4" t="s">
        <v>1059</v>
      </c>
      <c r="F710" s="80">
        <v>0.006944444444444444</v>
      </c>
      <c r="G710" s="4" t="s">
        <v>157</v>
      </c>
      <c r="H710" s="27"/>
      <c r="I710" s="4" t="s">
        <v>226</v>
      </c>
      <c r="J710" s="81"/>
      <c r="M710" s="82"/>
    </row>
    <row r="711">
      <c r="A711" s="77"/>
      <c r="B711" s="4" t="s">
        <v>222</v>
      </c>
      <c r="C711" s="4" t="s">
        <v>223</v>
      </c>
      <c r="D711" s="4" t="s">
        <v>224</v>
      </c>
      <c r="E711" s="4" t="s">
        <v>1059</v>
      </c>
      <c r="F711" s="80">
        <v>0.006944444444444444</v>
      </c>
      <c r="G711" s="5" t="s">
        <v>176</v>
      </c>
      <c r="H711" s="27"/>
      <c r="I711" s="4" t="s">
        <v>226</v>
      </c>
      <c r="J711" s="81"/>
      <c r="M711" s="82"/>
    </row>
    <row r="712">
      <c r="A712" s="77"/>
      <c r="B712" s="4" t="s">
        <v>222</v>
      </c>
      <c r="C712" s="4" t="s">
        <v>223</v>
      </c>
      <c r="D712" s="4" t="s">
        <v>224</v>
      </c>
      <c r="E712" s="4" t="s">
        <v>1059</v>
      </c>
      <c r="F712" s="80">
        <v>0.006944444444444444</v>
      </c>
      <c r="G712" s="4" t="s">
        <v>1065</v>
      </c>
      <c r="H712" s="27"/>
      <c r="I712" s="4" t="s">
        <v>226</v>
      </c>
      <c r="J712" s="81"/>
      <c r="M712" s="82"/>
    </row>
    <row r="713">
      <c r="A713" s="77"/>
      <c r="B713" s="4" t="s">
        <v>222</v>
      </c>
      <c r="C713" s="4" t="s">
        <v>223</v>
      </c>
      <c r="D713" s="4" t="s">
        <v>224</v>
      </c>
      <c r="E713" s="4" t="s">
        <v>1059</v>
      </c>
      <c r="F713" s="80">
        <v>0.006944444444444444</v>
      </c>
      <c r="G713" s="4" t="s">
        <v>175</v>
      </c>
      <c r="H713" s="27"/>
      <c r="I713" s="4" t="s">
        <v>226</v>
      </c>
      <c r="J713" s="81"/>
      <c r="M713" s="82"/>
    </row>
    <row r="714">
      <c r="A714" s="77"/>
      <c r="B714" s="4" t="s">
        <v>222</v>
      </c>
      <c r="C714" s="4" t="s">
        <v>223</v>
      </c>
      <c r="D714" s="4" t="s">
        <v>224</v>
      </c>
      <c r="E714" s="4" t="s">
        <v>1059</v>
      </c>
      <c r="F714" s="80">
        <v>0.006944444444444444</v>
      </c>
      <c r="G714" s="4" t="s">
        <v>133</v>
      </c>
      <c r="H714" s="27"/>
      <c r="I714" s="4" t="s">
        <v>226</v>
      </c>
      <c r="J714" s="81"/>
      <c r="M714" s="82"/>
    </row>
    <row r="715">
      <c r="A715" s="77"/>
      <c r="B715" s="4" t="s">
        <v>222</v>
      </c>
      <c r="C715" s="4" t="s">
        <v>223</v>
      </c>
      <c r="D715" s="4" t="s">
        <v>224</v>
      </c>
      <c r="E715" s="4" t="s">
        <v>1059</v>
      </c>
      <c r="F715" s="80">
        <v>0.006944444444444444</v>
      </c>
      <c r="G715" s="4" t="s">
        <v>156</v>
      </c>
      <c r="H715" s="27"/>
      <c r="I715" s="4" t="s">
        <v>226</v>
      </c>
      <c r="J715" s="81"/>
      <c r="M715" s="82"/>
    </row>
    <row r="716">
      <c r="A716" s="77"/>
      <c r="B716" s="4" t="s">
        <v>222</v>
      </c>
      <c r="C716" s="4" t="s">
        <v>223</v>
      </c>
      <c r="D716" s="4" t="s">
        <v>224</v>
      </c>
      <c r="E716" s="4" t="s">
        <v>1059</v>
      </c>
      <c r="F716" s="80">
        <v>0.006944444444444444</v>
      </c>
      <c r="G716" s="4" t="s">
        <v>124</v>
      </c>
      <c r="H716" s="27"/>
      <c r="I716" s="4" t="s">
        <v>226</v>
      </c>
      <c r="J716" s="81"/>
      <c r="M716" s="82"/>
    </row>
    <row r="717">
      <c r="A717" s="77"/>
      <c r="B717" s="4" t="s">
        <v>222</v>
      </c>
      <c r="C717" s="4" t="s">
        <v>242</v>
      </c>
      <c r="D717" s="4" t="s">
        <v>224</v>
      </c>
      <c r="E717" s="4" t="s">
        <v>1059</v>
      </c>
      <c r="F717" s="80">
        <v>0.006944444444444444</v>
      </c>
      <c r="G717" s="4" t="s">
        <v>561</v>
      </c>
      <c r="H717" s="27"/>
      <c r="I717" s="4" t="s">
        <v>226</v>
      </c>
      <c r="J717" s="81"/>
      <c r="M717" s="82"/>
    </row>
    <row r="718">
      <c r="A718" s="77"/>
      <c r="B718" s="4" t="s">
        <v>222</v>
      </c>
      <c r="C718" s="4" t="s">
        <v>242</v>
      </c>
      <c r="D718" s="4" t="s">
        <v>224</v>
      </c>
      <c r="E718" s="4" t="s">
        <v>1059</v>
      </c>
      <c r="F718" s="80">
        <v>0.006944444444444444</v>
      </c>
      <c r="G718" s="4" t="s">
        <v>147</v>
      </c>
      <c r="H718" s="27"/>
      <c r="I718" s="4" t="s">
        <v>226</v>
      </c>
      <c r="J718" s="81"/>
      <c r="M718" s="82"/>
    </row>
    <row r="719">
      <c r="A719" s="77"/>
      <c r="B719" s="4" t="s">
        <v>222</v>
      </c>
      <c r="C719" s="4" t="s">
        <v>242</v>
      </c>
      <c r="D719" s="4" t="s">
        <v>224</v>
      </c>
      <c r="E719" s="4" t="s">
        <v>1059</v>
      </c>
      <c r="F719" s="80">
        <v>0.006944444444444444</v>
      </c>
      <c r="G719" s="4" t="s">
        <v>157</v>
      </c>
      <c r="H719" s="27"/>
      <c r="I719" s="4" t="s">
        <v>226</v>
      </c>
      <c r="J719" s="81"/>
      <c r="M719" s="82"/>
    </row>
    <row r="720">
      <c r="A720" s="77"/>
      <c r="B720" s="4" t="s">
        <v>222</v>
      </c>
      <c r="C720" s="4" t="s">
        <v>242</v>
      </c>
      <c r="D720" s="4" t="s">
        <v>224</v>
      </c>
      <c r="E720" s="4" t="s">
        <v>1059</v>
      </c>
      <c r="F720" s="80">
        <v>0.006944444444444444</v>
      </c>
      <c r="G720" s="5" t="s">
        <v>176</v>
      </c>
      <c r="H720" s="27"/>
      <c r="I720" s="4" t="s">
        <v>226</v>
      </c>
      <c r="J720" s="81"/>
      <c r="M720" s="82"/>
    </row>
    <row r="721">
      <c r="A721" s="77"/>
      <c r="B721" s="4" t="s">
        <v>222</v>
      </c>
      <c r="C721" s="4" t="s">
        <v>242</v>
      </c>
      <c r="D721" s="4" t="s">
        <v>224</v>
      </c>
      <c r="E721" s="4" t="s">
        <v>1059</v>
      </c>
      <c r="F721" s="80">
        <v>0.006944444444444444</v>
      </c>
      <c r="G721" s="4" t="s">
        <v>1065</v>
      </c>
      <c r="H721" s="27"/>
      <c r="I721" s="4" t="s">
        <v>226</v>
      </c>
      <c r="J721" s="81"/>
      <c r="M721" s="82"/>
    </row>
    <row r="722">
      <c r="A722" s="77"/>
      <c r="B722" s="4" t="s">
        <v>222</v>
      </c>
      <c r="C722" s="4" t="s">
        <v>242</v>
      </c>
      <c r="D722" s="4" t="s">
        <v>224</v>
      </c>
      <c r="E722" s="4" t="s">
        <v>1059</v>
      </c>
      <c r="F722" s="80">
        <v>0.006944444444444444</v>
      </c>
      <c r="G722" s="4" t="s">
        <v>175</v>
      </c>
      <c r="H722" s="27"/>
      <c r="I722" s="4" t="s">
        <v>226</v>
      </c>
      <c r="J722" s="81"/>
      <c r="M722" s="82"/>
    </row>
    <row r="723">
      <c r="A723" s="77"/>
      <c r="B723" s="4" t="s">
        <v>222</v>
      </c>
      <c r="C723" s="4" t="s">
        <v>242</v>
      </c>
      <c r="D723" s="4" t="s">
        <v>224</v>
      </c>
      <c r="E723" s="4" t="s">
        <v>1059</v>
      </c>
      <c r="F723" s="80">
        <v>0.006944444444444444</v>
      </c>
      <c r="G723" s="4" t="s">
        <v>133</v>
      </c>
      <c r="H723" s="27"/>
      <c r="I723" s="4" t="s">
        <v>226</v>
      </c>
      <c r="J723" s="81"/>
      <c r="M723" s="82"/>
    </row>
    <row r="724">
      <c r="A724" s="77"/>
      <c r="B724" s="4" t="s">
        <v>222</v>
      </c>
      <c r="C724" s="4" t="s">
        <v>242</v>
      </c>
      <c r="D724" s="4" t="s">
        <v>224</v>
      </c>
      <c r="E724" s="4" t="s">
        <v>1059</v>
      </c>
      <c r="F724" s="80">
        <v>0.006944444444444444</v>
      </c>
      <c r="G724" s="4" t="s">
        <v>156</v>
      </c>
      <c r="H724" s="27"/>
      <c r="I724" s="4" t="s">
        <v>226</v>
      </c>
      <c r="J724" s="81"/>
      <c r="M724" s="82"/>
    </row>
    <row r="725">
      <c r="A725" s="77"/>
      <c r="B725" s="4" t="s">
        <v>222</v>
      </c>
      <c r="C725" s="4" t="s">
        <v>242</v>
      </c>
      <c r="D725" s="4" t="s">
        <v>224</v>
      </c>
      <c r="E725" s="4" t="s">
        <v>1059</v>
      </c>
      <c r="F725" s="80">
        <v>0.006944444444444444</v>
      </c>
      <c r="G725" s="4" t="s">
        <v>124</v>
      </c>
      <c r="H725" s="27"/>
      <c r="I725" s="4" t="s">
        <v>226</v>
      </c>
      <c r="J725" s="81"/>
      <c r="M725" s="82"/>
    </row>
    <row r="726">
      <c r="A726" s="77"/>
      <c r="B726" s="4" t="s">
        <v>222</v>
      </c>
      <c r="C726" s="4" t="s">
        <v>242</v>
      </c>
      <c r="D726" s="4" t="s">
        <v>224</v>
      </c>
      <c r="E726" s="4" t="s">
        <v>1059</v>
      </c>
      <c r="F726" s="80">
        <v>0.006944444444444444</v>
      </c>
      <c r="G726" s="4" t="s">
        <v>146</v>
      </c>
      <c r="H726" s="27"/>
      <c r="I726" s="4" t="s">
        <v>226</v>
      </c>
      <c r="J726" s="81"/>
      <c r="M726" s="82"/>
    </row>
    <row r="727">
      <c r="A727" s="77"/>
      <c r="B727" s="4" t="s">
        <v>222</v>
      </c>
      <c r="C727" s="4" t="s">
        <v>242</v>
      </c>
      <c r="D727" s="4" t="s">
        <v>224</v>
      </c>
      <c r="E727" s="4" t="s">
        <v>1059</v>
      </c>
      <c r="F727" s="80">
        <v>0.006944444444444444</v>
      </c>
      <c r="G727" s="5" t="s">
        <v>125</v>
      </c>
      <c r="H727" s="27"/>
      <c r="I727" s="4" t="s">
        <v>226</v>
      </c>
      <c r="J727" s="81"/>
      <c r="M727" s="82"/>
    </row>
    <row r="728">
      <c r="A728" s="77"/>
      <c r="B728" s="4" t="s">
        <v>222</v>
      </c>
      <c r="C728" s="4" t="s">
        <v>242</v>
      </c>
      <c r="D728" s="4" t="s">
        <v>224</v>
      </c>
      <c r="E728" s="4" t="s">
        <v>1059</v>
      </c>
      <c r="F728" s="80">
        <v>0.006944444444444444</v>
      </c>
      <c r="G728" s="5" t="s">
        <v>191</v>
      </c>
      <c r="H728" s="27"/>
      <c r="I728" s="4" t="s">
        <v>226</v>
      </c>
      <c r="J728" s="81"/>
      <c r="M728" s="82"/>
    </row>
    <row r="729">
      <c r="A729" s="77"/>
      <c r="B729" s="4" t="s">
        <v>222</v>
      </c>
      <c r="C729" s="4" t="s">
        <v>242</v>
      </c>
      <c r="D729" s="4" t="s">
        <v>224</v>
      </c>
      <c r="E729" s="4" t="s">
        <v>1059</v>
      </c>
      <c r="F729" s="80">
        <v>0.006944444444444444</v>
      </c>
      <c r="G729" s="5" t="s">
        <v>185</v>
      </c>
      <c r="H729" s="27"/>
      <c r="I729" s="4" t="s">
        <v>226</v>
      </c>
      <c r="J729" s="81"/>
      <c r="M729" s="82"/>
    </row>
    <row r="730">
      <c r="A730" s="77"/>
      <c r="B730" s="4" t="s">
        <v>473</v>
      </c>
      <c r="C730" s="4" t="s">
        <v>383</v>
      </c>
      <c r="D730" s="4" t="s">
        <v>224</v>
      </c>
      <c r="E730" s="4" t="s">
        <v>1059</v>
      </c>
      <c r="F730" s="80">
        <v>0.006944444444444444</v>
      </c>
      <c r="G730" s="4" t="s">
        <v>183</v>
      </c>
      <c r="H730" s="27"/>
      <c r="I730" s="4" t="s">
        <v>226</v>
      </c>
      <c r="J730" s="81"/>
      <c r="M730" s="82"/>
    </row>
    <row r="731">
      <c r="A731" s="77"/>
      <c r="B731" s="4" t="s">
        <v>473</v>
      </c>
      <c r="C731" s="4" t="s">
        <v>383</v>
      </c>
      <c r="D731" s="4" t="s">
        <v>224</v>
      </c>
      <c r="E731" s="4" t="s">
        <v>1059</v>
      </c>
      <c r="F731" s="80">
        <v>0.006944444444444444</v>
      </c>
      <c r="G731" s="4" t="s">
        <v>171</v>
      </c>
      <c r="H731" s="27"/>
      <c r="I731" s="4" t="s">
        <v>226</v>
      </c>
      <c r="J731" s="81"/>
      <c r="M731" s="82"/>
    </row>
    <row r="732">
      <c r="A732" s="77"/>
      <c r="B732" s="4" t="s">
        <v>473</v>
      </c>
      <c r="C732" s="4" t="s">
        <v>383</v>
      </c>
      <c r="D732" s="4" t="s">
        <v>224</v>
      </c>
      <c r="E732" s="4" t="s">
        <v>1059</v>
      </c>
      <c r="F732" s="80">
        <v>0.006944444444444444</v>
      </c>
      <c r="G732" s="4" t="s">
        <v>175</v>
      </c>
      <c r="H732" s="27"/>
      <c r="I732" s="4" t="s">
        <v>226</v>
      </c>
      <c r="J732" s="81"/>
      <c r="M732" s="82"/>
    </row>
    <row r="733">
      <c r="A733" s="77"/>
      <c r="B733" s="4" t="s">
        <v>473</v>
      </c>
      <c r="C733" s="4" t="s">
        <v>383</v>
      </c>
      <c r="D733" s="4" t="s">
        <v>224</v>
      </c>
      <c r="E733" s="4" t="s">
        <v>1059</v>
      </c>
      <c r="F733" s="80">
        <v>0.006944444444444444</v>
      </c>
      <c r="G733" s="4" t="s">
        <v>1065</v>
      </c>
      <c r="H733" s="27"/>
      <c r="I733" s="4" t="s">
        <v>226</v>
      </c>
      <c r="J733" s="81"/>
      <c r="M733" s="82"/>
    </row>
    <row r="734" ht="16.5" customHeight="1">
      <c r="A734" s="77"/>
      <c r="B734" s="4" t="s">
        <v>473</v>
      </c>
      <c r="C734" s="4" t="s">
        <v>383</v>
      </c>
      <c r="D734" s="4" t="s">
        <v>224</v>
      </c>
      <c r="E734" s="4" t="s">
        <v>1059</v>
      </c>
      <c r="F734" s="80">
        <v>0.006944444444444444</v>
      </c>
      <c r="G734" s="4" t="s">
        <v>164</v>
      </c>
      <c r="H734" s="27"/>
      <c r="I734" s="4" t="s">
        <v>226</v>
      </c>
      <c r="J734" s="81"/>
      <c r="M734" s="82"/>
    </row>
    <row r="735">
      <c r="A735" s="77"/>
      <c r="B735" s="4" t="s">
        <v>473</v>
      </c>
      <c r="C735" s="4" t="s">
        <v>381</v>
      </c>
      <c r="D735" s="4" t="s">
        <v>224</v>
      </c>
      <c r="E735" s="4" t="s">
        <v>1059</v>
      </c>
      <c r="F735" s="80">
        <v>0.006944444444444444</v>
      </c>
      <c r="G735" s="5" t="s">
        <v>159</v>
      </c>
      <c r="H735" s="27"/>
      <c r="I735" s="4" t="s">
        <v>226</v>
      </c>
      <c r="J735" s="81"/>
      <c r="M735" s="82"/>
    </row>
    <row r="736">
      <c r="A736" s="77"/>
      <c r="B736" s="4" t="s">
        <v>473</v>
      </c>
      <c r="C736" s="4" t="s">
        <v>381</v>
      </c>
      <c r="D736" s="4" t="s">
        <v>224</v>
      </c>
      <c r="E736" s="4" t="s">
        <v>1059</v>
      </c>
      <c r="F736" s="80">
        <v>0.006944444444444444</v>
      </c>
      <c r="G736" s="4" t="s">
        <v>175</v>
      </c>
      <c r="H736" s="27"/>
      <c r="I736" s="4" t="s">
        <v>226</v>
      </c>
      <c r="J736" s="81"/>
      <c r="M736" s="82"/>
    </row>
    <row r="737">
      <c r="A737" s="77"/>
      <c r="B737" s="4" t="s">
        <v>473</v>
      </c>
      <c r="C737" s="4" t="s">
        <v>381</v>
      </c>
      <c r="D737" s="4" t="s">
        <v>224</v>
      </c>
      <c r="E737" s="4" t="s">
        <v>1059</v>
      </c>
      <c r="F737" s="80">
        <v>0.006944444444444444</v>
      </c>
      <c r="G737" s="4" t="s">
        <v>1065</v>
      </c>
      <c r="H737" s="27"/>
      <c r="I737" s="4" t="s">
        <v>226</v>
      </c>
      <c r="J737" s="81"/>
      <c r="M737" s="82"/>
    </row>
    <row r="738">
      <c r="A738" s="77"/>
      <c r="B738" s="4" t="s">
        <v>550</v>
      </c>
      <c r="C738" s="4" t="s">
        <v>441</v>
      </c>
      <c r="D738" s="4" t="s">
        <v>224</v>
      </c>
      <c r="E738" s="4" t="s">
        <v>1059</v>
      </c>
      <c r="F738" s="80">
        <v>0.006944444444444444</v>
      </c>
      <c r="G738" s="4" t="s">
        <v>147</v>
      </c>
      <c r="H738" s="27"/>
      <c r="I738" s="4" t="s">
        <v>226</v>
      </c>
      <c r="J738" s="81"/>
      <c r="M738" s="82"/>
    </row>
    <row r="739">
      <c r="A739" s="77"/>
      <c r="B739" s="4" t="s">
        <v>550</v>
      </c>
      <c r="C739" s="4" t="s">
        <v>441</v>
      </c>
      <c r="D739" s="4" t="s">
        <v>224</v>
      </c>
      <c r="E739" s="4" t="s">
        <v>1059</v>
      </c>
      <c r="F739" s="80">
        <v>0.006944444444444444</v>
      </c>
      <c r="G739" s="4" t="s">
        <v>157</v>
      </c>
      <c r="H739" s="27"/>
      <c r="I739" s="4" t="s">
        <v>226</v>
      </c>
      <c r="J739" s="81"/>
      <c r="M739" s="82"/>
    </row>
    <row r="740">
      <c r="A740" s="77"/>
      <c r="B740" s="4" t="s">
        <v>550</v>
      </c>
      <c r="C740" s="4" t="s">
        <v>441</v>
      </c>
      <c r="D740" s="4" t="s">
        <v>224</v>
      </c>
      <c r="E740" s="4" t="s">
        <v>1059</v>
      </c>
      <c r="F740" s="80">
        <v>0.006944444444444444</v>
      </c>
      <c r="G740" s="4" t="s">
        <v>196</v>
      </c>
      <c r="H740" s="27"/>
      <c r="I740" s="4" t="s">
        <v>226</v>
      </c>
      <c r="J740" s="81"/>
      <c r="M740" s="82"/>
    </row>
    <row r="741">
      <c r="A741" s="77"/>
      <c r="B741" s="4" t="s">
        <v>550</v>
      </c>
      <c r="C741" s="4" t="s">
        <v>443</v>
      </c>
      <c r="D741" s="4" t="s">
        <v>224</v>
      </c>
      <c r="E741" s="4" t="s">
        <v>1059</v>
      </c>
      <c r="F741" s="80">
        <v>0.006944444444444444</v>
      </c>
      <c r="G741" s="5" t="s">
        <v>176</v>
      </c>
      <c r="H741" s="27"/>
      <c r="I741" s="4" t="s">
        <v>226</v>
      </c>
      <c r="J741" s="81"/>
      <c r="M741" s="82"/>
    </row>
    <row r="742">
      <c r="A742" s="77"/>
      <c r="B742" s="4" t="s">
        <v>550</v>
      </c>
      <c r="C742" s="4" t="s">
        <v>443</v>
      </c>
      <c r="D742" s="4" t="s">
        <v>224</v>
      </c>
      <c r="E742" s="4" t="s">
        <v>1059</v>
      </c>
      <c r="F742" s="80">
        <v>0.006944444444444444</v>
      </c>
      <c r="G742" s="4" t="s">
        <v>147</v>
      </c>
      <c r="H742" s="27"/>
      <c r="I742" s="4" t="s">
        <v>226</v>
      </c>
      <c r="J742" s="81"/>
      <c r="M742" s="82"/>
    </row>
    <row r="743">
      <c r="A743" s="77"/>
      <c r="B743" s="4" t="s">
        <v>550</v>
      </c>
      <c r="C743" s="4" t="s">
        <v>443</v>
      </c>
      <c r="D743" s="4" t="s">
        <v>224</v>
      </c>
      <c r="E743" s="4" t="s">
        <v>1059</v>
      </c>
      <c r="F743" s="80">
        <v>0.006944444444444444</v>
      </c>
      <c r="G743" s="4" t="s">
        <v>157</v>
      </c>
      <c r="H743" s="27"/>
      <c r="I743" s="4" t="s">
        <v>226</v>
      </c>
      <c r="J743" s="81"/>
      <c r="M743" s="82"/>
    </row>
    <row r="744">
      <c r="A744" s="77"/>
      <c r="B744" s="4" t="s">
        <v>550</v>
      </c>
      <c r="C744" s="4" t="s">
        <v>443</v>
      </c>
      <c r="D744" s="4" t="s">
        <v>224</v>
      </c>
      <c r="E744" s="4" t="s">
        <v>1059</v>
      </c>
      <c r="F744" s="80">
        <v>0.006944444444444444</v>
      </c>
      <c r="G744" s="4" t="s">
        <v>196</v>
      </c>
      <c r="H744" s="27"/>
      <c r="I744" s="4" t="s">
        <v>226</v>
      </c>
      <c r="J744" s="81"/>
      <c r="M744" s="82"/>
    </row>
    <row r="745">
      <c r="A745" s="77"/>
      <c r="B745" s="4" t="s">
        <v>550</v>
      </c>
      <c r="C745" s="4" t="s">
        <v>446</v>
      </c>
      <c r="D745" s="4" t="s">
        <v>224</v>
      </c>
      <c r="E745" s="4" t="s">
        <v>1059</v>
      </c>
      <c r="F745" s="80">
        <v>0.006944444444444444</v>
      </c>
      <c r="G745" s="5" t="s">
        <v>176</v>
      </c>
      <c r="H745" s="27"/>
      <c r="I745" s="4" t="s">
        <v>226</v>
      </c>
      <c r="J745" s="81"/>
      <c r="M745" s="82"/>
    </row>
    <row r="746">
      <c r="A746" s="77"/>
      <c r="B746" s="4" t="s">
        <v>550</v>
      </c>
      <c r="C746" s="4" t="s">
        <v>446</v>
      </c>
      <c r="D746" s="4" t="s">
        <v>224</v>
      </c>
      <c r="E746" s="4" t="s">
        <v>1059</v>
      </c>
      <c r="F746" s="80">
        <v>0.006944444444444444</v>
      </c>
      <c r="G746" s="4" t="s">
        <v>147</v>
      </c>
      <c r="H746" s="27"/>
      <c r="I746" s="4" t="s">
        <v>226</v>
      </c>
      <c r="J746" s="81"/>
      <c r="M746" s="82"/>
    </row>
    <row r="747">
      <c r="A747" s="77"/>
      <c r="B747" s="4" t="s">
        <v>550</v>
      </c>
      <c r="C747" s="4" t="s">
        <v>446</v>
      </c>
      <c r="D747" s="4" t="s">
        <v>224</v>
      </c>
      <c r="E747" s="4" t="s">
        <v>1059</v>
      </c>
      <c r="F747" s="80">
        <v>0.006944444444444444</v>
      </c>
      <c r="G747" s="4" t="s">
        <v>157</v>
      </c>
      <c r="H747" s="27"/>
      <c r="I747" s="4" t="s">
        <v>226</v>
      </c>
      <c r="J747" s="81"/>
      <c r="M747" s="82"/>
    </row>
    <row r="748">
      <c r="A748" s="77"/>
      <c r="B748" s="4" t="s">
        <v>550</v>
      </c>
      <c r="C748" s="4" t="s">
        <v>446</v>
      </c>
      <c r="D748" s="4" t="s">
        <v>224</v>
      </c>
      <c r="E748" s="4" t="s">
        <v>1059</v>
      </c>
      <c r="F748" s="80">
        <v>0.006944444444444444</v>
      </c>
      <c r="G748" s="4" t="s">
        <v>168</v>
      </c>
      <c r="H748" s="27"/>
      <c r="I748" s="4" t="s">
        <v>226</v>
      </c>
      <c r="J748" s="81"/>
      <c r="M748" s="82"/>
    </row>
    <row r="749">
      <c r="A749" s="77"/>
      <c r="B749" s="4" t="s">
        <v>266</v>
      </c>
      <c r="C749" s="4" t="s">
        <v>242</v>
      </c>
      <c r="D749" s="4" t="s">
        <v>224</v>
      </c>
      <c r="E749" s="4" t="s">
        <v>1059</v>
      </c>
      <c r="F749" s="80">
        <v>0.006944444444444444</v>
      </c>
      <c r="G749" s="4" t="s">
        <v>147</v>
      </c>
      <c r="H749" s="27"/>
      <c r="I749" s="4" t="s">
        <v>226</v>
      </c>
      <c r="J749" s="81"/>
      <c r="M749" s="82"/>
    </row>
    <row r="750">
      <c r="A750" s="77"/>
      <c r="B750" s="4" t="s">
        <v>266</v>
      </c>
      <c r="C750" s="4" t="s">
        <v>242</v>
      </c>
      <c r="D750" s="4" t="s">
        <v>224</v>
      </c>
      <c r="E750" s="4" t="s">
        <v>1059</v>
      </c>
      <c r="F750" s="80">
        <v>0.006944444444444444</v>
      </c>
      <c r="G750" s="5" t="s">
        <v>176</v>
      </c>
      <c r="H750" s="27"/>
      <c r="I750" s="4" t="s">
        <v>226</v>
      </c>
      <c r="J750" s="81"/>
      <c r="M750" s="82"/>
    </row>
    <row r="751">
      <c r="A751" s="77"/>
      <c r="B751" s="4" t="s">
        <v>266</v>
      </c>
      <c r="C751" s="4" t="s">
        <v>242</v>
      </c>
      <c r="D751" s="4" t="s">
        <v>224</v>
      </c>
      <c r="E751" s="4" t="s">
        <v>1059</v>
      </c>
      <c r="F751" s="80">
        <v>0.006944444444444444</v>
      </c>
      <c r="G751" s="5" t="s">
        <v>269</v>
      </c>
      <c r="H751" s="27"/>
      <c r="I751" s="4" t="s">
        <v>226</v>
      </c>
      <c r="J751" s="81"/>
      <c r="M751" s="82"/>
    </row>
    <row r="752">
      <c r="A752" s="77"/>
      <c r="B752" s="4" t="s">
        <v>266</v>
      </c>
      <c r="C752" s="4" t="s">
        <v>242</v>
      </c>
      <c r="D752" s="4" t="s">
        <v>224</v>
      </c>
      <c r="E752" s="4" t="s">
        <v>1059</v>
      </c>
      <c r="F752" s="80">
        <v>0.006944444444444444</v>
      </c>
      <c r="G752" s="5" t="s">
        <v>131</v>
      </c>
      <c r="H752" s="27"/>
      <c r="I752" s="4" t="s">
        <v>226</v>
      </c>
      <c r="J752" s="81"/>
      <c r="M752" s="82"/>
    </row>
    <row r="753">
      <c r="A753" s="77"/>
      <c r="B753" s="4" t="s">
        <v>266</v>
      </c>
      <c r="C753" s="4" t="s">
        <v>242</v>
      </c>
      <c r="D753" s="4" t="s">
        <v>224</v>
      </c>
      <c r="E753" s="4" t="s">
        <v>1059</v>
      </c>
      <c r="F753" s="80">
        <v>0.006944444444444444</v>
      </c>
      <c r="G753" s="5" t="s">
        <v>137</v>
      </c>
      <c r="H753" s="27"/>
      <c r="I753" s="4" t="s">
        <v>226</v>
      </c>
      <c r="J753" s="81"/>
      <c r="M753" s="82"/>
    </row>
    <row r="754">
      <c r="A754" s="77"/>
      <c r="B754" s="4" t="s">
        <v>266</v>
      </c>
      <c r="C754" s="4" t="s">
        <v>223</v>
      </c>
      <c r="D754" s="4" t="s">
        <v>224</v>
      </c>
      <c r="E754" s="4" t="s">
        <v>1059</v>
      </c>
      <c r="F754" s="80">
        <v>0.006944444444444444</v>
      </c>
      <c r="G754" s="4" t="s">
        <v>1068</v>
      </c>
      <c r="H754" s="27"/>
      <c r="I754" s="4" t="s">
        <v>226</v>
      </c>
      <c r="J754" s="81"/>
      <c r="M754" s="82"/>
    </row>
    <row r="755">
      <c r="A755" s="77"/>
      <c r="B755" s="4" t="s">
        <v>266</v>
      </c>
      <c r="C755" s="4" t="s">
        <v>223</v>
      </c>
      <c r="D755" s="4" t="s">
        <v>224</v>
      </c>
      <c r="E755" s="4" t="s">
        <v>1059</v>
      </c>
      <c r="F755" s="80">
        <v>0.006944444444444444</v>
      </c>
      <c r="G755" s="4" t="s">
        <v>203</v>
      </c>
      <c r="H755" s="27"/>
      <c r="I755" s="4" t="s">
        <v>226</v>
      </c>
      <c r="J755" s="81"/>
      <c r="M755" s="82"/>
    </row>
    <row r="756">
      <c r="A756" s="77"/>
      <c r="B756" s="4" t="s">
        <v>266</v>
      </c>
      <c r="C756" s="4" t="s">
        <v>223</v>
      </c>
      <c r="D756" s="4" t="s">
        <v>224</v>
      </c>
      <c r="E756" s="4" t="s">
        <v>1059</v>
      </c>
      <c r="F756" s="80">
        <v>0.006944444444444444</v>
      </c>
      <c r="G756" s="4" t="s">
        <v>1069</v>
      </c>
      <c r="H756" s="27"/>
      <c r="I756" s="4" t="s">
        <v>226</v>
      </c>
      <c r="J756" s="81"/>
      <c r="M756" s="82"/>
    </row>
    <row r="757">
      <c r="A757" s="77"/>
      <c r="B757" s="4" t="s">
        <v>266</v>
      </c>
      <c r="C757" s="4" t="s">
        <v>242</v>
      </c>
      <c r="D757" s="4" t="s">
        <v>224</v>
      </c>
      <c r="E757" s="4" t="s">
        <v>1059</v>
      </c>
      <c r="F757" s="80">
        <v>0.006944444444444444</v>
      </c>
      <c r="G757" s="4" t="s">
        <v>1068</v>
      </c>
      <c r="H757" s="27"/>
      <c r="I757" s="4" t="s">
        <v>226</v>
      </c>
      <c r="J757" s="81"/>
      <c r="M757" s="82"/>
    </row>
    <row r="758">
      <c r="A758" s="77"/>
      <c r="B758" s="4" t="s">
        <v>266</v>
      </c>
      <c r="C758" s="4" t="s">
        <v>242</v>
      </c>
      <c r="D758" s="4" t="s">
        <v>224</v>
      </c>
      <c r="E758" s="4" t="s">
        <v>1059</v>
      </c>
      <c r="F758" s="80">
        <v>0.006944444444444444</v>
      </c>
      <c r="G758" s="4" t="s">
        <v>203</v>
      </c>
      <c r="H758" s="27"/>
      <c r="I758" s="4" t="s">
        <v>226</v>
      </c>
      <c r="J758" s="81"/>
      <c r="M758" s="82"/>
    </row>
    <row r="759">
      <c r="A759" s="77"/>
      <c r="B759" s="4" t="s">
        <v>266</v>
      </c>
      <c r="C759" s="4" t="s">
        <v>242</v>
      </c>
      <c r="D759" s="4" t="s">
        <v>224</v>
      </c>
      <c r="E759" s="4" t="s">
        <v>1059</v>
      </c>
      <c r="F759" s="80">
        <v>0.006944444444444444</v>
      </c>
      <c r="G759" s="4" t="s">
        <v>1069</v>
      </c>
      <c r="H759" s="27"/>
      <c r="I759" s="4" t="s">
        <v>226</v>
      </c>
      <c r="J759" s="81"/>
      <c r="M759" s="82"/>
    </row>
    <row r="760">
      <c r="A760" s="77"/>
      <c r="B760" s="4" t="s">
        <v>325</v>
      </c>
      <c r="C760" s="4" t="s">
        <v>242</v>
      </c>
      <c r="D760" s="4" t="s">
        <v>224</v>
      </c>
      <c r="E760" s="4" t="s">
        <v>1059</v>
      </c>
      <c r="F760" s="80">
        <v>0.006944444444444444</v>
      </c>
      <c r="G760" s="5" t="s">
        <v>126</v>
      </c>
      <c r="H760" s="27"/>
      <c r="I760" s="4" t="s">
        <v>226</v>
      </c>
      <c r="J760" s="81"/>
      <c r="M760" s="82"/>
    </row>
    <row r="761">
      <c r="A761" s="77"/>
      <c r="B761" s="4" t="s">
        <v>325</v>
      </c>
      <c r="C761" s="4" t="s">
        <v>242</v>
      </c>
      <c r="D761" s="4" t="s">
        <v>224</v>
      </c>
      <c r="E761" s="4" t="s">
        <v>1059</v>
      </c>
      <c r="F761" s="80">
        <v>0.006944444444444444</v>
      </c>
      <c r="G761" s="5" t="s">
        <v>194</v>
      </c>
      <c r="H761" s="27"/>
      <c r="I761" s="4" t="s">
        <v>226</v>
      </c>
      <c r="J761" s="81"/>
      <c r="M761" s="82"/>
    </row>
    <row r="762">
      <c r="A762" s="77"/>
      <c r="B762" s="4" t="s">
        <v>325</v>
      </c>
      <c r="C762" s="4" t="s">
        <v>242</v>
      </c>
      <c r="D762" s="4" t="s">
        <v>224</v>
      </c>
      <c r="E762" s="4" t="s">
        <v>1059</v>
      </c>
      <c r="F762" s="80">
        <v>0.006944444444444444</v>
      </c>
      <c r="G762" s="5" t="s">
        <v>171</v>
      </c>
      <c r="H762" s="27"/>
      <c r="I762" s="4" t="s">
        <v>226</v>
      </c>
      <c r="J762" s="81"/>
      <c r="M762" s="82"/>
    </row>
    <row r="763">
      <c r="A763" s="77"/>
      <c r="B763" s="4" t="s">
        <v>325</v>
      </c>
      <c r="C763" s="4" t="s">
        <v>242</v>
      </c>
      <c r="D763" s="4" t="s">
        <v>224</v>
      </c>
      <c r="E763" s="4" t="s">
        <v>1059</v>
      </c>
      <c r="F763" s="80">
        <v>0.006944444444444444</v>
      </c>
      <c r="G763" s="4" t="s">
        <v>124</v>
      </c>
      <c r="H763" s="27"/>
      <c r="I763" s="4" t="s">
        <v>226</v>
      </c>
      <c r="J763" s="81"/>
      <c r="M763" s="82"/>
    </row>
    <row r="764">
      <c r="A764" s="77"/>
      <c r="B764" s="4" t="s">
        <v>325</v>
      </c>
      <c r="C764" s="4" t="s">
        <v>242</v>
      </c>
      <c r="D764" s="4" t="s">
        <v>224</v>
      </c>
      <c r="E764" s="4" t="s">
        <v>1059</v>
      </c>
      <c r="F764" s="80">
        <v>0.006944444444444444</v>
      </c>
      <c r="G764" s="5" t="s">
        <v>185</v>
      </c>
      <c r="H764" s="27"/>
      <c r="I764" s="4" t="s">
        <v>226</v>
      </c>
      <c r="J764" s="81"/>
      <c r="M764" s="82"/>
    </row>
    <row r="765">
      <c r="A765" s="77"/>
      <c r="B765" s="4" t="s">
        <v>325</v>
      </c>
      <c r="C765" s="4" t="s">
        <v>242</v>
      </c>
      <c r="D765" s="4" t="s">
        <v>224</v>
      </c>
      <c r="E765" s="4" t="s">
        <v>1059</v>
      </c>
      <c r="F765" s="80">
        <v>0.006944444444444444</v>
      </c>
      <c r="G765" s="5" t="s">
        <v>133</v>
      </c>
      <c r="H765" s="27"/>
      <c r="I765" s="4" t="s">
        <v>226</v>
      </c>
      <c r="J765" s="81"/>
      <c r="M765" s="82"/>
    </row>
    <row r="766">
      <c r="A766" s="77"/>
      <c r="B766" s="4" t="s">
        <v>325</v>
      </c>
      <c r="C766" s="4" t="s">
        <v>242</v>
      </c>
      <c r="D766" s="4" t="s">
        <v>224</v>
      </c>
      <c r="E766" s="4" t="s">
        <v>1059</v>
      </c>
      <c r="F766" s="80">
        <v>0.006944444444444444</v>
      </c>
      <c r="G766" s="4" t="s">
        <v>187</v>
      </c>
      <c r="H766" s="27"/>
      <c r="I766" s="4" t="s">
        <v>226</v>
      </c>
      <c r="J766" s="81"/>
      <c r="M766" s="82"/>
    </row>
    <row r="767">
      <c r="A767" s="86"/>
      <c r="B767" s="87" t="s">
        <v>380</v>
      </c>
      <c r="C767" s="4" t="s">
        <v>383</v>
      </c>
      <c r="D767" s="4" t="s">
        <v>224</v>
      </c>
      <c r="E767" s="4" t="s">
        <v>1059</v>
      </c>
      <c r="F767" s="80">
        <v>0.006944444444444444</v>
      </c>
      <c r="G767" s="5" t="s">
        <v>1065</v>
      </c>
      <c r="H767" s="27"/>
      <c r="I767" s="4" t="s">
        <v>226</v>
      </c>
      <c r="J767" s="81"/>
      <c r="M767" s="82"/>
    </row>
    <row r="768">
      <c r="A768" s="86"/>
      <c r="B768" s="87" t="s">
        <v>380</v>
      </c>
      <c r="C768" s="4" t="s">
        <v>383</v>
      </c>
      <c r="D768" s="4" t="s">
        <v>224</v>
      </c>
      <c r="E768" s="4" t="s">
        <v>1059</v>
      </c>
      <c r="F768" s="80">
        <v>0.006944444444444444</v>
      </c>
      <c r="G768" s="5" t="s">
        <v>164</v>
      </c>
      <c r="H768" s="27"/>
      <c r="I768" s="4" t="s">
        <v>226</v>
      </c>
      <c r="J768" s="81"/>
      <c r="M768" s="82"/>
    </row>
    <row r="769">
      <c r="A769" s="86"/>
      <c r="B769" s="87" t="s">
        <v>380</v>
      </c>
      <c r="C769" s="4" t="s">
        <v>383</v>
      </c>
      <c r="D769" s="4" t="s">
        <v>224</v>
      </c>
      <c r="E769" s="4" t="s">
        <v>1059</v>
      </c>
      <c r="F769" s="80">
        <v>0.006944444444444444</v>
      </c>
      <c r="G769" s="5" t="s">
        <v>180</v>
      </c>
      <c r="H769" s="27"/>
      <c r="I769" s="4" t="s">
        <v>226</v>
      </c>
      <c r="J769" s="81"/>
      <c r="M769" s="82"/>
    </row>
    <row r="770">
      <c r="A770" s="86"/>
      <c r="B770" s="87" t="s">
        <v>380</v>
      </c>
      <c r="C770" s="4" t="s">
        <v>383</v>
      </c>
      <c r="D770" s="4" t="s">
        <v>224</v>
      </c>
      <c r="E770" s="4" t="s">
        <v>1059</v>
      </c>
      <c r="F770" s="80">
        <v>0.006944444444444444</v>
      </c>
      <c r="G770" s="5" t="s">
        <v>184</v>
      </c>
      <c r="H770" s="27"/>
      <c r="I770" s="4" t="s">
        <v>226</v>
      </c>
      <c r="J770" s="81"/>
      <c r="M770" s="82"/>
    </row>
    <row r="771">
      <c r="A771" s="86"/>
      <c r="B771" s="87" t="s">
        <v>380</v>
      </c>
      <c r="C771" s="4" t="s">
        <v>381</v>
      </c>
      <c r="D771" s="4" t="s">
        <v>224</v>
      </c>
      <c r="E771" s="4" t="s">
        <v>1059</v>
      </c>
      <c r="F771" s="80">
        <v>0.006944444444444444</v>
      </c>
      <c r="G771" s="4" t="s">
        <v>1065</v>
      </c>
      <c r="H771" s="27"/>
      <c r="I771" s="4" t="s">
        <v>226</v>
      </c>
      <c r="J771" s="81"/>
      <c r="M771" s="82"/>
    </row>
    <row r="772">
      <c r="A772" s="86"/>
      <c r="B772" s="87" t="s">
        <v>380</v>
      </c>
      <c r="C772" s="4" t="s">
        <v>381</v>
      </c>
      <c r="D772" s="4" t="s">
        <v>224</v>
      </c>
      <c r="E772" s="4" t="s">
        <v>1059</v>
      </c>
      <c r="F772" s="80">
        <v>0.006944444444444444</v>
      </c>
      <c r="G772" s="4" t="s">
        <v>164</v>
      </c>
      <c r="H772" s="27"/>
      <c r="I772" s="4" t="s">
        <v>226</v>
      </c>
      <c r="J772" s="81"/>
      <c r="M772" s="82"/>
    </row>
    <row r="773">
      <c r="A773" s="86"/>
      <c r="B773" s="87" t="s">
        <v>380</v>
      </c>
      <c r="C773" s="4" t="s">
        <v>381</v>
      </c>
      <c r="D773" s="4" t="s">
        <v>224</v>
      </c>
      <c r="E773" s="4" t="s">
        <v>1059</v>
      </c>
      <c r="F773" s="80">
        <v>0.006944444444444444</v>
      </c>
      <c r="G773" s="4" t="s">
        <v>180</v>
      </c>
      <c r="H773" s="27"/>
      <c r="I773" s="4" t="s">
        <v>226</v>
      </c>
      <c r="J773" s="81"/>
      <c r="M773" s="82"/>
    </row>
    <row r="774">
      <c r="A774" s="86"/>
      <c r="B774" s="87" t="s">
        <v>380</v>
      </c>
      <c r="C774" s="4" t="s">
        <v>381</v>
      </c>
      <c r="D774" s="4" t="s">
        <v>224</v>
      </c>
      <c r="E774" s="4" t="s">
        <v>1059</v>
      </c>
      <c r="F774" s="80">
        <v>0.006944444444444444</v>
      </c>
      <c r="G774" s="4" t="s">
        <v>184</v>
      </c>
      <c r="H774" s="27"/>
      <c r="I774" s="4" t="s">
        <v>226</v>
      </c>
      <c r="J774" s="81"/>
      <c r="M774" s="82"/>
    </row>
    <row r="775">
      <c r="A775" s="86"/>
      <c r="B775" s="87" t="s">
        <v>380</v>
      </c>
      <c r="C775" s="4" t="s">
        <v>383</v>
      </c>
      <c r="D775" s="4" t="s">
        <v>224</v>
      </c>
      <c r="E775" s="4" t="s">
        <v>1059</v>
      </c>
      <c r="F775" s="80">
        <v>0.006944444444444444</v>
      </c>
      <c r="G775" s="5" t="s">
        <v>194</v>
      </c>
      <c r="H775" s="27"/>
      <c r="I775" s="4" t="s">
        <v>226</v>
      </c>
      <c r="J775" s="81"/>
      <c r="M775" s="82"/>
    </row>
    <row r="776">
      <c r="A776" s="86"/>
      <c r="B776" s="87" t="s">
        <v>380</v>
      </c>
      <c r="C776" s="4" t="s">
        <v>381</v>
      </c>
      <c r="D776" s="4" t="s">
        <v>224</v>
      </c>
      <c r="E776" s="4" t="s">
        <v>1059</v>
      </c>
      <c r="F776" s="80">
        <v>0.006944444444444444</v>
      </c>
      <c r="G776" s="5" t="s">
        <v>182</v>
      </c>
      <c r="H776" s="27"/>
      <c r="I776" s="4" t="s">
        <v>226</v>
      </c>
      <c r="J776" s="81"/>
      <c r="M776" s="82"/>
    </row>
    <row r="777">
      <c r="A777" s="86"/>
      <c r="B777" s="87" t="s">
        <v>466</v>
      </c>
      <c r="C777" s="97" t="s">
        <v>383</v>
      </c>
      <c r="D777" s="87" t="s">
        <v>224</v>
      </c>
      <c r="E777" s="87" t="s">
        <v>1059</v>
      </c>
      <c r="F777" s="80">
        <v>0.006944444444444444</v>
      </c>
      <c r="G777" s="5" t="s">
        <v>168</v>
      </c>
      <c r="H777" s="27"/>
      <c r="I777" s="4" t="s">
        <v>226</v>
      </c>
      <c r="J777" s="81"/>
      <c r="M777" s="82"/>
    </row>
    <row r="778">
      <c r="A778" s="86"/>
      <c r="B778" s="87" t="s">
        <v>466</v>
      </c>
      <c r="C778" s="97" t="s">
        <v>383</v>
      </c>
      <c r="D778" s="87" t="s">
        <v>224</v>
      </c>
      <c r="E778" s="87" t="s">
        <v>1059</v>
      </c>
      <c r="F778" s="80">
        <v>0.006944444444444444</v>
      </c>
      <c r="G778" s="5" t="s">
        <v>171</v>
      </c>
      <c r="H778" s="27"/>
      <c r="I778" s="4" t="s">
        <v>226</v>
      </c>
      <c r="J778" s="81"/>
      <c r="M778" s="82"/>
    </row>
    <row r="779">
      <c r="A779" s="86"/>
      <c r="B779" s="87" t="s">
        <v>466</v>
      </c>
      <c r="C779" s="97" t="s">
        <v>383</v>
      </c>
      <c r="D779" s="87" t="s">
        <v>224</v>
      </c>
      <c r="E779" s="87" t="s">
        <v>1059</v>
      </c>
      <c r="F779" s="80">
        <v>0.006944444444444444</v>
      </c>
      <c r="G779" s="4" t="s">
        <v>124</v>
      </c>
      <c r="H779" s="27"/>
      <c r="I779" s="4" t="s">
        <v>226</v>
      </c>
      <c r="J779" s="81"/>
      <c r="M779" s="82"/>
    </row>
    <row r="780">
      <c r="A780" s="86"/>
      <c r="B780" s="87" t="s">
        <v>466</v>
      </c>
      <c r="C780" s="97" t="s">
        <v>383</v>
      </c>
      <c r="D780" s="87" t="s">
        <v>224</v>
      </c>
      <c r="E780" s="87" t="s">
        <v>1059</v>
      </c>
      <c r="F780" s="80">
        <v>0.006944444444444444</v>
      </c>
      <c r="G780" s="5" t="s">
        <v>158</v>
      </c>
      <c r="H780" s="27"/>
      <c r="I780" s="4" t="s">
        <v>226</v>
      </c>
      <c r="J780" s="81"/>
      <c r="M780" s="82"/>
    </row>
    <row r="781">
      <c r="A781" s="86"/>
      <c r="B781" s="87" t="s">
        <v>466</v>
      </c>
      <c r="C781" s="97" t="s">
        <v>383</v>
      </c>
      <c r="D781" s="87" t="s">
        <v>224</v>
      </c>
      <c r="E781" s="87" t="s">
        <v>1059</v>
      </c>
      <c r="F781" s="80">
        <v>0.006944444444444444</v>
      </c>
      <c r="G781" s="5" t="s">
        <v>161</v>
      </c>
      <c r="H781" s="27"/>
      <c r="I781" s="4" t="s">
        <v>226</v>
      </c>
      <c r="J781" s="81"/>
      <c r="M781" s="82"/>
    </row>
    <row r="782">
      <c r="A782" s="86"/>
      <c r="B782" s="87" t="s">
        <v>466</v>
      </c>
      <c r="C782" s="97" t="s">
        <v>383</v>
      </c>
      <c r="D782" s="87" t="s">
        <v>224</v>
      </c>
      <c r="E782" s="87" t="s">
        <v>1059</v>
      </c>
      <c r="F782" s="80">
        <v>0.006944444444444444</v>
      </c>
      <c r="G782" s="4" t="s">
        <v>186</v>
      </c>
      <c r="H782" s="27"/>
      <c r="I782" s="4" t="s">
        <v>226</v>
      </c>
      <c r="J782" s="81"/>
      <c r="M782" s="82"/>
    </row>
    <row r="783">
      <c r="A783" s="86"/>
      <c r="B783" s="87" t="s">
        <v>466</v>
      </c>
      <c r="C783" s="97" t="s">
        <v>383</v>
      </c>
      <c r="D783" s="87" t="s">
        <v>224</v>
      </c>
      <c r="E783" s="87" t="s">
        <v>1059</v>
      </c>
      <c r="F783" s="80">
        <v>0.006944444444444444</v>
      </c>
      <c r="G783" s="4" t="s">
        <v>195</v>
      </c>
      <c r="H783" s="27"/>
      <c r="I783" s="4" t="s">
        <v>226</v>
      </c>
      <c r="J783" s="81"/>
      <c r="M783" s="82"/>
    </row>
    <row r="784">
      <c r="A784" s="86"/>
      <c r="B784" s="87" t="s">
        <v>466</v>
      </c>
      <c r="C784" s="97" t="s">
        <v>383</v>
      </c>
      <c r="D784" s="87" t="s">
        <v>224</v>
      </c>
      <c r="E784" s="87" t="s">
        <v>1059</v>
      </c>
      <c r="F784" s="80">
        <v>0.006944444444444444</v>
      </c>
      <c r="G784" s="4" t="s">
        <v>583</v>
      </c>
      <c r="H784" s="27"/>
      <c r="I784" s="4" t="s">
        <v>226</v>
      </c>
      <c r="J784" s="81"/>
      <c r="M784" s="82"/>
    </row>
    <row r="785">
      <c r="A785" s="86"/>
      <c r="B785" s="87" t="s">
        <v>466</v>
      </c>
      <c r="C785" s="97" t="s">
        <v>383</v>
      </c>
      <c r="D785" s="87" t="s">
        <v>224</v>
      </c>
      <c r="E785" s="87" t="s">
        <v>1059</v>
      </c>
      <c r="F785" s="80">
        <v>0.006944444444444444</v>
      </c>
      <c r="G785" s="5" t="s">
        <v>196</v>
      </c>
      <c r="H785" s="27"/>
      <c r="I785" s="4" t="s">
        <v>226</v>
      </c>
      <c r="J785" s="81"/>
      <c r="M785" s="82"/>
    </row>
    <row r="786">
      <c r="A786" s="86"/>
      <c r="B786" s="87" t="s">
        <v>466</v>
      </c>
      <c r="C786" s="4" t="s">
        <v>381</v>
      </c>
      <c r="D786" s="87" t="s">
        <v>224</v>
      </c>
      <c r="E786" s="87" t="s">
        <v>1059</v>
      </c>
      <c r="F786" s="80">
        <v>0.006944444444444444</v>
      </c>
      <c r="G786" s="4" t="s">
        <v>186</v>
      </c>
      <c r="H786" s="27"/>
      <c r="I786" s="4" t="s">
        <v>226</v>
      </c>
      <c r="J786" s="81"/>
      <c r="M786" s="82"/>
    </row>
    <row r="787">
      <c r="A787" s="86"/>
      <c r="B787" s="87" t="s">
        <v>466</v>
      </c>
      <c r="C787" s="4" t="s">
        <v>381</v>
      </c>
      <c r="D787" s="87" t="s">
        <v>224</v>
      </c>
      <c r="E787" s="87" t="s">
        <v>1059</v>
      </c>
      <c r="F787" s="80">
        <v>0.006944444444444444</v>
      </c>
      <c r="G787" s="4" t="s">
        <v>195</v>
      </c>
      <c r="H787" s="27"/>
      <c r="I787" s="4" t="s">
        <v>226</v>
      </c>
      <c r="J787" s="81"/>
      <c r="M787" s="82"/>
    </row>
    <row r="788">
      <c r="A788" s="86"/>
      <c r="B788" s="87" t="s">
        <v>466</v>
      </c>
      <c r="C788" s="4" t="s">
        <v>381</v>
      </c>
      <c r="D788" s="87" t="s">
        <v>224</v>
      </c>
      <c r="E788" s="87" t="s">
        <v>1059</v>
      </c>
      <c r="F788" s="80">
        <v>0.006944444444444444</v>
      </c>
      <c r="G788" s="4" t="s">
        <v>583</v>
      </c>
      <c r="H788" s="27"/>
      <c r="I788" s="4" t="s">
        <v>226</v>
      </c>
      <c r="J788" s="81"/>
      <c r="M788" s="82"/>
    </row>
    <row r="789">
      <c r="A789" s="86"/>
      <c r="B789" s="87" t="s">
        <v>466</v>
      </c>
      <c r="C789" s="4" t="s">
        <v>381</v>
      </c>
      <c r="D789" s="87" t="s">
        <v>224</v>
      </c>
      <c r="E789" s="87" t="s">
        <v>1059</v>
      </c>
      <c r="F789" s="80">
        <v>0.006944444444444444</v>
      </c>
      <c r="G789" s="5" t="s">
        <v>196</v>
      </c>
      <c r="H789" s="27"/>
      <c r="I789" s="4" t="s">
        <v>226</v>
      </c>
      <c r="J789" s="81"/>
      <c r="M789" s="82"/>
    </row>
    <row r="790">
      <c r="A790" s="86"/>
      <c r="B790" s="70" t="s">
        <v>435</v>
      </c>
      <c r="C790" s="98" t="s">
        <v>223</v>
      </c>
      <c r="D790" s="87" t="s">
        <v>224</v>
      </c>
      <c r="E790" s="87" t="s">
        <v>1059</v>
      </c>
      <c r="F790" s="80">
        <v>0.006944444444444444</v>
      </c>
      <c r="G790" s="5" t="s">
        <v>176</v>
      </c>
      <c r="H790" s="27"/>
      <c r="I790" s="4" t="s">
        <v>226</v>
      </c>
      <c r="J790" s="81"/>
      <c r="M790" s="82"/>
    </row>
    <row r="791">
      <c r="A791" s="86"/>
      <c r="B791" s="70" t="s">
        <v>435</v>
      </c>
      <c r="C791" s="4" t="s">
        <v>242</v>
      </c>
      <c r="D791" s="87" t="s">
        <v>224</v>
      </c>
      <c r="E791" s="87" t="s">
        <v>1059</v>
      </c>
      <c r="F791" s="80">
        <v>0.006944444444444444</v>
      </c>
      <c r="G791" s="5" t="s">
        <v>317</v>
      </c>
      <c r="H791" s="27"/>
      <c r="I791" s="4" t="s">
        <v>226</v>
      </c>
      <c r="J791" s="81"/>
      <c r="M791" s="82"/>
    </row>
    <row r="792">
      <c r="A792" s="86"/>
      <c r="B792" s="4" t="s">
        <v>418</v>
      </c>
      <c r="C792" s="4" t="s">
        <v>432</v>
      </c>
      <c r="D792" s="87" t="s">
        <v>224</v>
      </c>
      <c r="E792" s="87" t="s">
        <v>1059</v>
      </c>
      <c r="F792" s="80">
        <v>0.006944444444444444</v>
      </c>
      <c r="G792" s="4" t="s">
        <v>156</v>
      </c>
      <c r="H792" s="27"/>
      <c r="I792" s="4" t="s">
        <v>226</v>
      </c>
      <c r="J792" s="81"/>
      <c r="M792" s="82"/>
    </row>
    <row r="793">
      <c r="A793" s="86"/>
      <c r="B793" s="4" t="s">
        <v>418</v>
      </c>
      <c r="C793" s="4" t="s">
        <v>432</v>
      </c>
      <c r="D793" s="87" t="s">
        <v>224</v>
      </c>
      <c r="E793" s="87" t="s">
        <v>1059</v>
      </c>
      <c r="F793" s="80">
        <v>0.006944444444444444</v>
      </c>
      <c r="G793" s="4" t="s">
        <v>123</v>
      </c>
      <c r="H793" s="27"/>
      <c r="I793" s="4" t="s">
        <v>226</v>
      </c>
      <c r="J793" s="81"/>
      <c r="M793" s="82"/>
    </row>
    <row r="794">
      <c r="A794" s="86"/>
      <c r="B794" s="4" t="s">
        <v>418</v>
      </c>
      <c r="C794" s="4" t="s">
        <v>432</v>
      </c>
      <c r="D794" s="87" t="s">
        <v>224</v>
      </c>
      <c r="E794" s="87" t="s">
        <v>1059</v>
      </c>
      <c r="F794" s="80">
        <v>0.006944444444444444</v>
      </c>
      <c r="G794" s="5" t="s">
        <v>426</v>
      </c>
      <c r="H794" s="27"/>
      <c r="I794" s="4" t="s">
        <v>226</v>
      </c>
      <c r="J794" s="81"/>
      <c r="M794" s="82"/>
    </row>
    <row r="795">
      <c r="A795" s="86"/>
      <c r="B795" s="4" t="s">
        <v>418</v>
      </c>
      <c r="C795" s="4" t="s">
        <v>432</v>
      </c>
      <c r="D795" s="87" t="s">
        <v>224</v>
      </c>
      <c r="E795" s="87" t="s">
        <v>1059</v>
      </c>
      <c r="F795" s="80">
        <v>0.006944444444444444</v>
      </c>
      <c r="G795" s="5" t="s">
        <v>196</v>
      </c>
      <c r="H795" s="27"/>
      <c r="I795" s="4" t="s">
        <v>226</v>
      </c>
      <c r="J795" s="81"/>
      <c r="M795" s="82"/>
    </row>
    <row r="796">
      <c r="A796" s="86"/>
      <c r="B796" s="87" t="s">
        <v>418</v>
      </c>
      <c r="C796" s="4" t="s">
        <v>429</v>
      </c>
      <c r="D796" s="87" t="s">
        <v>224</v>
      </c>
      <c r="E796" s="87" t="s">
        <v>1059</v>
      </c>
      <c r="F796" s="80">
        <v>0.006944444444444444</v>
      </c>
      <c r="G796" s="4" t="s">
        <v>156</v>
      </c>
      <c r="H796" s="27"/>
      <c r="I796" s="4" t="s">
        <v>226</v>
      </c>
      <c r="J796" s="81"/>
      <c r="M796" s="82"/>
    </row>
    <row r="797">
      <c r="A797" s="86"/>
      <c r="B797" s="87" t="s">
        <v>418</v>
      </c>
      <c r="C797" s="4" t="s">
        <v>429</v>
      </c>
      <c r="D797" s="87" t="s">
        <v>224</v>
      </c>
      <c r="E797" s="87" t="s">
        <v>1059</v>
      </c>
      <c r="F797" s="80">
        <v>0.006944444444444444</v>
      </c>
      <c r="G797" s="4" t="s">
        <v>123</v>
      </c>
      <c r="H797" s="27"/>
      <c r="I797" s="4" t="s">
        <v>226</v>
      </c>
      <c r="J797" s="81"/>
      <c r="M797" s="82"/>
    </row>
    <row r="798">
      <c r="A798" s="86"/>
      <c r="B798" s="87" t="s">
        <v>418</v>
      </c>
      <c r="C798" s="4" t="s">
        <v>429</v>
      </c>
      <c r="D798" s="87" t="s">
        <v>224</v>
      </c>
      <c r="E798" s="87" t="s">
        <v>1059</v>
      </c>
      <c r="F798" s="80">
        <v>0.006944444444444444</v>
      </c>
      <c r="G798" s="5" t="s">
        <v>426</v>
      </c>
      <c r="H798" s="27"/>
      <c r="I798" s="4" t="s">
        <v>226</v>
      </c>
      <c r="J798" s="81"/>
      <c r="M798" s="82"/>
    </row>
    <row r="799">
      <c r="A799" s="86"/>
      <c r="B799" s="87" t="s">
        <v>418</v>
      </c>
      <c r="C799" s="4" t="s">
        <v>429</v>
      </c>
      <c r="D799" s="87" t="s">
        <v>224</v>
      </c>
      <c r="E799" s="87" t="s">
        <v>1059</v>
      </c>
      <c r="F799" s="80">
        <v>0.006944444444444444</v>
      </c>
      <c r="G799" s="5" t="s">
        <v>196</v>
      </c>
      <c r="H799" s="27"/>
      <c r="I799" s="4" t="s">
        <v>226</v>
      </c>
      <c r="J799" s="81"/>
      <c r="M799" s="82"/>
    </row>
    <row r="800">
      <c r="A800" s="86"/>
      <c r="B800" s="87" t="s">
        <v>418</v>
      </c>
      <c r="C800" s="4" t="s">
        <v>421</v>
      </c>
      <c r="D800" s="87" t="s">
        <v>224</v>
      </c>
      <c r="E800" s="87" t="s">
        <v>1059</v>
      </c>
      <c r="F800" s="80">
        <v>0.006944444444444444</v>
      </c>
      <c r="G800" s="4" t="s">
        <v>148</v>
      </c>
      <c r="H800" s="27"/>
      <c r="I800" s="4" t="s">
        <v>226</v>
      </c>
      <c r="J800" s="81"/>
      <c r="M800" s="82"/>
    </row>
    <row r="801">
      <c r="A801" s="86"/>
      <c r="B801" s="87" t="s">
        <v>418</v>
      </c>
      <c r="C801" s="4" t="s">
        <v>421</v>
      </c>
      <c r="D801" s="87" t="s">
        <v>224</v>
      </c>
      <c r="E801" s="87" t="s">
        <v>1059</v>
      </c>
      <c r="F801" s="80">
        <v>0.006944444444444444</v>
      </c>
      <c r="G801" s="4" t="s">
        <v>156</v>
      </c>
      <c r="H801" s="27"/>
      <c r="I801" s="4" t="s">
        <v>226</v>
      </c>
      <c r="J801" s="81"/>
      <c r="M801" s="82"/>
    </row>
    <row r="802">
      <c r="A802" s="86"/>
      <c r="B802" s="87" t="s">
        <v>418</v>
      </c>
      <c r="C802" s="4" t="s">
        <v>421</v>
      </c>
      <c r="D802" s="87" t="s">
        <v>224</v>
      </c>
      <c r="E802" s="87" t="s">
        <v>1059</v>
      </c>
      <c r="F802" s="80">
        <v>0.006944444444444444</v>
      </c>
      <c r="G802" s="5" t="s">
        <v>426</v>
      </c>
      <c r="H802" s="27"/>
      <c r="I802" s="4" t="s">
        <v>226</v>
      </c>
      <c r="J802" s="81"/>
      <c r="M802" s="82"/>
    </row>
    <row r="803">
      <c r="A803" s="86"/>
      <c r="B803" s="4" t="s">
        <v>393</v>
      </c>
      <c r="C803" s="4" t="s">
        <v>242</v>
      </c>
      <c r="D803" s="87" t="s">
        <v>224</v>
      </c>
      <c r="E803" s="87" t="s">
        <v>1059</v>
      </c>
      <c r="F803" s="80">
        <v>0.006944444444444444</v>
      </c>
      <c r="G803" s="4" t="s">
        <v>123</v>
      </c>
      <c r="H803" s="27"/>
      <c r="I803" s="4" t="s">
        <v>226</v>
      </c>
      <c r="J803" s="81"/>
      <c r="M803" s="82"/>
    </row>
    <row r="804">
      <c r="A804" s="86"/>
      <c r="B804" s="4" t="s">
        <v>393</v>
      </c>
      <c r="C804" s="4" t="s">
        <v>242</v>
      </c>
      <c r="D804" s="87" t="s">
        <v>224</v>
      </c>
      <c r="E804" s="87" t="s">
        <v>1059</v>
      </c>
      <c r="F804" s="80">
        <v>0.006944444444444444</v>
      </c>
      <c r="G804" s="5" t="s">
        <v>199</v>
      </c>
      <c r="H804" s="27"/>
      <c r="I804" s="4" t="s">
        <v>226</v>
      </c>
      <c r="J804" s="81"/>
      <c r="M804" s="82"/>
    </row>
    <row r="805">
      <c r="A805" s="86"/>
      <c r="B805" s="4" t="s">
        <v>393</v>
      </c>
      <c r="C805" s="4" t="s">
        <v>242</v>
      </c>
      <c r="D805" s="87" t="s">
        <v>224</v>
      </c>
      <c r="E805" s="87" t="s">
        <v>1059</v>
      </c>
      <c r="F805" s="80">
        <v>0.006944444444444444</v>
      </c>
      <c r="G805" s="4" t="s">
        <v>124</v>
      </c>
      <c r="H805" s="27"/>
      <c r="I805" s="4" t="s">
        <v>226</v>
      </c>
      <c r="J805" s="81"/>
      <c r="M805" s="82"/>
    </row>
    <row r="806">
      <c r="A806" s="86"/>
      <c r="B806" s="4" t="s">
        <v>289</v>
      </c>
      <c r="C806" s="4" t="s">
        <v>242</v>
      </c>
      <c r="D806" s="87" t="s">
        <v>224</v>
      </c>
      <c r="E806" s="87" t="s">
        <v>1059</v>
      </c>
      <c r="F806" s="80">
        <v>0.006944444444444444</v>
      </c>
      <c r="G806" s="5" t="s">
        <v>137</v>
      </c>
      <c r="H806" s="27"/>
      <c r="I806" s="4" t="s">
        <v>226</v>
      </c>
      <c r="J806" s="81"/>
      <c r="M806" s="82"/>
    </row>
    <row r="807">
      <c r="A807" s="86"/>
      <c r="B807" s="4" t="s">
        <v>445</v>
      </c>
      <c r="C807" s="4" t="s">
        <v>446</v>
      </c>
      <c r="D807" s="87" t="s">
        <v>224</v>
      </c>
      <c r="E807" s="87" t="s">
        <v>1059</v>
      </c>
      <c r="F807" s="80">
        <v>0.006944444444444444</v>
      </c>
      <c r="G807" s="5" t="s">
        <v>1070</v>
      </c>
      <c r="H807" s="27"/>
      <c r="I807" s="4" t="s">
        <v>226</v>
      </c>
      <c r="J807" s="81"/>
      <c r="M807" s="82"/>
    </row>
    <row r="808">
      <c r="A808" s="86"/>
      <c r="B808" s="4" t="s">
        <v>445</v>
      </c>
      <c r="C808" s="4" t="s">
        <v>446</v>
      </c>
      <c r="D808" s="87" t="s">
        <v>224</v>
      </c>
      <c r="E808" s="87" t="s">
        <v>1059</v>
      </c>
      <c r="F808" s="80">
        <v>0.006944444444444444</v>
      </c>
      <c r="G808" s="5" t="s">
        <v>191</v>
      </c>
      <c r="H808" s="27"/>
      <c r="I808" s="4" t="s">
        <v>226</v>
      </c>
      <c r="J808" s="81"/>
      <c r="M808" s="82"/>
    </row>
    <row r="809">
      <c r="A809" s="86"/>
      <c r="B809" s="4" t="s">
        <v>445</v>
      </c>
      <c r="C809" s="4" t="s">
        <v>223</v>
      </c>
      <c r="D809" s="87" t="s">
        <v>224</v>
      </c>
      <c r="E809" s="87" t="s">
        <v>1059</v>
      </c>
      <c r="F809" s="80">
        <v>0.006944444444444444</v>
      </c>
      <c r="G809" s="5" t="s">
        <v>184</v>
      </c>
      <c r="H809" s="27"/>
      <c r="I809" s="4" t="s">
        <v>226</v>
      </c>
      <c r="J809" s="81"/>
      <c r="M809" s="82"/>
    </row>
    <row r="810">
      <c r="A810" s="86"/>
      <c r="B810" s="4" t="s">
        <v>445</v>
      </c>
      <c r="C810" s="4" t="s">
        <v>223</v>
      </c>
      <c r="D810" s="87" t="s">
        <v>224</v>
      </c>
      <c r="E810" s="87" t="s">
        <v>1059</v>
      </c>
      <c r="F810" s="80">
        <v>0.006944444444444444</v>
      </c>
      <c r="G810" s="4" t="s">
        <v>455</v>
      </c>
      <c r="H810" s="27"/>
      <c r="I810" s="4" t="s">
        <v>226</v>
      </c>
      <c r="J810" s="81"/>
      <c r="M810" s="82"/>
    </row>
    <row r="811">
      <c r="A811" s="86"/>
      <c r="B811" s="4" t="s">
        <v>445</v>
      </c>
      <c r="C811" s="4" t="s">
        <v>223</v>
      </c>
      <c r="D811" s="87" t="s">
        <v>224</v>
      </c>
      <c r="E811" s="87" t="s">
        <v>1059</v>
      </c>
      <c r="F811" s="80">
        <v>0.006944444444444444</v>
      </c>
      <c r="G811" s="5" t="s">
        <v>494</v>
      </c>
      <c r="H811" s="27"/>
      <c r="I811" s="4" t="s">
        <v>226</v>
      </c>
      <c r="J811" s="81"/>
      <c r="M811" s="82"/>
    </row>
    <row r="812">
      <c r="A812" s="86"/>
      <c r="B812" s="4" t="s">
        <v>445</v>
      </c>
      <c r="C812" s="4" t="s">
        <v>223</v>
      </c>
      <c r="D812" s="87" t="s">
        <v>224</v>
      </c>
      <c r="E812" s="87" t="s">
        <v>1059</v>
      </c>
      <c r="F812" s="80">
        <v>0.006944444444444444</v>
      </c>
      <c r="G812" s="4" t="s">
        <v>124</v>
      </c>
      <c r="H812" s="27"/>
      <c r="I812" s="4" t="s">
        <v>226</v>
      </c>
      <c r="J812" s="81"/>
      <c r="M812" s="82"/>
    </row>
    <row r="813">
      <c r="A813" s="86"/>
      <c r="B813" s="4" t="s">
        <v>445</v>
      </c>
      <c r="C813" s="4" t="s">
        <v>223</v>
      </c>
      <c r="D813" s="87" t="s">
        <v>224</v>
      </c>
      <c r="E813" s="87" t="s">
        <v>1059</v>
      </c>
      <c r="F813" s="80">
        <v>0.006944444444444444</v>
      </c>
      <c r="G813" s="5" t="s">
        <v>169</v>
      </c>
      <c r="H813" s="27"/>
      <c r="I813" s="4" t="s">
        <v>226</v>
      </c>
      <c r="J813" s="81"/>
      <c r="M813" s="82"/>
    </row>
    <row r="814">
      <c r="A814" s="86"/>
      <c r="B814" s="4" t="s">
        <v>445</v>
      </c>
      <c r="C814" s="4" t="s">
        <v>223</v>
      </c>
      <c r="D814" s="87" t="s">
        <v>224</v>
      </c>
      <c r="E814" s="87" t="s">
        <v>1059</v>
      </c>
      <c r="F814" s="80">
        <v>0.006944444444444444</v>
      </c>
      <c r="G814" s="5" t="s">
        <v>178</v>
      </c>
      <c r="H814" s="27"/>
      <c r="I814" s="4" t="s">
        <v>226</v>
      </c>
      <c r="J814" s="81"/>
      <c r="M814" s="82"/>
    </row>
    <row r="815">
      <c r="A815" s="86"/>
      <c r="B815" s="4" t="s">
        <v>445</v>
      </c>
      <c r="C815" s="4" t="s">
        <v>223</v>
      </c>
      <c r="D815" s="87" t="s">
        <v>224</v>
      </c>
      <c r="E815" s="87" t="s">
        <v>1059</v>
      </c>
      <c r="F815" s="80">
        <v>0.006944444444444444</v>
      </c>
      <c r="G815" s="5" t="s">
        <v>204</v>
      </c>
      <c r="H815" s="27"/>
      <c r="I815" s="4" t="s">
        <v>226</v>
      </c>
      <c r="J815" s="81"/>
      <c r="M815" s="82"/>
    </row>
    <row r="816">
      <c r="A816" s="86"/>
      <c r="B816" s="4" t="s">
        <v>445</v>
      </c>
      <c r="C816" s="4" t="s">
        <v>223</v>
      </c>
      <c r="D816" s="87" t="s">
        <v>224</v>
      </c>
      <c r="E816" s="87" t="s">
        <v>1059</v>
      </c>
      <c r="F816" s="80">
        <v>0.006944444444444444</v>
      </c>
      <c r="G816" s="4" t="s">
        <v>1070</v>
      </c>
      <c r="H816" s="27"/>
      <c r="I816" s="4" t="s">
        <v>226</v>
      </c>
      <c r="J816" s="81"/>
      <c r="M816" s="82"/>
    </row>
    <row r="817">
      <c r="A817" s="86"/>
      <c r="B817" s="4" t="s">
        <v>445</v>
      </c>
      <c r="C817" s="4" t="s">
        <v>223</v>
      </c>
      <c r="D817" s="87" t="s">
        <v>224</v>
      </c>
      <c r="E817" s="87" t="s">
        <v>1059</v>
      </c>
      <c r="F817" s="80">
        <v>0.006944444444444444</v>
      </c>
      <c r="G817" s="4" t="s">
        <v>191</v>
      </c>
      <c r="H817" s="27"/>
      <c r="I817" s="4" t="s">
        <v>226</v>
      </c>
      <c r="J817" s="81"/>
      <c r="M817" s="82"/>
    </row>
    <row r="818">
      <c r="A818" s="86"/>
      <c r="B818" s="4" t="s">
        <v>445</v>
      </c>
      <c r="C818" s="4" t="s">
        <v>242</v>
      </c>
      <c r="D818" s="87" t="s">
        <v>224</v>
      </c>
      <c r="E818" s="87" t="s">
        <v>1059</v>
      </c>
      <c r="F818" s="80">
        <v>0.006944444444444444</v>
      </c>
      <c r="G818" s="4" t="s">
        <v>1070</v>
      </c>
      <c r="H818" s="27"/>
      <c r="I818" s="4" t="s">
        <v>226</v>
      </c>
      <c r="J818" s="81"/>
      <c r="M818" s="82"/>
    </row>
    <row r="819">
      <c r="A819" s="86"/>
      <c r="B819" s="4" t="s">
        <v>445</v>
      </c>
      <c r="C819" s="4" t="s">
        <v>242</v>
      </c>
      <c r="D819" s="87" t="s">
        <v>224</v>
      </c>
      <c r="E819" s="87" t="s">
        <v>1059</v>
      </c>
      <c r="F819" s="80">
        <v>0.006944444444444444</v>
      </c>
      <c r="G819" s="4" t="s">
        <v>191</v>
      </c>
      <c r="H819" s="27"/>
      <c r="I819" s="4" t="s">
        <v>226</v>
      </c>
      <c r="J819" s="81"/>
      <c r="M819" s="82"/>
    </row>
    <row r="820">
      <c r="A820" s="86"/>
      <c r="B820" s="4" t="s">
        <v>445</v>
      </c>
      <c r="C820" s="4" t="s">
        <v>242</v>
      </c>
      <c r="D820" s="87" t="s">
        <v>224</v>
      </c>
      <c r="E820" s="87" t="s">
        <v>1059</v>
      </c>
      <c r="F820" s="80">
        <v>0.006944444444444444</v>
      </c>
      <c r="G820" s="5" t="s">
        <v>145</v>
      </c>
      <c r="H820" s="27"/>
      <c r="I820" s="4" t="s">
        <v>226</v>
      </c>
      <c r="J820" s="81"/>
      <c r="M820" s="82"/>
    </row>
    <row r="821">
      <c r="A821" s="86"/>
      <c r="B821" s="4" t="s">
        <v>445</v>
      </c>
      <c r="C821" s="4" t="s">
        <v>242</v>
      </c>
      <c r="D821" s="87" t="s">
        <v>224</v>
      </c>
      <c r="E821" s="87" t="s">
        <v>1059</v>
      </c>
      <c r="F821" s="80">
        <v>0.006944444444444444</v>
      </c>
      <c r="G821" s="4" t="s">
        <v>455</v>
      </c>
      <c r="H821" s="27"/>
      <c r="I821" s="4" t="s">
        <v>226</v>
      </c>
      <c r="J821" s="81"/>
      <c r="M821" s="82"/>
    </row>
    <row r="822">
      <c r="A822" s="86"/>
      <c r="B822" s="4" t="s">
        <v>445</v>
      </c>
      <c r="C822" s="4" t="s">
        <v>242</v>
      </c>
      <c r="D822" s="87" t="s">
        <v>224</v>
      </c>
      <c r="E822" s="87" t="s">
        <v>1059</v>
      </c>
      <c r="F822" s="80">
        <v>0.006944444444444444</v>
      </c>
      <c r="G822" s="5" t="s">
        <v>494</v>
      </c>
      <c r="H822" s="27"/>
      <c r="I822" s="4" t="s">
        <v>226</v>
      </c>
      <c r="J822" s="81"/>
      <c r="M822" s="82"/>
    </row>
    <row r="823">
      <c r="A823" s="86"/>
      <c r="B823" s="4" t="s">
        <v>445</v>
      </c>
      <c r="C823" s="4" t="s">
        <v>242</v>
      </c>
      <c r="D823" s="87" t="s">
        <v>224</v>
      </c>
      <c r="E823" s="87" t="s">
        <v>1059</v>
      </c>
      <c r="F823" s="80">
        <v>0.006944444444444444</v>
      </c>
      <c r="G823" s="4" t="s">
        <v>124</v>
      </c>
      <c r="H823" s="27"/>
      <c r="I823" s="4" t="s">
        <v>226</v>
      </c>
      <c r="J823" s="81"/>
      <c r="M823" s="82"/>
    </row>
    <row r="824">
      <c r="A824" s="86"/>
      <c r="B824" s="4" t="s">
        <v>445</v>
      </c>
      <c r="C824" s="4" t="s">
        <v>242</v>
      </c>
      <c r="D824" s="87" t="s">
        <v>224</v>
      </c>
      <c r="E824" s="87" t="s">
        <v>1059</v>
      </c>
      <c r="F824" s="80">
        <v>0.006944444444444444</v>
      </c>
      <c r="G824" s="5" t="s">
        <v>169</v>
      </c>
      <c r="H824" s="27"/>
      <c r="I824" s="4" t="s">
        <v>226</v>
      </c>
      <c r="J824" s="81"/>
      <c r="M824" s="82"/>
    </row>
    <row r="825">
      <c r="A825" s="86"/>
      <c r="B825" s="4" t="s">
        <v>445</v>
      </c>
      <c r="C825" s="4" t="s">
        <v>242</v>
      </c>
      <c r="D825" s="87" t="s">
        <v>224</v>
      </c>
      <c r="E825" s="87" t="s">
        <v>1059</v>
      </c>
      <c r="F825" s="80">
        <v>0.006944444444444444</v>
      </c>
      <c r="G825" s="5" t="s">
        <v>178</v>
      </c>
      <c r="H825" s="27"/>
      <c r="I825" s="4" t="s">
        <v>226</v>
      </c>
      <c r="J825" s="81"/>
      <c r="M825" s="82"/>
    </row>
    <row r="826">
      <c r="A826" s="86"/>
      <c r="B826" s="4" t="s">
        <v>445</v>
      </c>
      <c r="C826" s="4" t="s">
        <v>242</v>
      </c>
      <c r="D826" s="87" t="s">
        <v>224</v>
      </c>
      <c r="E826" s="87" t="s">
        <v>1059</v>
      </c>
      <c r="F826" s="80">
        <v>0.006944444444444444</v>
      </c>
      <c r="G826" s="5" t="s">
        <v>204</v>
      </c>
      <c r="H826" s="27"/>
      <c r="I826" s="4" t="s">
        <v>226</v>
      </c>
      <c r="J826" s="81"/>
      <c r="M826" s="82"/>
    </row>
    <row r="827">
      <c r="A827" s="86"/>
      <c r="B827" s="4" t="s">
        <v>445</v>
      </c>
      <c r="C827" s="4" t="s">
        <v>441</v>
      </c>
      <c r="D827" s="87" t="s">
        <v>224</v>
      </c>
      <c r="E827" s="87" t="s">
        <v>1059</v>
      </c>
      <c r="F827" s="80">
        <v>0.006944444444444444</v>
      </c>
      <c r="G827" s="5" t="s">
        <v>197</v>
      </c>
      <c r="H827" s="27"/>
      <c r="I827" s="4" t="s">
        <v>226</v>
      </c>
      <c r="J827" s="81"/>
      <c r="M827" s="82"/>
    </row>
    <row r="828">
      <c r="A828" s="86"/>
      <c r="B828" s="4" t="s">
        <v>445</v>
      </c>
      <c r="C828" s="4" t="s">
        <v>441</v>
      </c>
      <c r="D828" s="87" t="s">
        <v>224</v>
      </c>
      <c r="E828" s="87" t="s">
        <v>1059</v>
      </c>
      <c r="F828" s="80">
        <v>0.006944444444444444</v>
      </c>
      <c r="G828" s="5" t="s">
        <v>145</v>
      </c>
      <c r="H828" s="27"/>
      <c r="I828" s="4" t="s">
        <v>226</v>
      </c>
      <c r="J828" s="81"/>
      <c r="M828" s="82"/>
    </row>
    <row r="829">
      <c r="A829" s="86"/>
      <c r="B829" s="4" t="s">
        <v>445</v>
      </c>
      <c r="C829" s="4" t="s">
        <v>441</v>
      </c>
      <c r="D829" s="87" t="s">
        <v>224</v>
      </c>
      <c r="E829" s="87" t="s">
        <v>1059</v>
      </c>
      <c r="F829" s="80">
        <v>0.006944444444444444</v>
      </c>
      <c r="G829" s="5" t="s">
        <v>184</v>
      </c>
      <c r="H829" s="27"/>
      <c r="I829" s="4" t="s">
        <v>226</v>
      </c>
      <c r="J829" s="81"/>
      <c r="M829" s="82"/>
    </row>
    <row r="830">
      <c r="A830" s="86"/>
      <c r="B830" s="4" t="s">
        <v>445</v>
      </c>
      <c r="C830" s="4" t="s">
        <v>441</v>
      </c>
      <c r="D830" s="87" t="s">
        <v>224</v>
      </c>
      <c r="E830" s="87" t="s">
        <v>1059</v>
      </c>
      <c r="F830" s="80">
        <v>0.006944444444444444</v>
      </c>
      <c r="G830" s="4" t="s">
        <v>455</v>
      </c>
      <c r="H830" s="27"/>
      <c r="I830" s="4" t="s">
        <v>226</v>
      </c>
      <c r="J830" s="81"/>
      <c r="M830" s="82"/>
    </row>
    <row r="831">
      <c r="A831" s="86"/>
      <c r="B831" s="4" t="s">
        <v>445</v>
      </c>
      <c r="C831" s="4" t="s">
        <v>441</v>
      </c>
      <c r="D831" s="87" t="s">
        <v>224</v>
      </c>
      <c r="E831" s="87" t="s">
        <v>1059</v>
      </c>
      <c r="F831" s="80">
        <v>0.006944444444444444</v>
      </c>
      <c r="G831" s="5" t="s">
        <v>494</v>
      </c>
      <c r="H831" s="27"/>
      <c r="I831" s="4" t="s">
        <v>226</v>
      </c>
      <c r="J831" s="81"/>
      <c r="M831" s="82"/>
    </row>
    <row r="832">
      <c r="A832" s="86"/>
      <c r="B832" s="4" t="s">
        <v>445</v>
      </c>
      <c r="C832" s="4" t="s">
        <v>441</v>
      </c>
      <c r="D832" s="87" t="s">
        <v>224</v>
      </c>
      <c r="E832" s="87" t="s">
        <v>1059</v>
      </c>
      <c r="F832" s="80">
        <v>0.006944444444444444</v>
      </c>
      <c r="G832" s="4" t="s">
        <v>124</v>
      </c>
      <c r="H832" s="27"/>
      <c r="I832" s="4" t="s">
        <v>226</v>
      </c>
      <c r="J832" s="81"/>
      <c r="M832" s="82"/>
    </row>
    <row r="833">
      <c r="A833" s="86"/>
      <c r="B833" s="4" t="s">
        <v>445</v>
      </c>
      <c r="C833" s="4" t="s">
        <v>441</v>
      </c>
      <c r="D833" s="87" t="s">
        <v>224</v>
      </c>
      <c r="E833" s="87" t="s">
        <v>1059</v>
      </c>
      <c r="F833" s="80">
        <v>0.006944444444444444</v>
      </c>
      <c r="G833" s="5" t="s">
        <v>169</v>
      </c>
      <c r="H833" s="27"/>
      <c r="I833" s="4" t="s">
        <v>226</v>
      </c>
      <c r="J833" s="81"/>
      <c r="M833" s="82"/>
    </row>
    <row r="834">
      <c r="A834" s="86"/>
      <c r="B834" s="4" t="s">
        <v>445</v>
      </c>
      <c r="C834" s="4" t="s">
        <v>441</v>
      </c>
      <c r="D834" s="87" t="s">
        <v>224</v>
      </c>
      <c r="E834" s="87" t="s">
        <v>1059</v>
      </c>
      <c r="F834" s="80">
        <v>0.006944444444444444</v>
      </c>
      <c r="G834" s="5" t="s">
        <v>178</v>
      </c>
      <c r="H834" s="27"/>
      <c r="I834" s="4" t="s">
        <v>226</v>
      </c>
      <c r="J834" s="81"/>
      <c r="M834" s="82"/>
    </row>
    <row r="835">
      <c r="A835" s="86"/>
      <c r="B835" s="4" t="s">
        <v>445</v>
      </c>
      <c r="C835" s="4" t="s">
        <v>441</v>
      </c>
      <c r="D835" s="87" t="s">
        <v>224</v>
      </c>
      <c r="E835" s="87" t="s">
        <v>1059</v>
      </c>
      <c r="F835" s="80">
        <v>0.006944444444444444</v>
      </c>
      <c r="G835" s="5" t="s">
        <v>204</v>
      </c>
      <c r="H835" s="27"/>
      <c r="I835" s="4" t="s">
        <v>226</v>
      </c>
      <c r="J835" s="81"/>
      <c r="M835" s="82"/>
    </row>
    <row r="836">
      <c r="A836" s="86"/>
      <c r="B836" s="4" t="s">
        <v>445</v>
      </c>
      <c r="C836" s="4" t="s">
        <v>441</v>
      </c>
      <c r="D836" s="87" t="s">
        <v>224</v>
      </c>
      <c r="E836" s="87" t="s">
        <v>1059</v>
      </c>
      <c r="F836" s="80">
        <v>0.006944444444444444</v>
      </c>
      <c r="G836" s="4" t="s">
        <v>1070</v>
      </c>
      <c r="H836" s="27"/>
      <c r="I836" s="4" t="s">
        <v>226</v>
      </c>
      <c r="J836" s="81"/>
      <c r="M836" s="82"/>
    </row>
    <row r="837">
      <c r="A837" s="86"/>
      <c r="B837" s="4" t="s">
        <v>445</v>
      </c>
      <c r="C837" s="4" t="s">
        <v>441</v>
      </c>
      <c r="D837" s="87" t="s">
        <v>224</v>
      </c>
      <c r="E837" s="87" t="s">
        <v>1059</v>
      </c>
      <c r="F837" s="80">
        <v>0.006944444444444444</v>
      </c>
      <c r="G837" s="4" t="s">
        <v>191</v>
      </c>
      <c r="H837" s="27"/>
      <c r="I837" s="4" t="s">
        <v>226</v>
      </c>
      <c r="J837" s="81"/>
      <c r="M837" s="82"/>
    </row>
    <row r="838">
      <c r="A838" s="86"/>
      <c r="B838" s="4" t="s">
        <v>445</v>
      </c>
      <c r="C838" s="4" t="s">
        <v>443</v>
      </c>
      <c r="D838" s="87" t="s">
        <v>224</v>
      </c>
      <c r="E838" s="87" t="s">
        <v>1059</v>
      </c>
      <c r="F838" s="80">
        <v>0.006944444444444444</v>
      </c>
      <c r="G838" s="4" t="s">
        <v>1070</v>
      </c>
      <c r="H838" s="27"/>
      <c r="I838" s="4" t="s">
        <v>226</v>
      </c>
      <c r="J838" s="81"/>
      <c r="M838" s="82"/>
    </row>
    <row r="839">
      <c r="A839" s="86"/>
      <c r="B839" s="4" t="s">
        <v>445</v>
      </c>
      <c r="C839" s="4" t="s">
        <v>443</v>
      </c>
      <c r="D839" s="87" t="s">
        <v>224</v>
      </c>
      <c r="E839" s="87" t="s">
        <v>1059</v>
      </c>
      <c r="F839" s="80">
        <v>0.006944444444444444</v>
      </c>
      <c r="G839" s="4" t="s">
        <v>191</v>
      </c>
      <c r="H839" s="27"/>
      <c r="I839" s="4" t="s">
        <v>226</v>
      </c>
      <c r="J839" s="81"/>
      <c r="M839" s="82"/>
    </row>
    <row r="840">
      <c r="A840" s="86"/>
      <c r="B840" s="4" t="s">
        <v>445</v>
      </c>
      <c r="C840" s="4" t="s">
        <v>443</v>
      </c>
      <c r="D840" s="87" t="s">
        <v>224</v>
      </c>
      <c r="E840" s="87" t="s">
        <v>1059</v>
      </c>
      <c r="F840" s="80">
        <v>0.006944444444444444</v>
      </c>
      <c r="G840" s="5" t="s">
        <v>197</v>
      </c>
      <c r="H840" s="27"/>
      <c r="I840" s="4" t="s">
        <v>226</v>
      </c>
      <c r="J840" s="81"/>
      <c r="M840" s="82"/>
    </row>
    <row r="841">
      <c r="A841" s="86"/>
      <c r="B841" s="4" t="s">
        <v>445</v>
      </c>
      <c r="C841" s="4" t="s">
        <v>443</v>
      </c>
      <c r="D841" s="87" t="s">
        <v>224</v>
      </c>
      <c r="E841" s="87" t="s">
        <v>1059</v>
      </c>
      <c r="F841" s="80">
        <v>0.006944444444444444</v>
      </c>
      <c r="G841" s="5" t="s">
        <v>145</v>
      </c>
      <c r="H841" s="27"/>
      <c r="I841" s="4" t="s">
        <v>226</v>
      </c>
      <c r="J841" s="81"/>
      <c r="M841" s="82"/>
    </row>
    <row r="842">
      <c r="A842" s="86"/>
      <c r="B842" s="4" t="s">
        <v>445</v>
      </c>
      <c r="C842" s="4" t="s">
        <v>443</v>
      </c>
      <c r="D842" s="87" t="s">
        <v>224</v>
      </c>
      <c r="E842" s="87" t="s">
        <v>1059</v>
      </c>
      <c r="F842" s="80">
        <v>0.006944444444444444</v>
      </c>
      <c r="G842" s="5" t="s">
        <v>184</v>
      </c>
      <c r="H842" s="27"/>
      <c r="I842" s="4" t="s">
        <v>226</v>
      </c>
      <c r="J842" s="81"/>
      <c r="M842" s="82"/>
    </row>
    <row r="843">
      <c r="A843" s="86"/>
      <c r="B843" s="4" t="s">
        <v>445</v>
      </c>
      <c r="C843" s="4" t="s">
        <v>443</v>
      </c>
      <c r="D843" s="87" t="s">
        <v>224</v>
      </c>
      <c r="E843" s="87" t="s">
        <v>1059</v>
      </c>
      <c r="F843" s="80">
        <v>0.006944444444444444</v>
      </c>
      <c r="G843" s="4" t="s">
        <v>455</v>
      </c>
      <c r="H843" s="27"/>
      <c r="I843" s="4" t="s">
        <v>226</v>
      </c>
      <c r="J843" s="81"/>
      <c r="M843" s="82"/>
    </row>
    <row r="844">
      <c r="A844" s="86"/>
      <c r="B844" s="4" t="s">
        <v>445</v>
      </c>
      <c r="C844" s="4" t="s">
        <v>443</v>
      </c>
      <c r="D844" s="87" t="s">
        <v>224</v>
      </c>
      <c r="E844" s="87" t="s">
        <v>1059</v>
      </c>
      <c r="F844" s="80">
        <v>0.006944444444444444</v>
      </c>
      <c r="G844" s="5" t="s">
        <v>494</v>
      </c>
      <c r="H844" s="27"/>
      <c r="I844" s="4" t="s">
        <v>226</v>
      </c>
      <c r="J844" s="81"/>
      <c r="M844" s="82"/>
    </row>
    <row r="845">
      <c r="A845" s="86"/>
      <c r="B845" s="4" t="s">
        <v>445</v>
      </c>
      <c r="C845" s="4" t="s">
        <v>443</v>
      </c>
      <c r="D845" s="87" t="s">
        <v>224</v>
      </c>
      <c r="E845" s="87" t="s">
        <v>1059</v>
      </c>
      <c r="F845" s="80">
        <v>0.006944444444444444</v>
      </c>
      <c r="G845" s="4" t="s">
        <v>124</v>
      </c>
      <c r="H845" s="27"/>
      <c r="I845" s="4" t="s">
        <v>226</v>
      </c>
      <c r="J845" s="81"/>
      <c r="M845" s="82"/>
    </row>
    <row r="846">
      <c r="A846" s="86"/>
      <c r="B846" s="4" t="s">
        <v>445</v>
      </c>
      <c r="C846" s="4" t="s">
        <v>443</v>
      </c>
      <c r="D846" s="87" t="s">
        <v>224</v>
      </c>
      <c r="E846" s="87" t="s">
        <v>1059</v>
      </c>
      <c r="F846" s="80">
        <v>0.006944444444444444</v>
      </c>
      <c r="G846" s="5" t="s">
        <v>169</v>
      </c>
      <c r="H846" s="27"/>
      <c r="I846" s="4" t="s">
        <v>226</v>
      </c>
      <c r="J846" s="81"/>
      <c r="M846" s="82"/>
    </row>
    <row r="847">
      <c r="A847" s="86"/>
      <c r="B847" s="4" t="s">
        <v>445</v>
      </c>
      <c r="C847" s="4" t="s">
        <v>443</v>
      </c>
      <c r="D847" s="87" t="s">
        <v>224</v>
      </c>
      <c r="E847" s="87" t="s">
        <v>1059</v>
      </c>
      <c r="F847" s="80">
        <v>0.006944444444444444</v>
      </c>
      <c r="G847" s="5" t="s">
        <v>178</v>
      </c>
      <c r="H847" s="27"/>
      <c r="I847" s="4" t="s">
        <v>226</v>
      </c>
      <c r="J847" s="81"/>
      <c r="M847" s="82"/>
    </row>
    <row r="848">
      <c r="A848" s="86"/>
      <c r="B848" s="4" t="s">
        <v>445</v>
      </c>
      <c r="C848" s="4" t="s">
        <v>443</v>
      </c>
      <c r="D848" s="87" t="s">
        <v>224</v>
      </c>
      <c r="E848" s="87" t="s">
        <v>1059</v>
      </c>
      <c r="F848" s="80">
        <v>0.006944444444444444</v>
      </c>
      <c r="G848" s="5" t="s">
        <v>204</v>
      </c>
      <c r="H848" s="27"/>
      <c r="I848" s="4" t="s">
        <v>226</v>
      </c>
      <c r="J848" s="81"/>
      <c r="M848" s="82"/>
    </row>
    <row r="849">
      <c r="A849" s="86"/>
      <c r="B849" s="4" t="s">
        <v>261</v>
      </c>
      <c r="C849" s="4" t="s">
        <v>242</v>
      </c>
      <c r="D849" s="87" t="s">
        <v>224</v>
      </c>
      <c r="E849" s="87" t="s">
        <v>1059</v>
      </c>
      <c r="F849" s="80">
        <v>0.006944444444444444</v>
      </c>
      <c r="G849" s="4" t="s">
        <v>123</v>
      </c>
      <c r="H849" s="27"/>
      <c r="I849" s="4" t="s">
        <v>226</v>
      </c>
      <c r="J849" s="81"/>
      <c r="M849" s="82"/>
    </row>
    <row r="850">
      <c r="A850" s="86"/>
      <c r="B850" s="4" t="s">
        <v>261</v>
      </c>
      <c r="C850" s="4" t="s">
        <v>242</v>
      </c>
      <c r="D850" s="87" t="s">
        <v>224</v>
      </c>
      <c r="E850" s="87" t="s">
        <v>1059</v>
      </c>
      <c r="F850" s="80">
        <v>0.006944444444444444</v>
      </c>
      <c r="G850" s="5" t="s">
        <v>177</v>
      </c>
      <c r="H850" s="27"/>
      <c r="I850" s="4" t="s">
        <v>226</v>
      </c>
      <c r="J850" s="81"/>
      <c r="M850" s="82"/>
    </row>
    <row r="851">
      <c r="A851" s="86"/>
      <c r="B851" s="4" t="s">
        <v>261</v>
      </c>
      <c r="C851" s="4" t="s">
        <v>242</v>
      </c>
      <c r="D851" s="87" t="s">
        <v>224</v>
      </c>
      <c r="E851" s="87" t="s">
        <v>1059</v>
      </c>
      <c r="F851" s="80">
        <v>0.006944444444444444</v>
      </c>
      <c r="G851" s="5" t="s">
        <v>264</v>
      </c>
      <c r="H851" s="27"/>
      <c r="I851" s="4" t="s">
        <v>226</v>
      </c>
      <c r="J851" s="81"/>
      <c r="M851" s="82"/>
    </row>
    <row r="852">
      <c r="A852" s="84"/>
      <c r="B852" s="4" t="s">
        <v>261</v>
      </c>
      <c r="C852" s="4" t="s">
        <v>242</v>
      </c>
      <c r="D852" s="87" t="s">
        <v>224</v>
      </c>
      <c r="E852" s="87" t="s">
        <v>1059</v>
      </c>
      <c r="F852" s="80">
        <v>0.006944444444444444</v>
      </c>
      <c r="G852" s="4" t="s">
        <v>561</v>
      </c>
      <c r="H852" s="27"/>
      <c r="I852" s="4" t="s">
        <v>226</v>
      </c>
      <c r="J852" s="81"/>
    </row>
    <row r="853">
      <c r="A853" s="84"/>
      <c r="B853" s="4" t="s">
        <v>261</v>
      </c>
      <c r="C853" s="4" t="s">
        <v>242</v>
      </c>
      <c r="D853" s="87" t="s">
        <v>224</v>
      </c>
      <c r="E853" s="87" t="s">
        <v>1059</v>
      </c>
      <c r="F853" s="80">
        <v>0.006944444444444444</v>
      </c>
      <c r="G853" s="4" t="s">
        <v>1071</v>
      </c>
      <c r="H853" s="27"/>
      <c r="I853" s="4" t="s">
        <v>226</v>
      </c>
      <c r="J853" s="81"/>
    </row>
    <row r="854">
      <c r="A854" s="84"/>
      <c r="B854" s="4" t="s">
        <v>261</v>
      </c>
      <c r="C854" s="4" t="s">
        <v>242</v>
      </c>
      <c r="D854" s="87" t="s">
        <v>224</v>
      </c>
      <c r="E854" s="87" t="s">
        <v>1059</v>
      </c>
      <c r="F854" s="80">
        <v>0.006944444444444444</v>
      </c>
      <c r="G854" s="4" t="s">
        <v>1072</v>
      </c>
      <c r="H854" s="27"/>
      <c r="I854" s="4" t="s">
        <v>226</v>
      </c>
      <c r="J854" s="81"/>
    </row>
    <row r="855">
      <c r="A855" s="84"/>
      <c r="B855" s="4" t="s">
        <v>261</v>
      </c>
      <c r="C855" s="4" t="s">
        <v>242</v>
      </c>
      <c r="D855" s="87" t="s">
        <v>224</v>
      </c>
      <c r="E855" s="87" t="s">
        <v>1059</v>
      </c>
      <c r="F855" s="80">
        <v>0.006944444444444444</v>
      </c>
      <c r="G855" s="4" t="s">
        <v>171</v>
      </c>
      <c r="H855" s="27"/>
      <c r="I855" s="4" t="s">
        <v>226</v>
      </c>
      <c r="J855" s="81"/>
    </row>
    <row r="856">
      <c r="A856" s="84"/>
      <c r="B856" s="4" t="s">
        <v>261</v>
      </c>
      <c r="C856" s="4" t="s">
        <v>223</v>
      </c>
      <c r="D856" s="87" t="s">
        <v>224</v>
      </c>
      <c r="E856" s="87" t="s">
        <v>1059</v>
      </c>
      <c r="F856" s="80">
        <v>0.006944444444444444</v>
      </c>
      <c r="G856" s="4" t="s">
        <v>171</v>
      </c>
      <c r="H856" s="27"/>
      <c r="I856" s="4" t="s">
        <v>226</v>
      </c>
      <c r="J856" s="81"/>
    </row>
    <row r="857">
      <c r="A857" s="84"/>
      <c r="B857" s="4" t="s">
        <v>261</v>
      </c>
      <c r="C857" s="4" t="s">
        <v>223</v>
      </c>
      <c r="D857" s="87" t="s">
        <v>224</v>
      </c>
      <c r="E857" s="87" t="s">
        <v>1059</v>
      </c>
      <c r="F857" s="80">
        <v>0.006944444444444444</v>
      </c>
      <c r="G857" s="4" t="s">
        <v>561</v>
      </c>
      <c r="H857" s="27"/>
      <c r="I857" s="4" t="s">
        <v>226</v>
      </c>
      <c r="J857" s="81"/>
    </row>
    <row r="858">
      <c r="A858" s="84"/>
      <c r="B858" s="4" t="s">
        <v>261</v>
      </c>
      <c r="C858" s="4" t="s">
        <v>223</v>
      </c>
      <c r="D858" s="87" t="s">
        <v>224</v>
      </c>
      <c r="E858" s="87" t="s">
        <v>1059</v>
      </c>
      <c r="F858" s="80">
        <v>0.006944444444444444</v>
      </c>
      <c r="G858" s="4" t="s">
        <v>1071</v>
      </c>
      <c r="H858" s="27"/>
      <c r="I858" s="4" t="s">
        <v>226</v>
      </c>
      <c r="J858" s="81"/>
    </row>
    <row r="859">
      <c r="A859" s="84"/>
      <c r="B859" s="4" t="s">
        <v>261</v>
      </c>
      <c r="C859" s="4" t="s">
        <v>223</v>
      </c>
      <c r="D859" s="87" t="s">
        <v>224</v>
      </c>
      <c r="E859" s="87" t="s">
        <v>1059</v>
      </c>
      <c r="F859" s="80">
        <v>0.006944444444444444</v>
      </c>
      <c r="G859" s="4" t="s">
        <v>1072</v>
      </c>
      <c r="H859" s="27"/>
      <c r="I859" s="4" t="s">
        <v>226</v>
      </c>
      <c r="J859" s="81"/>
    </row>
    <row r="860">
      <c r="A860" s="84"/>
      <c r="B860" s="4" t="s">
        <v>435</v>
      </c>
      <c r="C860" s="4" t="s">
        <v>223</v>
      </c>
      <c r="D860" s="87" t="s">
        <v>224</v>
      </c>
      <c r="E860" s="87" t="s">
        <v>1059</v>
      </c>
      <c r="F860" s="80">
        <v>0.006944444444444444</v>
      </c>
      <c r="G860" s="5" t="s">
        <v>565</v>
      </c>
      <c r="H860" s="27"/>
      <c r="I860" s="4" t="s">
        <v>226</v>
      </c>
      <c r="J860" s="81"/>
    </row>
    <row r="861">
      <c r="A861" s="84"/>
      <c r="B861" s="4" t="s">
        <v>435</v>
      </c>
      <c r="C861" s="4" t="s">
        <v>223</v>
      </c>
      <c r="D861" s="87" t="s">
        <v>224</v>
      </c>
      <c r="E861" s="87" t="s">
        <v>1059</v>
      </c>
      <c r="F861" s="80">
        <v>0.006944444444444444</v>
      </c>
      <c r="G861" s="5" t="s">
        <v>143</v>
      </c>
      <c r="H861" s="27"/>
      <c r="I861" s="4" t="s">
        <v>226</v>
      </c>
      <c r="J861" s="81"/>
    </row>
    <row r="862">
      <c r="A862" s="84"/>
      <c r="B862" s="4" t="s">
        <v>435</v>
      </c>
      <c r="C862" s="4" t="s">
        <v>223</v>
      </c>
      <c r="D862" s="87" t="s">
        <v>224</v>
      </c>
      <c r="E862" s="87" t="s">
        <v>1059</v>
      </c>
      <c r="F862" s="80">
        <v>0.006944444444444444</v>
      </c>
      <c r="G862" s="4" t="s">
        <v>1073</v>
      </c>
      <c r="H862" s="27"/>
      <c r="I862" s="4" t="s">
        <v>226</v>
      </c>
      <c r="J862" s="81"/>
    </row>
    <row r="863">
      <c r="A863" s="84"/>
      <c r="B863" s="4" t="s">
        <v>435</v>
      </c>
      <c r="C863" s="4" t="s">
        <v>242</v>
      </c>
      <c r="D863" s="87" t="s">
        <v>224</v>
      </c>
      <c r="E863" s="87" t="s">
        <v>1059</v>
      </c>
      <c r="F863" s="80">
        <v>0.006944444444444444</v>
      </c>
      <c r="G863" s="5" t="s">
        <v>565</v>
      </c>
      <c r="H863" s="27"/>
      <c r="I863" s="4" t="s">
        <v>226</v>
      </c>
      <c r="J863" s="81"/>
    </row>
    <row r="864">
      <c r="A864" s="84"/>
      <c r="B864" s="4" t="s">
        <v>435</v>
      </c>
      <c r="C864" s="4" t="s">
        <v>242</v>
      </c>
      <c r="D864" s="87" t="s">
        <v>224</v>
      </c>
      <c r="E864" s="87" t="s">
        <v>1059</v>
      </c>
      <c r="F864" s="80">
        <v>0.006944444444444444</v>
      </c>
      <c r="G864" s="4" t="s">
        <v>169</v>
      </c>
      <c r="H864" s="27"/>
      <c r="I864" s="4" t="s">
        <v>226</v>
      </c>
      <c r="J864" s="81"/>
    </row>
    <row r="865">
      <c r="A865" s="84"/>
      <c r="B865" s="4" t="s">
        <v>435</v>
      </c>
      <c r="C865" s="4" t="s">
        <v>242</v>
      </c>
      <c r="D865" s="87" t="s">
        <v>224</v>
      </c>
      <c r="E865" s="87" t="s">
        <v>1059</v>
      </c>
      <c r="F865" s="80">
        <v>0.006944444444444444</v>
      </c>
      <c r="G865" s="5" t="s">
        <v>143</v>
      </c>
      <c r="H865" s="27"/>
      <c r="I865" s="4" t="s">
        <v>226</v>
      </c>
      <c r="J865" s="81"/>
    </row>
    <row r="866">
      <c r="A866" s="84"/>
      <c r="B866" s="4" t="s">
        <v>435</v>
      </c>
      <c r="C866" s="4" t="s">
        <v>242</v>
      </c>
      <c r="D866" s="87" t="s">
        <v>224</v>
      </c>
      <c r="E866" s="87" t="s">
        <v>1059</v>
      </c>
      <c r="F866" s="80">
        <v>0.006944444444444444</v>
      </c>
      <c r="G866" s="4" t="s">
        <v>123</v>
      </c>
      <c r="H866" s="27"/>
      <c r="I866" s="4" t="s">
        <v>226</v>
      </c>
      <c r="J866" s="81"/>
    </row>
    <row r="867">
      <c r="A867" s="84"/>
      <c r="B867" s="4" t="s">
        <v>435</v>
      </c>
      <c r="C867" s="4" t="s">
        <v>242</v>
      </c>
      <c r="D867" s="87" t="s">
        <v>224</v>
      </c>
      <c r="E867" s="87" t="s">
        <v>1059</v>
      </c>
      <c r="F867" s="80">
        <v>0.006944444444444444</v>
      </c>
      <c r="G867" s="4" t="s">
        <v>147</v>
      </c>
      <c r="H867" s="27"/>
      <c r="I867" s="4" t="s">
        <v>226</v>
      </c>
      <c r="J867" s="81"/>
    </row>
    <row r="868">
      <c r="A868" s="84"/>
      <c r="B868" s="4" t="s">
        <v>435</v>
      </c>
      <c r="C868" s="4" t="s">
        <v>242</v>
      </c>
      <c r="D868" s="87" t="s">
        <v>224</v>
      </c>
      <c r="E868" s="87" t="s">
        <v>1059</v>
      </c>
      <c r="F868" s="80">
        <v>0.006944444444444444</v>
      </c>
      <c r="G868" s="4" t="s">
        <v>1073</v>
      </c>
      <c r="H868" s="27"/>
      <c r="I868" s="4" t="s">
        <v>226</v>
      </c>
      <c r="J868" s="81"/>
    </row>
    <row r="869">
      <c r="A869" s="84"/>
      <c r="B869" s="4" t="s">
        <v>435</v>
      </c>
      <c r="C869" s="4" t="s">
        <v>242</v>
      </c>
      <c r="D869" s="87" t="s">
        <v>224</v>
      </c>
      <c r="E869" s="87" t="s">
        <v>1059</v>
      </c>
      <c r="F869" s="80">
        <v>0.006944444444444444</v>
      </c>
      <c r="G869" s="4" t="s">
        <v>200</v>
      </c>
      <c r="H869" s="27"/>
      <c r="I869" s="4" t="s">
        <v>226</v>
      </c>
      <c r="J869" s="81"/>
    </row>
    <row r="870">
      <c r="A870" s="89"/>
      <c r="B870" s="4" t="s">
        <v>281</v>
      </c>
      <c r="C870" s="4" t="s">
        <v>284</v>
      </c>
      <c r="D870" s="87" t="s">
        <v>224</v>
      </c>
      <c r="E870" s="87" t="s">
        <v>1059</v>
      </c>
      <c r="F870" s="80">
        <v>0.006944444444444444</v>
      </c>
      <c r="G870" s="4" t="s">
        <v>1074</v>
      </c>
      <c r="H870" s="27"/>
      <c r="I870" s="4" t="s">
        <v>226</v>
      </c>
      <c r="J870" s="81"/>
    </row>
    <row r="871">
      <c r="A871" s="89"/>
      <c r="B871" s="4" t="s">
        <v>281</v>
      </c>
      <c r="C871" s="4" t="s">
        <v>284</v>
      </c>
      <c r="D871" s="87" t="s">
        <v>224</v>
      </c>
      <c r="E871" s="87" t="s">
        <v>1059</v>
      </c>
      <c r="F871" s="80">
        <v>0.006944444444444444</v>
      </c>
      <c r="G871" s="4" t="s">
        <v>1075</v>
      </c>
      <c r="H871" s="27"/>
      <c r="I871" s="4" t="s">
        <v>226</v>
      </c>
      <c r="J871" s="81"/>
    </row>
    <row r="872">
      <c r="A872" s="89"/>
      <c r="B872" s="4" t="s">
        <v>281</v>
      </c>
      <c r="C872" s="4" t="s">
        <v>284</v>
      </c>
      <c r="D872" s="87" t="s">
        <v>224</v>
      </c>
      <c r="E872" s="87" t="s">
        <v>1059</v>
      </c>
      <c r="F872" s="80">
        <v>0.006944444444444444</v>
      </c>
      <c r="G872" s="4" t="s">
        <v>1076</v>
      </c>
      <c r="H872" s="27"/>
      <c r="I872" s="4" t="s">
        <v>226</v>
      </c>
      <c r="J872" s="81"/>
    </row>
    <row r="873">
      <c r="A873" s="89"/>
      <c r="B873" s="4" t="s">
        <v>281</v>
      </c>
      <c r="C873" s="4" t="s">
        <v>284</v>
      </c>
      <c r="D873" s="87" t="s">
        <v>224</v>
      </c>
      <c r="E873" s="87" t="s">
        <v>1059</v>
      </c>
      <c r="F873" s="80">
        <v>0.006944444444444444</v>
      </c>
      <c r="G873" s="4" t="s">
        <v>1077</v>
      </c>
      <c r="H873" s="27"/>
      <c r="I873" s="4" t="s">
        <v>226</v>
      </c>
      <c r="J873" s="81"/>
    </row>
    <row r="874">
      <c r="A874" s="89"/>
      <c r="B874" s="4" t="s">
        <v>281</v>
      </c>
      <c r="C874" s="4" t="s">
        <v>284</v>
      </c>
      <c r="D874" s="87" t="s">
        <v>224</v>
      </c>
      <c r="E874" s="87" t="s">
        <v>1059</v>
      </c>
      <c r="F874" s="80">
        <v>0.006944444444444444</v>
      </c>
      <c r="G874" s="4" t="s">
        <v>1078</v>
      </c>
      <c r="H874" s="27"/>
      <c r="I874" s="4" t="s">
        <v>226</v>
      </c>
      <c r="J874" s="81"/>
    </row>
    <row r="875">
      <c r="A875" s="89"/>
      <c r="B875" s="4" t="s">
        <v>281</v>
      </c>
      <c r="C875" s="4" t="s">
        <v>284</v>
      </c>
      <c r="D875" s="87" t="s">
        <v>224</v>
      </c>
      <c r="E875" s="87" t="s">
        <v>1059</v>
      </c>
      <c r="F875" s="80">
        <v>0.006944444444444444</v>
      </c>
      <c r="G875" s="4" t="s">
        <v>201</v>
      </c>
      <c r="H875" s="27"/>
      <c r="I875" s="4" t="s">
        <v>226</v>
      </c>
      <c r="J875" s="81"/>
    </row>
    <row r="876">
      <c r="A876" s="89"/>
      <c r="B876" s="4" t="s">
        <v>281</v>
      </c>
      <c r="C876" s="4" t="s">
        <v>282</v>
      </c>
      <c r="D876" s="87" t="s">
        <v>224</v>
      </c>
      <c r="E876" s="87" t="s">
        <v>1059</v>
      </c>
      <c r="F876" s="80">
        <v>0.006944444444444444</v>
      </c>
      <c r="G876" s="4" t="s">
        <v>1074</v>
      </c>
      <c r="H876" s="27"/>
      <c r="I876" s="4" t="s">
        <v>226</v>
      </c>
      <c r="J876" s="81"/>
    </row>
    <row r="877">
      <c r="A877" s="89"/>
      <c r="B877" s="4" t="s">
        <v>281</v>
      </c>
      <c r="C877" s="4" t="s">
        <v>282</v>
      </c>
      <c r="D877" s="87" t="s">
        <v>224</v>
      </c>
      <c r="E877" s="87" t="s">
        <v>1059</v>
      </c>
      <c r="F877" s="80">
        <v>0.006944444444444444</v>
      </c>
      <c r="G877" s="4" t="s">
        <v>1075</v>
      </c>
      <c r="H877" s="27"/>
      <c r="I877" s="4" t="s">
        <v>226</v>
      </c>
      <c r="J877" s="81"/>
    </row>
    <row r="878">
      <c r="A878" s="89"/>
      <c r="B878" s="4" t="s">
        <v>281</v>
      </c>
      <c r="C878" s="4" t="s">
        <v>282</v>
      </c>
      <c r="D878" s="87" t="s">
        <v>224</v>
      </c>
      <c r="E878" s="87" t="s">
        <v>1059</v>
      </c>
      <c r="F878" s="80">
        <v>0.006944444444444444</v>
      </c>
      <c r="G878" s="4" t="s">
        <v>1076</v>
      </c>
      <c r="H878" s="27"/>
      <c r="I878" s="4" t="s">
        <v>226</v>
      </c>
      <c r="J878" s="81"/>
    </row>
    <row r="879">
      <c r="A879" s="89"/>
      <c r="B879" s="4" t="s">
        <v>281</v>
      </c>
      <c r="C879" s="4" t="s">
        <v>282</v>
      </c>
      <c r="D879" s="87" t="s">
        <v>224</v>
      </c>
      <c r="E879" s="87" t="s">
        <v>1059</v>
      </c>
      <c r="F879" s="80">
        <v>0.006944444444444444</v>
      </c>
      <c r="G879" s="4" t="s">
        <v>1077</v>
      </c>
      <c r="H879" s="27"/>
      <c r="I879" s="4" t="s">
        <v>226</v>
      </c>
      <c r="J879" s="81"/>
    </row>
    <row r="880">
      <c r="A880" s="89"/>
      <c r="B880" s="4" t="s">
        <v>281</v>
      </c>
      <c r="C880" s="4" t="s">
        <v>282</v>
      </c>
      <c r="D880" s="87" t="s">
        <v>224</v>
      </c>
      <c r="E880" s="87" t="s">
        <v>1059</v>
      </c>
      <c r="F880" s="80">
        <v>0.006944444444444444</v>
      </c>
      <c r="G880" s="4" t="s">
        <v>1078</v>
      </c>
      <c r="H880" s="27"/>
      <c r="I880" s="4" t="s">
        <v>226</v>
      </c>
      <c r="J880" s="81"/>
    </row>
    <row r="881">
      <c r="A881" s="89"/>
      <c r="B881" s="4" t="s">
        <v>281</v>
      </c>
      <c r="C881" s="4" t="s">
        <v>282</v>
      </c>
      <c r="D881" s="87" t="s">
        <v>224</v>
      </c>
      <c r="E881" s="87" t="s">
        <v>1059</v>
      </c>
      <c r="F881" s="80">
        <v>0.006944444444444444</v>
      </c>
      <c r="G881" s="4" t="s">
        <v>201</v>
      </c>
      <c r="H881" s="27"/>
      <c r="I881" s="4" t="s">
        <v>226</v>
      </c>
      <c r="J881" s="81"/>
    </row>
    <row r="882">
      <c r="A882" s="89"/>
      <c r="B882" s="4" t="s">
        <v>281</v>
      </c>
      <c r="C882" s="4" t="s">
        <v>1079</v>
      </c>
      <c r="D882" s="87" t="s">
        <v>224</v>
      </c>
      <c r="E882" s="87" t="s">
        <v>1059</v>
      </c>
      <c r="F882" s="80">
        <v>0.006944444444444444</v>
      </c>
      <c r="G882" s="4" t="s">
        <v>154</v>
      </c>
      <c r="H882" s="27"/>
      <c r="I882" s="4" t="s">
        <v>226</v>
      </c>
      <c r="J882" s="81"/>
    </row>
    <row r="883">
      <c r="A883" s="89"/>
      <c r="B883" s="4" t="s">
        <v>281</v>
      </c>
      <c r="C883" s="4" t="s">
        <v>1079</v>
      </c>
      <c r="D883" s="87" t="s">
        <v>224</v>
      </c>
      <c r="E883" s="87" t="s">
        <v>1059</v>
      </c>
      <c r="F883" s="80">
        <v>0.006944444444444444</v>
      </c>
      <c r="G883" s="4" t="s">
        <v>1074</v>
      </c>
      <c r="H883" s="27"/>
      <c r="I883" s="4" t="s">
        <v>226</v>
      </c>
      <c r="J883" s="81"/>
    </row>
    <row r="884">
      <c r="A884" s="89"/>
      <c r="B884" s="4" t="s">
        <v>281</v>
      </c>
      <c r="C884" s="4" t="s">
        <v>1079</v>
      </c>
      <c r="D884" s="87" t="s">
        <v>224</v>
      </c>
      <c r="E884" s="87" t="s">
        <v>1059</v>
      </c>
      <c r="F884" s="80">
        <v>0.006944444444444444</v>
      </c>
      <c r="G884" s="4" t="s">
        <v>1075</v>
      </c>
      <c r="H884" s="27"/>
      <c r="I884" s="4" t="s">
        <v>226</v>
      </c>
      <c r="J884" s="81"/>
    </row>
    <row r="885">
      <c r="A885" s="89"/>
      <c r="B885" s="4" t="s">
        <v>281</v>
      </c>
      <c r="C885" s="4" t="s">
        <v>1079</v>
      </c>
      <c r="D885" s="87" t="s">
        <v>224</v>
      </c>
      <c r="E885" s="87" t="s">
        <v>1059</v>
      </c>
      <c r="F885" s="80">
        <v>0.006944444444444444</v>
      </c>
      <c r="G885" s="4" t="s">
        <v>1076</v>
      </c>
      <c r="H885" s="27"/>
      <c r="I885" s="4" t="s">
        <v>226</v>
      </c>
      <c r="J885" s="81"/>
    </row>
    <row r="886">
      <c r="A886" s="89"/>
      <c r="B886" s="4" t="s">
        <v>281</v>
      </c>
      <c r="C886" s="4" t="s">
        <v>1079</v>
      </c>
      <c r="D886" s="87" t="s">
        <v>224</v>
      </c>
      <c r="E886" s="87" t="s">
        <v>1059</v>
      </c>
      <c r="F886" s="80">
        <v>0.006944444444444444</v>
      </c>
      <c r="G886" s="4" t="s">
        <v>1077</v>
      </c>
      <c r="H886" s="27"/>
      <c r="I886" s="4" t="s">
        <v>226</v>
      </c>
      <c r="J886" s="81"/>
    </row>
    <row r="887">
      <c r="A887" s="89"/>
      <c r="B887" s="4" t="s">
        <v>281</v>
      </c>
      <c r="C887" s="4" t="s">
        <v>1079</v>
      </c>
      <c r="D887" s="87" t="s">
        <v>224</v>
      </c>
      <c r="E887" s="87" t="s">
        <v>1059</v>
      </c>
      <c r="F887" s="80">
        <v>0.006944444444444444</v>
      </c>
      <c r="G887" s="4" t="s">
        <v>1078</v>
      </c>
      <c r="H887" s="27"/>
      <c r="I887" s="4" t="s">
        <v>226</v>
      </c>
      <c r="J887" s="81"/>
    </row>
    <row r="888">
      <c r="A888" s="89"/>
      <c r="B888" s="4" t="s">
        <v>281</v>
      </c>
      <c r="C888" s="4" t="s">
        <v>1079</v>
      </c>
      <c r="D888" s="87" t="s">
        <v>224</v>
      </c>
      <c r="E888" s="87" t="s">
        <v>1059</v>
      </c>
      <c r="F888" s="80">
        <v>0.006944444444444444</v>
      </c>
      <c r="G888" s="4" t="s">
        <v>201</v>
      </c>
      <c r="H888" s="27"/>
      <c r="I888" s="4" t="s">
        <v>226</v>
      </c>
      <c r="J888" s="81"/>
    </row>
    <row r="889">
      <c r="A889" s="89"/>
      <c r="B889" s="4" t="s">
        <v>286</v>
      </c>
      <c r="C889" s="4" t="s">
        <v>284</v>
      </c>
      <c r="D889" s="87" t="s">
        <v>224</v>
      </c>
      <c r="E889" s="87" t="s">
        <v>1059</v>
      </c>
      <c r="F889" s="80">
        <v>0.006944444444444444</v>
      </c>
      <c r="G889" s="4" t="s">
        <v>1074</v>
      </c>
      <c r="H889" s="27"/>
      <c r="I889" s="4" t="s">
        <v>226</v>
      </c>
      <c r="J889" s="81"/>
    </row>
    <row r="890">
      <c r="A890" s="89"/>
      <c r="B890" s="4" t="s">
        <v>286</v>
      </c>
      <c r="C890" s="4" t="s">
        <v>284</v>
      </c>
      <c r="D890" s="87" t="s">
        <v>224</v>
      </c>
      <c r="E890" s="87" t="s">
        <v>1059</v>
      </c>
      <c r="F890" s="80">
        <v>0.006944444444444444</v>
      </c>
      <c r="G890" s="4" t="s">
        <v>1075</v>
      </c>
      <c r="H890" s="27"/>
      <c r="I890" s="4" t="s">
        <v>226</v>
      </c>
      <c r="J890" s="81"/>
    </row>
    <row r="891">
      <c r="A891" s="89"/>
      <c r="B891" s="4" t="s">
        <v>286</v>
      </c>
      <c r="C891" s="4" t="s">
        <v>284</v>
      </c>
      <c r="D891" s="87" t="s">
        <v>224</v>
      </c>
      <c r="E891" s="87" t="s">
        <v>1059</v>
      </c>
      <c r="F891" s="80">
        <v>0.006944444444444444</v>
      </c>
      <c r="G891" s="4" t="s">
        <v>1076</v>
      </c>
      <c r="H891" s="27"/>
      <c r="I891" s="4" t="s">
        <v>226</v>
      </c>
      <c r="J891" s="81"/>
    </row>
    <row r="892">
      <c r="A892" s="89"/>
      <c r="B892" s="4" t="s">
        <v>286</v>
      </c>
      <c r="C892" s="4" t="s">
        <v>284</v>
      </c>
      <c r="D892" s="87" t="s">
        <v>224</v>
      </c>
      <c r="E892" s="87" t="s">
        <v>1059</v>
      </c>
      <c r="F892" s="80">
        <v>0.006944444444444444</v>
      </c>
      <c r="G892" s="4" t="s">
        <v>1077</v>
      </c>
      <c r="H892" s="27"/>
      <c r="I892" s="4" t="s">
        <v>226</v>
      </c>
      <c r="J892" s="81"/>
    </row>
    <row r="893">
      <c r="A893" s="89"/>
      <c r="B893" s="4" t="s">
        <v>286</v>
      </c>
      <c r="C893" s="4" t="s">
        <v>284</v>
      </c>
      <c r="D893" s="87" t="s">
        <v>224</v>
      </c>
      <c r="E893" s="87" t="s">
        <v>1059</v>
      </c>
      <c r="F893" s="80">
        <v>0.006944444444444444</v>
      </c>
      <c r="G893" s="4" t="s">
        <v>1078</v>
      </c>
      <c r="H893" s="27"/>
      <c r="I893" s="4" t="s">
        <v>226</v>
      </c>
      <c r="J893" s="81"/>
    </row>
    <row r="894">
      <c r="A894" s="89"/>
      <c r="B894" s="4" t="s">
        <v>286</v>
      </c>
      <c r="C894" s="4" t="s">
        <v>284</v>
      </c>
      <c r="D894" s="87" t="s">
        <v>224</v>
      </c>
      <c r="E894" s="87" t="s">
        <v>1059</v>
      </c>
      <c r="F894" s="80">
        <v>0.006944444444444444</v>
      </c>
      <c r="G894" s="4" t="s">
        <v>201</v>
      </c>
      <c r="H894" s="27"/>
      <c r="I894" s="4" t="s">
        <v>226</v>
      </c>
      <c r="J894" s="81"/>
    </row>
    <row r="895">
      <c r="A895" s="89"/>
      <c r="B895" s="4" t="s">
        <v>286</v>
      </c>
      <c r="C895" s="4" t="s">
        <v>282</v>
      </c>
      <c r="D895" s="87" t="s">
        <v>224</v>
      </c>
      <c r="E895" s="87" t="s">
        <v>1059</v>
      </c>
      <c r="F895" s="80">
        <v>0.006944444444444444</v>
      </c>
      <c r="G895" s="4" t="s">
        <v>1074</v>
      </c>
      <c r="H895" s="27"/>
      <c r="I895" s="4" t="s">
        <v>226</v>
      </c>
      <c r="J895" s="81"/>
    </row>
    <row r="896">
      <c r="A896" s="89"/>
      <c r="B896" s="4" t="s">
        <v>286</v>
      </c>
      <c r="C896" s="4" t="s">
        <v>282</v>
      </c>
      <c r="D896" s="87" t="s">
        <v>224</v>
      </c>
      <c r="E896" s="87" t="s">
        <v>1059</v>
      </c>
      <c r="F896" s="80">
        <v>0.006944444444444444</v>
      </c>
      <c r="G896" s="4" t="s">
        <v>1075</v>
      </c>
      <c r="H896" s="27"/>
      <c r="I896" s="4" t="s">
        <v>226</v>
      </c>
      <c r="J896" s="81"/>
    </row>
    <row r="897">
      <c r="A897" s="89"/>
      <c r="B897" s="4" t="s">
        <v>286</v>
      </c>
      <c r="C897" s="4" t="s">
        <v>282</v>
      </c>
      <c r="D897" s="87" t="s">
        <v>224</v>
      </c>
      <c r="E897" s="87" t="s">
        <v>1059</v>
      </c>
      <c r="F897" s="80">
        <v>0.006944444444444444</v>
      </c>
      <c r="G897" s="4" t="s">
        <v>1076</v>
      </c>
      <c r="H897" s="27"/>
      <c r="I897" s="4" t="s">
        <v>226</v>
      </c>
      <c r="J897" s="81"/>
    </row>
    <row r="898">
      <c r="A898" s="89"/>
      <c r="B898" s="4" t="s">
        <v>286</v>
      </c>
      <c r="C898" s="4" t="s">
        <v>282</v>
      </c>
      <c r="D898" s="87" t="s">
        <v>224</v>
      </c>
      <c r="E898" s="87" t="s">
        <v>1059</v>
      </c>
      <c r="F898" s="80">
        <v>0.006944444444444444</v>
      </c>
      <c r="G898" s="4" t="s">
        <v>1077</v>
      </c>
      <c r="H898" s="27"/>
      <c r="I898" s="4" t="s">
        <v>226</v>
      </c>
      <c r="J898" s="81"/>
    </row>
    <row r="899">
      <c r="A899" s="89"/>
      <c r="B899" s="4" t="s">
        <v>286</v>
      </c>
      <c r="C899" s="4" t="s">
        <v>282</v>
      </c>
      <c r="D899" s="87" t="s">
        <v>224</v>
      </c>
      <c r="E899" s="87" t="s">
        <v>1059</v>
      </c>
      <c r="F899" s="80">
        <v>0.006944444444444444</v>
      </c>
      <c r="G899" s="4" t="s">
        <v>1078</v>
      </c>
      <c r="H899" s="27"/>
      <c r="I899" s="4" t="s">
        <v>226</v>
      </c>
      <c r="J899" s="81"/>
    </row>
    <row r="900">
      <c r="A900" s="89"/>
      <c r="B900" s="4" t="s">
        <v>286</v>
      </c>
      <c r="C900" s="4" t="s">
        <v>282</v>
      </c>
      <c r="D900" s="87" t="s">
        <v>224</v>
      </c>
      <c r="E900" s="87" t="s">
        <v>1059</v>
      </c>
      <c r="F900" s="80">
        <v>0.006944444444444444</v>
      </c>
      <c r="G900" s="4" t="s">
        <v>201</v>
      </c>
      <c r="H900" s="27"/>
      <c r="I900" s="4" t="s">
        <v>226</v>
      </c>
      <c r="J900" s="81"/>
    </row>
    <row r="901">
      <c r="A901" s="89"/>
      <c r="B901" s="4" t="s">
        <v>463</v>
      </c>
      <c r="C901" s="4" t="s">
        <v>441</v>
      </c>
      <c r="D901" s="87" t="s">
        <v>224</v>
      </c>
      <c r="E901" s="87" t="s">
        <v>1059</v>
      </c>
      <c r="F901" s="80">
        <v>0.006944444444444444</v>
      </c>
      <c r="G901" s="4" t="s">
        <v>1080</v>
      </c>
      <c r="H901" s="27"/>
      <c r="I901" s="4" t="s">
        <v>226</v>
      </c>
      <c r="J901" s="81"/>
    </row>
    <row r="902">
      <c r="A902" s="89"/>
      <c r="B902" s="4" t="s">
        <v>463</v>
      </c>
      <c r="C902" s="4" t="s">
        <v>441</v>
      </c>
      <c r="D902" s="87" t="s">
        <v>224</v>
      </c>
      <c r="E902" s="87" t="s">
        <v>1059</v>
      </c>
      <c r="F902" s="80">
        <v>0.006944444444444444</v>
      </c>
      <c r="G902" s="4" t="s">
        <v>1081</v>
      </c>
      <c r="H902" s="27"/>
      <c r="I902" s="4" t="s">
        <v>226</v>
      </c>
      <c r="J902" s="81"/>
    </row>
    <row r="903">
      <c r="A903" s="89"/>
      <c r="B903" s="4" t="s">
        <v>463</v>
      </c>
      <c r="C903" s="4" t="s">
        <v>441</v>
      </c>
      <c r="D903" s="87" t="s">
        <v>224</v>
      </c>
      <c r="E903" s="87" t="s">
        <v>1059</v>
      </c>
      <c r="F903" s="80">
        <v>0.006944444444444444</v>
      </c>
      <c r="G903" s="5" t="s">
        <v>192</v>
      </c>
      <c r="H903" s="27"/>
      <c r="I903" s="4" t="s">
        <v>226</v>
      </c>
      <c r="J903" s="81"/>
    </row>
    <row r="904">
      <c r="A904" s="89"/>
      <c r="B904" s="4" t="s">
        <v>463</v>
      </c>
      <c r="C904" s="4" t="s">
        <v>441</v>
      </c>
      <c r="D904" s="87" t="s">
        <v>224</v>
      </c>
      <c r="E904" s="87" t="s">
        <v>1059</v>
      </c>
      <c r="F904" s="80">
        <v>0.006944444444444444</v>
      </c>
      <c r="G904" s="4" t="s">
        <v>204</v>
      </c>
      <c r="H904" s="27"/>
      <c r="I904" s="4" t="s">
        <v>226</v>
      </c>
      <c r="J904" s="81"/>
    </row>
    <row r="905">
      <c r="A905" s="89"/>
      <c r="B905" s="4" t="s">
        <v>463</v>
      </c>
      <c r="C905" s="4" t="s">
        <v>441</v>
      </c>
      <c r="D905" s="87" t="s">
        <v>224</v>
      </c>
      <c r="E905" s="87" t="s">
        <v>1059</v>
      </c>
      <c r="F905" s="80">
        <v>0.006944444444444444</v>
      </c>
      <c r="G905" s="4" t="s">
        <v>1082</v>
      </c>
      <c r="H905" s="27"/>
      <c r="I905" s="4" t="s">
        <v>226</v>
      </c>
      <c r="J905" s="81"/>
    </row>
    <row r="906">
      <c r="A906" s="89"/>
      <c r="B906" s="4" t="s">
        <v>463</v>
      </c>
      <c r="C906" s="4" t="s">
        <v>443</v>
      </c>
      <c r="D906" s="87" t="s">
        <v>224</v>
      </c>
      <c r="E906" s="87" t="s">
        <v>1059</v>
      </c>
      <c r="F906" s="80">
        <v>0.006944444444444444</v>
      </c>
      <c r="G906" s="4" t="s">
        <v>1080</v>
      </c>
      <c r="H906" s="27"/>
      <c r="I906" s="4" t="s">
        <v>226</v>
      </c>
      <c r="J906" s="81"/>
    </row>
    <row r="907">
      <c r="A907" s="89"/>
      <c r="B907" s="4" t="s">
        <v>463</v>
      </c>
      <c r="C907" s="4" t="s">
        <v>443</v>
      </c>
      <c r="D907" s="87" t="s">
        <v>224</v>
      </c>
      <c r="E907" s="87" t="s">
        <v>1059</v>
      </c>
      <c r="F907" s="80">
        <v>0.006944444444444444</v>
      </c>
      <c r="G907" s="4" t="s">
        <v>1081</v>
      </c>
      <c r="H907" s="27"/>
      <c r="I907" s="4" t="s">
        <v>226</v>
      </c>
      <c r="J907" s="81"/>
    </row>
    <row r="908">
      <c r="A908" s="89"/>
      <c r="B908" s="4" t="s">
        <v>463</v>
      </c>
      <c r="C908" s="4" t="s">
        <v>443</v>
      </c>
      <c r="D908" s="87" t="s">
        <v>224</v>
      </c>
      <c r="E908" s="87" t="s">
        <v>1059</v>
      </c>
      <c r="F908" s="80">
        <v>0.006944444444444444</v>
      </c>
      <c r="G908" s="5" t="s">
        <v>192</v>
      </c>
      <c r="H908" s="27"/>
      <c r="I908" s="4" t="s">
        <v>226</v>
      </c>
      <c r="J908" s="81"/>
    </row>
    <row r="909">
      <c r="A909" s="89"/>
      <c r="B909" s="4" t="s">
        <v>463</v>
      </c>
      <c r="C909" s="4" t="s">
        <v>443</v>
      </c>
      <c r="D909" s="87" t="s">
        <v>224</v>
      </c>
      <c r="E909" s="87" t="s">
        <v>1059</v>
      </c>
      <c r="F909" s="80">
        <v>0.006944444444444444</v>
      </c>
      <c r="G909" s="4" t="s">
        <v>204</v>
      </c>
      <c r="H909" s="27"/>
      <c r="I909" s="4" t="s">
        <v>226</v>
      </c>
      <c r="J909" s="81"/>
    </row>
    <row r="910">
      <c r="A910" s="89"/>
      <c r="B910" s="4" t="s">
        <v>463</v>
      </c>
      <c r="C910" s="4" t="s">
        <v>443</v>
      </c>
      <c r="D910" s="87" t="s">
        <v>224</v>
      </c>
      <c r="E910" s="87" t="s">
        <v>1059</v>
      </c>
      <c r="F910" s="80">
        <v>0.006944444444444444</v>
      </c>
      <c r="G910" s="4" t="s">
        <v>1082</v>
      </c>
      <c r="H910" s="27"/>
      <c r="I910" s="4" t="s">
        <v>226</v>
      </c>
      <c r="J910" s="81"/>
    </row>
    <row r="911">
      <c r="A911" s="89"/>
      <c r="B911" s="4" t="s">
        <v>688</v>
      </c>
      <c r="C911" s="4" t="s">
        <v>441</v>
      </c>
      <c r="D911" s="87" t="s">
        <v>224</v>
      </c>
      <c r="E911" s="87" t="s">
        <v>1059</v>
      </c>
      <c r="F911" s="80">
        <v>0.006944444444444444</v>
      </c>
      <c r="G911" s="4" t="s">
        <v>153</v>
      </c>
      <c r="H911" s="27"/>
      <c r="I911" s="4" t="s">
        <v>226</v>
      </c>
      <c r="J911" s="81"/>
    </row>
    <row r="912">
      <c r="A912" s="89"/>
      <c r="B912" s="4" t="s">
        <v>688</v>
      </c>
      <c r="C912" s="4" t="s">
        <v>441</v>
      </c>
      <c r="D912" s="87" t="s">
        <v>224</v>
      </c>
      <c r="E912" s="87" t="s">
        <v>1059</v>
      </c>
      <c r="F912" s="80">
        <v>0.006944444444444444</v>
      </c>
      <c r="G912" s="4" t="s">
        <v>177</v>
      </c>
      <c r="H912" s="27"/>
      <c r="I912" s="4" t="s">
        <v>226</v>
      </c>
      <c r="J912" s="81"/>
    </row>
    <row r="913">
      <c r="A913" s="89"/>
      <c r="B913" s="4" t="s">
        <v>688</v>
      </c>
      <c r="C913" s="4" t="s">
        <v>441</v>
      </c>
      <c r="D913" s="87" t="s">
        <v>224</v>
      </c>
      <c r="E913" s="87" t="s">
        <v>1059</v>
      </c>
      <c r="F913" s="80">
        <v>0.006944444444444444</v>
      </c>
      <c r="G913" s="4" t="s">
        <v>1083</v>
      </c>
      <c r="H913" s="27"/>
      <c r="I913" s="4" t="s">
        <v>226</v>
      </c>
      <c r="J913" s="81"/>
    </row>
    <row r="914">
      <c r="A914" s="89"/>
      <c r="B914" s="4" t="s">
        <v>688</v>
      </c>
      <c r="C914" s="4" t="s">
        <v>441</v>
      </c>
      <c r="D914" s="87" t="s">
        <v>224</v>
      </c>
      <c r="E914" s="87" t="s">
        <v>1059</v>
      </c>
      <c r="F914" s="80">
        <v>0.006944444444444444</v>
      </c>
      <c r="G914" s="4" t="s">
        <v>158</v>
      </c>
      <c r="H914" s="27"/>
      <c r="I914" s="4" t="s">
        <v>226</v>
      </c>
      <c r="J914" s="81"/>
    </row>
    <row r="915">
      <c r="A915" s="89"/>
      <c r="B915" s="4" t="s">
        <v>688</v>
      </c>
      <c r="C915" s="4" t="s">
        <v>441</v>
      </c>
      <c r="D915" s="87" t="s">
        <v>224</v>
      </c>
      <c r="E915" s="87" t="s">
        <v>1059</v>
      </c>
      <c r="F915" s="80">
        <v>0.006944444444444444</v>
      </c>
      <c r="G915" s="4" t="s">
        <v>161</v>
      </c>
      <c r="H915" s="27"/>
      <c r="I915" s="4" t="s">
        <v>226</v>
      </c>
      <c r="J915" s="81"/>
    </row>
    <row r="916">
      <c r="A916" s="89"/>
      <c r="B916" s="4" t="s">
        <v>688</v>
      </c>
      <c r="C916" s="4" t="s">
        <v>443</v>
      </c>
      <c r="D916" s="87" t="s">
        <v>224</v>
      </c>
      <c r="E916" s="87" t="s">
        <v>1059</v>
      </c>
      <c r="F916" s="80">
        <v>0.006944444444444444</v>
      </c>
      <c r="G916" s="4" t="s">
        <v>153</v>
      </c>
      <c r="H916" s="27"/>
      <c r="I916" s="4" t="s">
        <v>226</v>
      </c>
      <c r="J916" s="81"/>
    </row>
    <row r="917">
      <c r="A917" s="89"/>
      <c r="B917" s="4" t="s">
        <v>688</v>
      </c>
      <c r="C917" s="4" t="s">
        <v>443</v>
      </c>
      <c r="D917" s="87" t="s">
        <v>224</v>
      </c>
      <c r="E917" s="87" t="s">
        <v>1059</v>
      </c>
      <c r="F917" s="80">
        <v>0.006944444444444444</v>
      </c>
      <c r="G917" s="4" t="s">
        <v>177</v>
      </c>
      <c r="H917" s="27"/>
      <c r="I917" s="4" t="s">
        <v>226</v>
      </c>
      <c r="J917" s="81"/>
    </row>
    <row r="918">
      <c r="A918" s="89"/>
      <c r="B918" s="4" t="s">
        <v>688</v>
      </c>
      <c r="C918" s="4" t="s">
        <v>443</v>
      </c>
      <c r="D918" s="87" t="s">
        <v>224</v>
      </c>
      <c r="E918" s="87" t="s">
        <v>1059</v>
      </c>
      <c r="F918" s="80">
        <v>0.006944444444444444</v>
      </c>
      <c r="G918" s="4" t="s">
        <v>689</v>
      </c>
      <c r="H918" s="27"/>
      <c r="I918" s="4" t="s">
        <v>226</v>
      </c>
      <c r="J918" s="81"/>
    </row>
    <row r="919">
      <c r="A919" s="89"/>
      <c r="B919" s="4" t="s">
        <v>688</v>
      </c>
      <c r="C919" s="4" t="s">
        <v>443</v>
      </c>
      <c r="D919" s="87" t="s">
        <v>224</v>
      </c>
      <c r="E919" s="87" t="s">
        <v>1059</v>
      </c>
      <c r="F919" s="80">
        <v>0.006944444444444444</v>
      </c>
      <c r="G919" s="4" t="s">
        <v>1083</v>
      </c>
      <c r="H919" s="27"/>
      <c r="I919" s="4" t="s">
        <v>226</v>
      </c>
      <c r="J919" s="81"/>
    </row>
    <row r="920">
      <c r="A920" s="89"/>
      <c r="B920" s="4" t="s">
        <v>688</v>
      </c>
      <c r="C920" s="4" t="s">
        <v>443</v>
      </c>
      <c r="D920" s="87" t="s">
        <v>224</v>
      </c>
      <c r="E920" s="87" t="s">
        <v>1059</v>
      </c>
      <c r="F920" s="80">
        <v>0.006944444444444444</v>
      </c>
      <c r="G920" s="4" t="s">
        <v>158</v>
      </c>
      <c r="H920" s="27"/>
      <c r="I920" s="4" t="s">
        <v>226</v>
      </c>
      <c r="J920" s="81"/>
    </row>
    <row r="921">
      <c r="A921" s="89"/>
      <c r="B921" s="4" t="s">
        <v>688</v>
      </c>
      <c r="C921" s="4" t="s">
        <v>443</v>
      </c>
      <c r="D921" s="87" t="s">
        <v>224</v>
      </c>
      <c r="E921" s="87" t="s">
        <v>1059</v>
      </c>
      <c r="F921" s="80">
        <v>0.006944444444444444</v>
      </c>
      <c r="G921" s="4" t="s">
        <v>161</v>
      </c>
      <c r="H921" s="27"/>
      <c r="I921" s="4" t="s">
        <v>226</v>
      </c>
      <c r="J921" s="81"/>
    </row>
    <row r="922">
      <c r="A922" s="89"/>
      <c r="B922" s="4" t="s">
        <v>308</v>
      </c>
      <c r="C922" s="4" t="s">
        <v>223</v>
      </c>
      <c r="D922" s="87" t="s">
        <v>224</v>
      </c>
      <c r="E922" s="87" t="s">
        <v>1059</v>
      </c>
      <c r="F922" s="80">
        <v>0.006944444444444444</v>
      </c>
      <c r="G922" s="4" t="s">
        <v>123</v>
      </c>
      <c r="H922" s="27"/>
      <c r="I922" s="4" t="s">
        <v>226</v>
      </c>
      <c r="J922" s="81"/>
    </row>
    <row r="923">
      <c r="A923" s="89"/>
      <c r="B923" s="4" t="s">
        <v>308</v>
      </c>
      <c r="C923" s="4" t="s">
        <v>223</v>
      </c>
      <c r="D923" s="87" t="s">
        <v>224</v>
      </c>
      <c r="E923" s="87" t="s">
        <v>1059</v>
      </c>
      <c r="F923" s="80">
        <v>0.006944444444444444</v>
      </c>
      <c r="G923" s="4" t="s">
        <v>708</v>
      </c>
      <c r="H923" s="27"/>
      <c r="I923" s="4" t="s">
        <v>226</v>
      </c>
      <c r="J923" s="81"/>
    </row>
    <row r="924">
      <c r="A924" s="89"/>
      <c r="B924" s="4" t="s">
        <v>308</v>
      </c>
      <c r="C924" s="4" t="s">
        <v>223</v>
      </c>
      <c r="D924" s="87" t="s">
        <v>224</v>
      </c>
      <c r="E924" s="87" t="s">
        <v>1059</v>
      </c>
      <c r="F924" s="80">
        <v>0.006944444444444444</v>
      </c>
      <c r="G924" s="4" t="s">
        <v>161</v>
      </c>
      <c r="H924" s="27"/>
      <c r="I924" s="4" t="s">
        <v>226</v>
      </c>
      <c r="J924" s="81"/>
    </row>
    <row r="925">
      <c r="A925" s="89"/>
      <c r="B925" s="4" t="s">
        <v>308</v>
      </c>
      <c r="C925" s="4" t="s">
        <v>223</v>
      </c>
      <c r="D925" s="87" t="s">
        <v>224</v>
      </c>
      <c r="E925" s="87" t="s">
        <v>1059</v>
      </c>
      <c r="F925" s="80">
        <v>0.006944444444444444</v>
      </c>
      <c r="G925" s="4" t="s">
        <v>158</v>
      </c>
      <c r="H925" s="27"/>
      <c r="I925" s="4" t="s">
        <v>226</v>
      </c>
      <c r="J925" s="81"/>
    </row>
    <row r="926">
      <c r="A926" s="89"/>
      <c r="B926" s="4" t="s">
        <v>308</v>
      </c>
      <c r="C926" s="4" t="s">
        <v>223</v>
      </c>
      <c r="D926" s="87" t="s">
        <v>224</v>
      </c>
      <c r="E926" s="87" t="s">
        <v>1059</v>
      </c>
      <c r="F926" s="80">
        <v>0.006944444444444444</v>
      </c>
      <c r="G926" s="4" t="s">
        <v>124</v>
      </c>
      <c r="H926" s="27"/>
      <c r="I926" s="4" t="s">
        <v>226</v>
      </c>
      <c r="J926" s="81"/>
    </row>
    <row r="927">
      <c r="A927" s="89"/>
      <c r="B927" s="4" t="s">
        <v>308</v>
      </c>
      <c r="C927" s="4" t="s">
        <v>223</v>
      </c>
      <c r="D927" s="87" t="s">
        <v>224</v>
      </c>
      <c r="E927" s="87" t="s">
        <v>1059</v>
      </c>
      <c r="F927" s="80">
        <v>0.006944444444444444</v>
      </c>
      <c r="G927" s="4" t="s">
        <v>1084</v>
      </c>
      <c r="H927" s="27"/>
      <c r="I927" s="4" t="s">
        <v>226</v>
      </c>
      <c r="J927" s="81"/>
    </row>
    <row r="928">
      <c r="A928" s="89"/>
      <c r="B928" s="4" t="s">
        <v>308</v>
      </c>
      <c r="C928" s="4" t="s">
        <v>242</v>
      </c>
      <c r="D928" s="87" t="s">
        <v>224</v>
      </c>
      <c r="E928" s="87" t="s">
        <v>1059</v>
      </c>
      <c r="F928" s="80">
        <v>0.006944444444444444</v>
      </c>
      <c r="G928" s="4" t="s">
        <v>123</v>
      </c>
      <c r="H928" s="27"/>
      <c r="I928" s="4" t="s">
        <v>226</v>
      </c>
      <c r="J928" s="81"/>
    </row>
    <row r="929">
      <c r="A929" s="89"/>
      <c r="B929" s="4" t="s">
        <v>308</v>
      </c>
      <c r="C929" s="4" t="s">
        <v>242</v>
      </c>
      <c r="D929" s="87" t="s">
        <v>224</v>
      </c>
      <c r="E929" s="87" t="s">
        <v>1059</v>
      </c>
      <c r="F929" s="80">
        <v>0.006944444444444444</v>
      </c>
      <c r="G929" s="4" t="s">
        <v>708</v>
      </c>
      <c r="H929" s="27"/>
      <c r="I929" s="4" t="s">
        <v>226</v>
      </c>
      <c r="J929" s="81"/>
    </row>
    <row r="930">
      <c r="A930" s="89"/>
      <c r="B930" s="4" t="s">
        <v>308</v>
      </c>
      <c r="C930" s="4" t="s">
        <v>242</v>
      </c>
      <c r="D930" s="87" t="s">
        <v>224</v>
      </c>
      <c r="E930" s="87" t="s">
        <v>1059</v>
      </c>
      <c r="F930" s="80">
        <v>0.006944444444444444</v>
      </c>
      <c r="G930" s="4" t="s">
        <v>161</v>
      </c>
      <c r="H930" s="27"/>
      <c r="I930" s="4" t="s">
        <v>226</v>
      </c>
      <c r="J930" s="81"/>
    </row>
    <row r="931">
      <c r="A931" s="89"/>
      <c r="B931" s="4" t="s">
        <v>308</v>
      </c>
      <c r="C931" s="4" t="s">
        <v>242</v>
      </c>
      <c r="D931" s="87" t="s">
        <v>224</v>
      </c>
      <c r="E931" s="87" t="s">
        <v>1059</v>
      </c>
      <c r="F931" s="80">
        <v>0.006944444444444444</v>
      </c>
      <c r="G931" s="4" t="s">
        <v>158</v>
      </c>
      <c r="H931" s="27"/>
      <c r="I931" s="4" t="s">
        <v>226</v>
      </c>
      <c r="J931" s="81"/>
    </row>
    <row r="932">
      <c r="A932" s="89"/>
      <c r="B932" s="4" t="s">
        <v>308</v>
      </c>
      <c r="C932" s="4" t="s">
        <v>242</v>
      </c>
      <c r="D932" s="87" t="s">
        <v>224</v>
      </c>
      <c r="E932" s="87" t="s">
        <v>1059</v>
      </c>
      <c r="F932" s="80">
        <v>0.006944444444444444</v>
      </c>
      <c r="G932" s="4" t="s">
        <v>124</v>
      </c>
      <c r="H932" s="27"/>
      <c r="I932" s="4" t="s">
        <v>226</v>
      </c>
      <c r="J932" s="81"/>
    </row>
    <row r="933">
      <c r="A933" s="89"/>
      <c r="B933" s="4" t="s">
        <v>308</v>
      </c>
      <c r="C933" s="4" t="s">
        <v>242</v>
      </c>
      <c r="D933" s="87" t="s">
        <v>224</v>
      </c>
      <c r="E933" s="87" t="s">
        <v>1059</v>
      </c>
      <c r="F933" s="80">
        <v>0.006944444444444444</v>
      </c>
      <c r="G933" s="4" t="s">
        <v>1084</v>
      </c>
      <c r="H933" s="27"/>
      <c r="I933" s="4" t="s">
        <v>226</v>
      </c>
      <c r="J933" s="81"/>
    </row>
    <row r="934">
      <c r="A934" s="89"/>
      <c r="B934" s="4" t="s">
        <v>393</v>
      </c>
      <c r="C934" s="4" t="s">
        <v>223</v>
      </c>
      <c r="D934" s="87" t="s">
        <v>224</v>
      </c>
      <c r="E934" s="87" t="s">
        <v>1059</v>
      </c>
      <c r="F934" s="80">
        <v>0.006944444444444444</v>
      </c>
      <c r="G934" s="4" t="s">
        <v>1082</v>
      </c>
      <c r="H934" s="27"/>
      <c r="I934" s="4" t="s">
        <v>226</v>
      </c>
      <c r="J934" s="81"/>
    </row>
    <row r="935">
      <c r="A935" s="89"/>
      <c r="B935" s="4" t="s">
        <v>393</v>
      </c>
      <c r="C935" s="4" t="s">
        <v>223</v>
      </c>
      <c r="D935" s="87" t="s">
        <v>224</v>
      </c>
      <c r="E935" s="87" t="s">
        <v>1059</v>
      </c>
      <c r="F935" s="80">
        <v>0.006944444444444444</v>
      </c>
      <c r="G935" s="4" t="s">
        <v>1085</v>
      </c>
      <c r="H935" s="27"/>
      <c r="I935" s="4" t="s">
        <v>226</v>
      </c>
      <c r="J935" s="81"/>
    </row>
    <row r="936">
      <c r="A936" s="89"/>
      <c r="B936" s="4" t="s">
        <v>393</v>
      </c>
      <c r="C936" s="4" t="s">
        <v>223</v>
      </c>
      <c r="D936" s="87" t="s">
        <v>224</v>
      </c>
      <c r="E936" s="87" t="s">
        <v>1059</v>
      </c>
      <c r="F936" s="80">
        <v>0.006944444444444444</v>
      </c>
      <c r="G936" s="4" t="s">
        <v>1086</v>
      </c>
      <c r="H936" s="27"/>
      <c r="I936" s="4" t="s">
        <v>226</v>
      </c>
      <c r="J936" s="81"/>
    </row>
    <row r="937">
      <c r="A937" s="89"/>
      <c r="B937" s="4" t="s">
        <v>393</v>
      </c>
      <c r="C937" s="4" t="s">
        <v>223</v>
      </c>
      <c r="D937" s="87" t="s">
        <v>224</v>
      </c>
      <c r="E937" s="87" t="s">
        <v>1059</v>
      </c>
      <c r="F937" s="80">
        <v>0.006944444444444444</v>
      </c>
      <c r="G937" s="4" t="s">
        <v>583</v>
      </c>
      <c r="H937" s="27"/>
      <c r="I937" s="4" t="s">
        <v>226</v>
      </c>
      <c r="J937" s="81"/>
    </row>
    <row r="938">
      <c r="A938" s="89"/>
      <c r="B938" s="4" t="s">
        <v>393</v>
      </c>
      <c r="C938" s="4" t="s">
        <v>242</v>
      </c>
      <c r="D938" s="87" t="s">
        <v>224</v>
      </c>
      <c r="E938" s="87" t="s">
        <v>1059</v>
      </c>
      <c r="F938" s="80">
        <v>0.006944444444444444</v>
      </c>
      <c r="G938" s="4" t="s">
        <v>1082</v>
      </c>
      <c r="H938" s="27"/>
      <c r="I938" s="4" t="s">
        <v>226</v>
      </c>
      <c r="J938" s="81"/>
    </row>
    <row r="939">
      <c r="A939" s="89"/>
      <c r="B939" s="4" t="s">
        <v>393</v>
      </c>
      <c r="C939" s="4" t="s">
        <v>242</v>
      </c>
      <c r="D939" s="87" t="s">
        <v>224</v>
      </c>
      <c r="E939" s="87" t="s">
        <v>1059</v>
      </c>
      <c r="F939" s="80">
        <v>0.006944444444444444</v>
      </c>
      <c r="G939" s="4" t="s">
        <v>1085</v>
      </c>
      <c r="H939" s="27"/>
      <c r="I939" s="4" t="s">
        <v>226</v>
      </c>
      <c r="J939" s="81"/>
    </row>
    <row r="940">
      <c r="A940" s="89"/>
      <c r="B940" s="4" t="s">
        <v>393</v>
      </c>
      <c r="C940" s="4" t="s">
        <v>242</v>
      </c>
      <c r="D940" s="87" t="s">
        <v>224</v>
      </c>
      <c r="E940" s="87" t="s">
        <v>1059</v>
      </c>
      <c r="F940" s="80">
        <v>0.006944444444444444</v>
      </c>
      <c r="G940" s="4" t="s">
        <v>1086</v>
      </c>
      <c r="H940" s="27"/>
      <c r="I940" s="4" t="s">
        <v>226</v>
      </c>
      <c r="J940" s="81"/>
    </row>
    <row r="941">
      <c r="A941" s="89"/>
      <c r="B941" s="83" t="s">
        <v>393</v>
      </c>
      <c r="C941" s="4" t="s">
        <v>242</v>
      </c>
      <c r="D941" s="83" t="s">
        <v>224</v>
      </c>
      <c r="E941" s="83" t="s">
        <v>1059</v>
      </c>
      <c r="F941" s="88">
        <v>0.006944444444444444</v>
      </c>
      <c r="G941" s="4" t="s">
        <v>583</v>
      </c>
      <c r="H941" s="27"/>
      <c r="I941" s="4" t="s">
        <v>226</v>
      </c>
      <c r="J941" s="81"/>
    </row>
    <row r="942">
      <c r="A942" s="89"/>
      <c r="B942" s="4" t="s">
        <v>322</v>
      </c>
      <c r="C942" s="4" t="s">
        <v>223</v>
      </c>
      <c r="D942" s="83" t="s">
        <v>224</v>
      </c>
      <c r="E942" s="83" t="s">
        <v>1059</v>
      </c>
      <c r="F942" s="88">
        <v>0.006944444444444444</v>
      </c>
      <c r="G942" s="4" t="s">
        <v>692</v>
      </c>
      <c r="H942" s="27"/>
      <c r="I942" s="4" t="s">
        <v>226</v>
      </c>
      <c r="J942" s="81"/>
    </row>
    <row r="943">
      <c r="A943" s="89"/>
      <c r="B943" s="4" t="s">
        <v>322</v>
      </c>
      <c r="C943" s="4" t="s">
        <v>223</v>
      </c>
      <c r="D943" s="83" t="s">
        <v>224</v>
      </c>
      <c r="E943" s="83" t="s">
        <v>1059</v>
      </c>
      <c r="F943" s="88">
        <v>0.006944444444444444</v>
      </c>
      <c r="G943" s="4" t="s">
        <v>695</v>
      </c>
      <c r="H943" s="27"/>
      <c r="I943" s="4" t="s">
        <v>226</v>
      </c>
      <c r="J943" s="81"/>
    </row>
    <row r="944">
      <c r="A944" s="89"/>
      <c r="B944" s="4" t="s">
        <v>322</v>
      </c>
      <c r="C944" s="4" t="s">
        <v>223</v>
      </c>
      <c r="D944" s="83" t="s">
        <v>224</v>
      </c>
      <c r="E944" s="83" t="s">
        <v>1059</v>
      </c>
      <c r="F944" s="88">
        <v>0.006944444444444444</v>
      </c>
      <c r="G944" s="4" t="s">
        <v>161</v>
      </c>
      <c r="H944" s="27"/>
      <c r="I944" s="4" t="s">
        <v>226</v>
      </c>
      <c r="J944" s="81"/>
    </row>
    <row r="945">
      <c r="A945" s="89"/>
      <c r="B945" s="4" t="s">
        <v>322</v>
      </c>
      <c r="C945" s="4" t="s">
        <v>223</v>
      </c>
      <c r="D945" s="83" t="s">
        <v>224</v>
      </c>
      <c r="E945" s="83" t="s">
        <v>1059</v>
      </c>
      <c r="F945" s="88">
        <v>0.006944444444444444</v>
      </c>
      <c r="G945" s="4" t="s">
        <v>1087</v>
      </c>
      <c r="H945" s="27"/>
      <c r="I945" s="4" t="s">
        <v>226</v>
      </c>
      <c r="J945" s="81"/>
    </row>
    <row r="946">
      <c r="A946" s="89"/>
      <c r="B946" s="4" t="s">
        <v>322</v>
      </c>
      <c r="C946" s="4" t="s">
        <v>223</v>
      </c>
      <c r="D946" s="83" t="s">
        <v>224</v>
      </c>
      <c r="E946" s="83" t="s">
        <v>1059</v>
      </c>
      <c r="F946" s="88">
        <v>0.006944444444444444</v>
      </c>
      <c r="G946" s="4" t="s">
        <v>176</v>
      </c>
      <c r="H946" s="27"/>
      <c r="I946" s="4" t="s">
        <v>226</v>
      </c>
      <c r="J946" s="81"/>
    </row>
    <row r="947">
      <c r="A947" s="89"/>
      <c r="B947" s="4" t="s">
        <v>322</v>
      </c>
      <c r="C947" s="4" t="s">
        <v>223</v>
      </c>
      <c r="D947" s="83" t="s">
        <v>224</v>
      </c>
      <c r="E947" s="83" t="s">
        <v>1059</v>
      </c>
      <c r="F947" s="88">
        <v>0.006944444444444444</v>
      </c>
      <c r="G947" s="4" t="s">
        <v>1088</v>
      </c>
      <c r="H947" s="27"/>
      <c r="I947" s="4" t="s">
        <v>226</v>
      </c>
      <c r="J947" s="81"/>
    </row>
    <row r="948">
      <c r="A948" s="89"/>
      <c r="B948" s="4" t="s">
        <v>322</v>
      </c>
      <c r="C948" s="4" t="s">
        <v>242</v>
      </c>
      <c r="D948" s="83" t="s">
        <v>224</v>
      </c>
      <c r="E948" s="83" t="s">
        <v>1059</v>
      </c>
      <c r="F948" s="88">
        <v>0.006944444444444444</v>
      </c>
      <c r="G948" s="4" t="s">
        <v>695</v>
      </c>
      <c r="H948" s="27"/>
      <c r="I948" s="4" t="s">
        <v>226</v>
      </c>
      <c r="J948" s="81"/>
    </row>
    <row r="949">
      <c r="A949" s="89"/>
      <c r="B949" s="4" t="s">
        <v>322</v>
      </c>
      <c r="C949" s="4" t="s">
        <v>242</v>
      </c>
      <c r="D949" s="83" t="s">
        <v>224</v>
      </c>
      <c r="E949" s="83" t="s">
        <v>1059</v>
      </c>
      <c r="F949" s="88">
        <v>0.006944444444444444</v>
      </c>
      <c r="G949" s="4" t="s">
        <v>161</v>
      </c>
      <c r="H949" s="27"/>
      <c r="I949" s="4" t="s">
        <v>226</v>
      </c>
      <c r="J949" s="81"/>
    </row>
    <row r="950">
      <c r="A950" s="89"/>
      <c r="B950" s="4" t="s">
        <v>322</v>
      </c>
      <c r="C950" s="4" t="s">
        <v>242</v>
      </c>
      <c r="D950" s="83" t="s">
        <v>224</v>
      </c>
      <c r="E950" s="83" t="s">
        <v>1059</v>
      </c>
      <c r="F950" s="88">
        <v>0.006944444444444444</v>
      </c>
      <c r="G950" s="4" t="s">
        <v>1087</v>
      </c>
      <c r="H950" s="27"/>
      <c r="I950" s="4" t="s">
        <v>226</v>
      </c>
      <c r="J950" s="81"/>
    </row>
    <row r="951">
      <c r="A951" s="89"/>
      <c r="B951" s="4" t="s">
        <v>322</v>
      </c>
      <c r="C951" s="4" t="s">
        <v>242</v>
      </c>
      <c r="D951" s="83" t="s">
        <v>224</v>
      </c>
      <c r="E951" s="83" t="s">
        <v>1059</v>
      </c>
      <c r="F951" s="88">
        <v>0.006944444444444444</v>
      </c>
      <c r="G951" s="4" t="s">
        <v>176</v>
      </c>
      <c r="H951" s="27"/>
      <c r="I951" s="4" t="s">
        <v>226</v>
      </c>
      <c r="J951" s="81"/>
    </row>
    <row r="952">
      <c r="A952" s="89"/>
      <c r="B952" s="4" t="s">
        <v>322</v>
      </c>
      <c r="C952" s="4" t="s">
        <v>242</v>
      </c>
      <c r="D952" s="83" t="s">
        <v>224</v>
      </c>
      <c r="E952" s="83" t="s">
        <v>1059</v>
      </c>
      <c r="F952" s="88">
        <v>0.006944444444444444</v>
      </c>
      <c r="G952" s="4" t="s">
        <v>1088</v>
      </c>
      <c r="H952" s="27"/>
      <c r="I952" s="4" t="s">
        <v>226</v>
      </c>
      <c r="J952" s="81"/>
    </row>
    <row r="953">
      <c r="A953" s="89"/>
      <c r="B953" s="4" t="s">
        <v>279</v>
      </c>
      <c r="D953" s="83" t="s">
        <v>224</v>
      </c>
      <c r="E953" s="83" t="s">
        <v>1059</v>
      </c>
      <c r="F953" s="88">
        <v>0.006944444444444444</v>
      </c>
      <c r="G953" s="4" t="s">
        <v>1089</v>
      </c>
      <c r="H953" s="27"/>
      <c r="I953" s="4" t="s">
        <v>226</v>
      </c>
      <c r="J953" s="81"/>
    </row>
    <row r="954">
      <c r="A954" s="89"/>
      <c r="B954" s="4" t="s">
        <v>279</v>
      </c>
      <c r="D954" s="83" t="s">
        <v>224</v>
      </c>
      <c r="E954" s="83" t="s">
        <v>1059</v>
      </c>
      <c r="F954" s="88">
        <v>0.006944444444444444</v>
      </c>
      <c r="G954" s="4" t="s">
        <v>159</v>
      </c>
      <c r="H954" s="27"/>
      <c r="I954" s="4" t="s">
        <v>226</v>
      </c>
      <c r="J954" s="81"/>
    </row>
    <row r="955">
      <c r="A955" s="89"/>
      <c r="B955" s="4" t="s">
        <v>279</v>
      </c>
      <c r="D955" s="83" t="s">
        <v>224</v>
      </c>
      <c r="E955" s="83" t="s">
        <v>1059</v>
      </c>
      <c r="F955" s="88">
        <v>0.006944444444444444</v>
      </c>
      <c r="G955" s="4" t="s">
        <v>1090</v>
      </c>
      <c r="H955" s="27"/>
      <c r="I955" s="4" t="s">
        <v>226</v>
      </c>
      <c r="J955" s="81"/>
    </row>
    <row r="956">
      <c r="A956" s="89"/>
      <c r="B956" s="4" t="s">
        <v>279</v>
      </c>
      <c r="D956" s="83" t="s">
        <v>224</v>
      </c>
      <c r="E956" s="83" t="s">
        <v>1059</v>
      </c>
      <c r="F956" s="88">
        <v>0.006944444444444444</v>
      </c>
      <c r="G956" s="99" t="s">
        <v>1091</v>
      </c>
      <c r="H956" s="27"/>
      <c r="I956" s="4" t="s">
        <v>226</v>
      </c>
      <c r="J956" s="81"/>
    </row>
    <row r="957">
      <c r="A957" s="89"/>
      <c r="B957" s="4" t="s">
        <v>279</v>
      </c>
      <c r="D957" s="83" t="s">
        <v>224</v>
      </c>
      <c r="E957" s="83" t="s">
        <v>1059</v>
      </c>
      <c r="F957" s="88">
        <v>0.006944444444444444</v>
      </c>
      <c r="G957" s="4" t="s">
        <v>1092</v>
      </c>
      <c r="H957" s="27"/>
      <c r="I957" s="4" t="s">
        <v>226</v>
      </c>
      <c r="J957" s="81"/>
    </row>
    <row r="958">
      <c r="A958" s="89"/>
      <c r="B958" s="4" t="s">
        <v>391</v>
      </c>
      <c r="D958" s="83" t="s">
        <v>224</v>
      </c>
      <c r="E958" s="83" t="s">
        <v>1059</v>
      </c>
      <c r="F958" s="88">
        <v>0.006944444444444444</v>
      </c>
      <c r="G958" s="4" t="s">
        <v>1092</v>
      </c>
      <c r="H958" s="27"/>
      <c r="I958" s="4" t="s">
        <v>226</v>
      </c>
      <c r="J958" s="81"/>
    </row>
    <row r="959">
      <c r="A959" s="89"/>
      <c r="B959" s="4" t="s">
        <v>391</v>
      </c>
      <c r="D959" s="83" t="s">
        <v>224</v>
      </c>
      <c r="E959" s="83" t="s">
        <v>1059</v>
      </c>
      <c r="F959" s="88">
        <v>0.006944444444444444</v>
      </c>
      <c r="G959" s="4" t="s">
        <v>1093</v>
      </c>
      <c r="H959" s="27"/>
      <c r="I959" s="4" t="s">
        <v>226</v>
      </c>
      <c r="J959" s="81"/>
    </row>
    <row r="960">
      <c r="A960" s="89"/>
      <c r="B960" s="4" t="s">
        <v>391</v>
      </c>
      <c r="D960" s="83" t="s">
        <v>224</v>
      </c>
      <c r="E960" s="83" t="s">
        <v>1059</v>
      </c>
      <c r="F960" s="88">
        <v>0.006944444444444444</v>
      </c>
      <c r="G960" s="4" t="s">
        <v>161</v>
      </c>
      <c r="H960" s="27"/>
      <c r="I960" s="4" t="s">
        <v>226</v>
      </c>
      <c r="J960" s="81"/>
    </row>
    <row r="961">
      <c r="A961" s="89"/>
      <c r="B961" s="4" t="s">
        <v>391</v>
      </c>
      <c r="D961" s="83" t="s">
        <v>224</v>
      </c>
      <c r="E961" s="83" t="s">
        <v>1059</v>
      </c>
      <c r="F961" s="88">
        <v>0.006944444444444444</v>
      </c>
      <c r="G961" s="4" t="s">
        <v>1094</v>
      </c>
      <c r="H961" s="27"/>
      <c r="I961" s="4" t="s">
        <v>226</v>
      </c>
      <c r="J961" s="81"/>
    </row>
    <row r="962">
      <c r="A962" s="89"/>
      <c r="B962" s="4" t="s">
        <v>391</v>
      </c>
      <c r="D962" s="83" t="s">
        <v>224</v>
      </c>
      <c r="E962" s="83" t="s">
        <v>1059</v>
      </c>
      <c r="F962" s="88">
        <v>0.006944444444444444</v>
      </c>
      <c r="G962" s="4" t="s">
        <v>1095</v>
      </c>
      <c r="H962" s="27"/>
      <c r="I962" s="4" t="s">
        <v>226</v>
      </c>
      <c r="J962" s="81"/>
    </row>
    <row r="963">
      <c r="A963" s="89"/>
      <c r="B963" s="4" t="s">
        <v>391</v>
      </c>
      <c r="D963" s="83" t="s">
        <v>224</v>
      </c>
      <c r="E963" s="83" t="s">
        <v>1059</v>
      </c>
      <c r="F963" s="88">
        <v>0.006944444444444444</v>
      </c>
      <c r="G963" s="4" t="s">
        <v>1096</v>
      </c>
      <c r="H963" s="27"/>
      <c r="I963" s="4" t="s">
        <v>226</v>
      </c>
      <c r="J963" s="81"/>
    </row>
    <row r="964">
      <c r="A964" s="89"/>
      <c r="B964" s="4" t="s">
        <v>391</v>
      </c>
      <c r="D964" s="83" t="s">
        <v>224</v>
      </c>
      <c r="E964" s="83" t="s">
        <v>1059</v>
      </c>
      <c r="F964" s="88">
        <v>0.006944444444444444</v>
      </c>
      <c r="G964" s="4" t="s">
        <v>1097</v>
      </c>
      <c r="H964" s="27"/>
      <c r="I964" s="4" t="s">
        <v>226</v>
      </c>
      <c r="J964" s="81"/>
    </row>
    <row r="965">
      <c r="A965" s="89"/>
      <c r="B965" s="4" t="s">
        <v>418</v>
      </c>
      <c r="C965" s="4" t="s">
        <v>432</v>
      </c>
      <c r="D965" s="83" t="s">
        <v>224</v>
      </c>
      <c r="E965" s="83" t="s">
        <v>1059</v>
      </c>
      <c r="F965" s="88">
        <v>0.006944444444444444</v>
      </c>
      <c r="G965" s="4" t="s">
        <v>1067</v>
      </c>
      <c r="H965" s="27"/>
      <c r="I965" s="4" t="s">
        <v>226</v>
      </c>
      <c r="J965" s="81"/>
    </row>
    <row r="966">
      <c r="A966" s="89"/>
      <c r="B966" s="4" t="s">
        <v>418</v>
      </c>
      <c r="C966" s="4" t="s">
        <v>432</v>
      </c>
      <c r="D966" s="83" t="s">
        <v>224</v>
      </c>
      <c r="E966" s="83" t="s">
        <v>1059</v>
      </c>
      <c r="F966" s="88">
        <v>0.006944444444444444</v>
      </c>
      <c r="G966" s="4" t="s">
        <v>1098</v>
      </c>
      <c r="H966" s="27"/>
      <c r="I966" s="4" t="s">
        <v>226</v>
      </c>
      <c r="J966" s="81"/>
    </row>
    <row r="967">
      <c r="A967" s="89"/>
      <c r="B967" s="4" t="s">
        <v>418</v>
      </c>
      <c r="C967" s="4" t="s">
        <v>432</v>
      </c>
      <c r="D967" s="83" t="s">
        <v>224</v>
      </c>
      <c r="E967" s="83" t="s">
        <v>1059</v>
      </c>
      <c r="F967" s="88">
        <v>0.006944444444444444</v>
      </c>
      <c r="G967" s="4" t="s">
        <v>164</v>
      </c>
      <c r="H967" s="27"/>
      <c r="I967" s="4" t="s">
        <v>226</v>
      </c>
      <c r="J967" s="81"/>
    </row>
    <row r="968">
      <c r="A968" s="89"/>
      <c r="B968" s="4" t="s">
        <v>418</v>
      </c>
      <c r="C968" s="4" t="s">
        <v>419</v>
      </c>
      <c r="D968" s="83" t="s">
        <v>224</v>
      </c>
      <c r="E968" s="83" t="s">
        <v>1059</v>
      </c>
      <c r="F968" s="88">
        <v>0.006944444444444444</v>
      </c>
      <c r="G968" s="4" t="s">
        <v>1067</v>
      </c>
      <c r="H968" s="27"/>
      <c r="I968" s="4" t="s">
        <v>226</v>
      </c>
      <c r="J968" s="81"/>
    </row>
    <row r="969">
      <c r="A969" s="89"/>
      <c r="B969" s="4" t="s">
        <v>418</v>
      </c>
      <c r="C969" s="4" t="s">
        <v>419</v>
      </c>
      <c r="D969" s="83" t="s">
        <v>224</v>
      </c>
      <c r="E969" s="83" t="s">
        <v>1059</v>
      </c>
      <c r="F969" s="88">
        <v>0.006944444444444444</v>
      </c>
      <c r="G969" s="4" t="s">
        <v>1098</v>
      </c>
      <c r="H969" s="27"/>
      <c r="I969" s="4" t="s">
        <v>226</v>
      </c>
      <c r="J969" s="81"/>
    </row>
    <row r="970">
      <c r="A970" s="89"/>
      <c r="B970" s="4" t="s">
        <v>418</v>
      </c>
      <c r="C970" s="4" t="s">
        <v>419</v>
      </c>
      <c r="D970" s="83" t="s">
        <v>224</v>
      </c>
      <c r="E970" s="83" t="s">
        <v>1059</v>
      </c>
      <c r="F970" s="88">
        <v>0.006944444444444444</v>
      </c>
      <c r="G970" s="4" t="s">
        <v>164</v>
      </c>
      <c r="H970" s="27"/>
      <c r="I970" s="4" t="s">
        <v>226</v>
      </c>
      <c r="J970" s="81"/>
    </row>
    <row r="971">
      <c r="A971" s="89"/>
      <c r="B971" s="4" t="s">
        <v>418</v>
      </c>
      <c r="C971" s="4" t="s">
        <v>429</v>
      </c>
      <c r="D971" s="83" t="s">
        <v>224</v>
      </c>
      <c r="E971" s="83" t="s">
        <v>1059</v>
      </c>
      <c r="F971" s="88">
        <v>0.006944444444444444</v>
      </c>
      <c r="G971" s="4" t="s">
        <v>1067</v>
      </c>
      <c r="H971" s="27"/>
      <c r="I971" s="4" t="s">
        <v>226</v>
      </c>
      <c r="J971" s="81"/>
    </row>
    <row r="972">
      <c r="A972" s="89"/>
      <c r="B972" s="4" t="s">
        <v>418</v>
      </c>
      <c r="C972" s="4" t="s">
        <v>429</v>
      </c>
      <c r="D972" s="83" t="s">
        <v>224</v>
      </c>
      <c r="E972" s="83" t="s">
        <v>1059</v>
      </c>
      <c r="F972" s="88">
        <v>0.006944444444444444</v>
      </c>
      <c r="G972" s="4" t="s">
        <v>1098</v>
      </c>
      <c r="H972" s="27"/>
      <c r="I972" s="4" t="s">
        <v>226</v>
      </c>
      <c r="J972" s="81"/>
    </row>
    <row r="973">
      <c r="A973" s="89"/>
      <c r="B973" s="4" t="s">
        <v>418</v>
      </c>
      <c r="C973" s="4" t="s">
        <v>429</v>
      </c>
      <c r="D973" s="83" t="s">
        <v>224</v>
      </c>
      <c r="E973" s="83" t="s">
        <v>1059</v>
      </c>
      <c r="F973" s="88">
        <v>0.006944444444444444</v>
      </c>
      <c r="G973" s="4" t="s">
        <v>164</v>
      </c>
      <c r="H973" s="27"/>
      <c r="I973" s="4" t="s">
        <v>226</v>
      </c>
      <c r="J973" s="81"/>
    </row>
    <row r="974">
      <c r="A974" s="89"/>
      <c r="B974" s="4" t="s">
        <v>418</v>
      </c>
      <c r="C974" s="4" t="s">
        <v>421</v>
      </c>
      <c r="D974" s="83" t="s">
        <v>224</v>
      </c>
      <c r="E974" s="83" t="s">
        <v>1059</v>
      </c>
      <c r="F974" s="88">
        <v>0.006944444444444444</v>
      </c>
      <c r="G974" s="4" t="s">
        <v>1067</v>
      </c>
      <c r="H974" s="27"/>
      <c r="I974" s="4" t="s">
        <v>226</v>
      </c>
      <c r="J974" s="81"/>
    </row>
    <row r="975">
      <c r="A975" s="89"/>
      <c r="B975" s="4" t="s">
        <v>418</v>
      </c>
      <c r="C975" s="4" t="s">
        <v>421</v>
      </c>
      <c r="D975" s="83" t="s">
        <v>224</v>
      </c>
      <c r="E975" s="83" t="s">
        <v>1059</v>
      </c>
      <c r="F975" s="88">
        <v>0.006944444444444444</v>
      </c>
      <c r="G975" s="4" t="s">
        <v>1098</v>
      </c>
      <c r="H975" s="27"/>
      <c r="I975" s="4" t="s">
        <v>226</v>
      </c>
      <c r="J975" s="81"/>
    </row>
    <row r="976">
      <c r="A976" s="89"/>
      <c r="B976" s="4" t="s">
        <v>418</v>
      </c>
      <c r="C976" s="4" t="s">
        <v>421</v>
      </c>
      <c r="D976" s="83" t="s">
        <v>224</v>
      </c>
      <c r="E976" s="83" t="s">
        <v>1059</v>
      </c>
      <c r="F976" s="88">
        <v>0.006944444444444444</v>
      </c>
      <c r="G976" s="4" t="s">
        <v>164</v>
      </c>
      <c r="H976" s="27"/>
      <c r="I976" s="4" t="s">
        <v>226</v>
      </c>
      <c r="J976" s="81"/>
    </row>
    <row r="977">
      <c r="A977" s="89"/>
      <c r="B977" s="4" t="s">
        <v>438</v>
      </c>
      <c r="C977" s="4" t="s">
        <v>223</v>
      </c>
      <c r="D977" s="83" t="s">
        <v>224</v>
      </c>
      <c r="E977" s="83" t="s">
        <v>1059</v>
      </c>
      <c r="F977" s="88">
        <v>0.006944444444444444</v>
      </c>
      <c r="G977" s="4" t="s">
        <v>123</v>
      </c>
      <c r="H977" s="27"/>
      <c r="I977" s="4" t="s">
        <v>226</v>
      </c>
      <c r="J977" s="81"/>
    </row>
    <row r="978">
      <c r="A978" s="89"/>
      <c r="B978" s="4" t="s">
        <v>438</v>
      </c>
      <c r="C978" s="4" t="s">
        <v>223</v>
      </c>
      <c r="D978" s="83" t="s">
        <v>224</v>
      </c>
      <c r="E978" s="83" t="s">
        <v>1059</v>
      </c>
      <c r="F978" s="88">
        <v>0.006944444444444444</v>
      </c>
      <c r="G978" s="4" t="s">
        <v>1099</v>
      </c>
      <c r="H978" s="27"/>
      <c r="I978" s="4" t="s">
        <v>226</v>
      </c>
      <c r="J978" s="81"/>
    </row>
    <row r="979">
      <c r="A979" s="89"/>
      <c r="B979" s="4" t="s">
        <v>438</v>
      </c>
      <c r="C979" s="4" t="s">
        <v>223</v>
      </c>
      <c r="D979" s="83" t="s">
        <v>224</v>
      </c>
      <c r="E979" s="83" t="s">
        <v>1059</v>
      </c>
      <c r="F979" s="88">
        <v>0.006944444444444444</v>
      </c>
      <c r="G979" s="4" t="s">
        <v>141</v>
      </c>
      <c r="H979" s="27"/>
      <c r="I979" s="4" t="s">
        <v>226</v>
      </c>
      <c r="J979" s="81"/>
    </row>
    <row r="980">
      <c r="A980" s="89"/>
      <c r="B980" s="4" t="s">
        <v>438</v>
      </c>
      <c r="C980" s="4" t="s">
        <v>223</v>
      </c>
      <c r="D980" s="83" t="s">
        <v>224</v>
      </c>
      <c r="E980" s="83" t="s">
        <v>1059</v>
      </c>
      <c r="F980" s="88">
        <v>0.006944444444444444</v>
      </c>
      <c r="G980" s="4" t="s">
        <v>1100</v>
      </c>
      <c r="H980" s="27"/>
      <c r="I980" s="4" t="s">
        <v>226</v>
      </c>
      <c r="J980" s="81"/>
    </row>
    <row r="981">
      <c r="A981" s="89"/>
      <c r="B981" s="4" t="s">
        <v>438</v>
      </c>
      <c r="C981" s="4" t="s">
        <v>223</v>
      </c>
      <c r="D981" s="83" t="s">
        <v>224</v>
      </c>
      <c r="E981" s="83" t="s">
        <v>1059</v>
      </c>
      <c r="F981" s="88">
        <v>0.006944444444444444</v>
      </c>
      <c r="G981" s="4" t="s">
        <v>1101</v>
      </c>
      <c r="H981" s="27"/>
      <c r="I981" s="4" t="s">
        <v>226</v>
      </c>
      <c r="J981" s="81"/>
    </row>
    <row r="982">
      <c r="A982" s="89"/>
      <c r="B982" s="4" t="s">
        <v>438</v>
      </c>
      <c r="C982" s="4" t="s">
        <v>223</v>
      </c>
      <c r="D982" s="83" t="s">
        <v>224</v>
      </c>
      <c r="E982" s="83" t="s">
        <v>1059</v>
      </c>
      <c r="F982" s="88">
        <v>0.006944444444444444</v>
      </c>
      <c r="G982" s="4" t="s">
        <v>1102</v>
      </c>
      <c r="H982" s="27"/>
      <c r="I982" s="4" t="s">
        <v>226</v>
      </c>
      <c r="J982" s="81"/>
    </row>
    <row r="983">
      <c r="A983" s="89"/>
      <c r="B983" s="4" t="s">
        <v>438</v>
      </c>
      <c r="C983" s="4" t="s">
        <v>223</v>
      </c>
      <c r="D983" s="83" t="s">
        <v>224</v>
      </c>
      <c r="E983" s="83" t="s">
        <v>1059</v>
      </c>
      <c r="F983" s="88">
        <v>0.006944444444444444</v>
      </c>
      <c r="G983" s="4" t="s">
        <v>1103</v>
      </c>
      <c r="H983" s="27"/>
      <c r="I983" s="4" t="s">
        <v>226</v>
      </c>
      <c r="J983" s="81"/>
    </row>
    <row r="984">
      <c r="A984" s="89"/>
      <c r="B984" s="83" t="s">
        <v>438</v>
      </c>
      <c r="C984" s="100" t="s">
        <v>242</v>
      </c>
      <c r="D984" s="83" t="s">
        <v>224</v>
      </c>
      <c r="E984" s="83" t="s">
        <v>1059</v>
      </c>
      <c r="F984" s="88">
        <v>0.006944444444444444</v>
      </c>
      <c r="G984" s="4" t="s">
        <v>123</v>
      </c>
      <c r="H984" s="27"/>
      <c r="I984" s="4" t="s">
        <v>226</v>
      </c>
      <c r="J984" s="81"/>
    </row>
    <row r="985">
      <c r="A985" s="89"/>
      <c r="B985" s="83" t="s">
        <v>438</v>
      </c>
      <c r="C985" s="100" t="s">
        <v>242</v>
      </c>
      <c r="D985" s="83" t="s">
        <v>224</v>
      </c>
      <c r="E985" s="83" t="s">
        <v>1059</v>
      </c>
      <c r="F985" s="88">
        <v>0.006944444444444444</v>
      </c>
      <c r="G985" s="4" t="s">
        <v>1099</v>
      </c>
      <c r="H985" s="27"/>
      <c r="I985" s="4" t="s">
        <v>226</v>
      </c>
      <c r="J985" s="81"/>
    </row>
    <row r="986">
      <c r="A986" s="89"/>
      <c r="B986" s="83" t="s">
        <v>438</v>
      </c>
      <c r="C986" s="100" t="s">
        <v>242</v>
      </c>
      <c r="D986" s="83" t="s">
        <v>224</v>
      </c>
      <c r="E986" s="83" t="s">
        <v>1059</v>
      </c>
      <c r="F986" s="88">
        <v>0.006944444444444444</v>
      </c>
      <c r="G986" s="4" t="s">
        <v>141</v>
      </c>
      <c r="H986" s="27"/>
      <c r="I986" s="4" t="s">
        <v>226</v>
      </c>
      <c r="J986" s="81"/>
    </row>
    <row r="987">
      <c r="A987" s="89"/>
      <c r="B987" s="83" t="s">
        <v>438</v>
      </c>
      <c r="C987" s="100" t="s">
        <v>242</v>
      </c>
      <c r="D987" s="83" t="s">
        <v>224</v>
      </c>
      <c r="E987" s="83" t="s">
        <v>1059</v>
      </c>
      <c r="F987" s="88">
        <v>0.006944444444444444</v>
      </c>
      <c r="G987" s="4" t="s">
        <v>1100</v>
      </c>
      <c r="H987" s="27"/>
      <c r="I987" s="4" t="s">
        <v>226</v>
      </c>
      <c r="J987" s="81"/>
    </row>
    <row r="988">
      <c r="A988" s="89"/>
      <c r="B988" s="83" t="s">
        <v>438</v>
      </c>
      <c r="C988" s="100" t="s">
        <v>242</v>
      </c>
      <c r="D988" s="83" t="s">
        <v>224</v>
      </c>
      <c r="E988" s="83" t="s">
        <v>1059</v>
      </c>
      <c r="F988" s="88">
        <v>0.006944444444444444</v>
      </c>
      <c r="G988" s="4" t="s">
        <v>1101</v>
      </c>
      <c r="H988" s="27"/>
      <c r="I988" s="4" t="s">
        <v>226</v>
      </c>
      <c r="J988" s="81"/>
    </row>
    <row r="989">
      <c r="A989" s="89"/>
      <c r="B989" s="83" t="s">
        <v>438</v>
      </c>
      <c r="C989" s="100" t="s">
        <v>242</v>
      </c>
      <c r="D989" s="83" t="s">
        <v>224</v>
      </c>
      <c r="E989" s="83" t="s">
        <v>1059</v>
      </c>
      <c r="F989" s="88">
        <v>0.006944444444444444</v>
      </c>
      <c r="G989" s="4" t="s">
        <v>1102</v>
      </c>
      <c r="H989" s="27"/>
      <c r="I989" s="4" t="s">
        <v>226</v>
      </c>
      <c r="J989" s="81"/>
    </row>
    <row r="990">
      <c r="A990" s="89"/>
      <c r="B990" s="83" t="s">
        <v>438</v>
      </c>
      <c r="C990" s="100" t="s">
        <v>242</v>
      </c>
      <c r="D990" s="83" t="s">
        <v>224</v>
      </c>
      <c r="E990" s="83" t="s">
        <v>1059</v>
      </c>
      <c r="F990" s="88">
        <v>0.006944444444444444</v>
      </c>
      <c r="G990" s="4" t="s">
        <v>1103</v>
      </c>
      <c r="H990" s="27"/>
      <c r="I990" s="4" t="s">
        <v>226</v>
      </c>
      <c r="J990" s="81"/>
    </row>
    <row r="991">
      <c r="A991" s="89"/>
      <c r="B991" s="83" t="s">
        <v>438</v>
      </c>
      <c r="C991" s="100" t="s">
        <v>443</v>
      </c>
      <c r="D991" s="83" t="s">
        <v>224</v>
      </c>
      <c r="E991" s="83" t="s">
        <v>1059</v>
      </c>
      <c r="F991" s="88">
        <v>0.006944444444444444</v>
      </c>
      <c r="G991" s="4" t="s">
        <v>123</v>
      </c>
      <c r="H991" s="27"/>
      <c r="I991" s="4" t="s">
        <v>226</v>
      </c>
      <c r="J991" s="81"/>
    </row>
    <row r="992">
      <c r="A992" s="89"/>
      <c r="B992" s="83" t="s">
        <v>438</v>
      </c>
      <c r="C992" s="100" t="s">
        <v>443</v>
      </c>
      <c r="D992" s="83" t="s">
        <v>224</v>
      </c>
      <c r="E992" s="83" t="s">
        <v>1059</v>
      </c>
      <c r="F992" s="88">
        <v>0.006944444444444444</v>
      </c>
      <c r="G992" s="4" t="s">
        <v>1099</v>
      </c>
      <c r="H992" s="27"/>
      <c r="I992" s="4" t="s">
        <v>226</v>
      </c>
      <c r="J992" s="81"/>
    </row>
    <row r="993">
      <c r="A993" s="89"/>
      <c r="B993" s="83" t="s">
        <v>438</v>
      </c>
      <c r="C993" s="100" t="s">
        <v>443</v>
      </c>
      <c r="D993" s="83" t="s">
        <v>224</v>
      </c>
      <c r="E993" s="83" t="s">
        <v>1059</v>
      </c>
      <c r="F993" s="88">
        <v>0.006944444444444444</v>
      </c>
      <c r="G993" s="4" t="s">
        <v>141</v>
      </c>
      <c r="H993" s="27"/>
      <c r="I993" s="4" t="s">
        <v>226</v>
      </c>
      <c r="J993" s="81"/>
    </row>
    <row r="994">
      <c r="A994" s="89"/>
      <c r="B994" s="83" t="s">
        <v>438</v>
      </c>
      <c r="C994" s="100" t="s">
        <v>443</v>
      </c>
      <c r="D994" s="83" t="s">
        <v>224</v>
      </c>
      <c r="E994" s="83" t="s">
        <v>1059</v>
      </c>
      <c r="F994" s="88">
        <v>0.006944444444444444</v>
      </c>
      <c r="G994" s="4" t="s">
        <v>1100</v>
      </c>
      <c r="H994" s="27"/>
      <c r="I994" s="4" t="s">
        <v>226</v>
      </c>
      <c r="J994" s="81"/>
    </row>
    <row r="995">
      <c r="A995" s="89"/>
      <c r="B995" s="83" t="s">
        <v>438</v>
      </c>
      <c r="C995" s="100" t="s">
        <v>443</v>
      </c>
      <c r="D995" s="83" t="s">
        <v>224</v>
      </c>
      <c r="E995" s="83" t="s">
        <v>1059</v>
      </c>
      <c r="F995" s="88">
        <v>0.006944444444444444</v>
      </c>
      <c r="G995" s="4" t="s">
        <v>1101</v>
      </c>
      <c r="H995" s="27"/>
      <c r="I995" s="4" t="s">
        <v>226</v>
      </c>
      <c r="J995" s="81"/>
    </row>
    <row r="996">
      <c r="A996" s="89"/>
      <c r="B996" s="83" t="s">
        <v>438</v>
      </c>
      <c r="C996" s="100" t="s">
        <v>443</v>
      </c>
      <c r="D996" s="83" t="s">
        <v>224</v>
      </c>
      <c r="E996" s="83" t="s">
        <v>1059</v>
      </c>
      <c r="F996" s="88">
        <v>0.006944444444444444</v>
      </c>
      <c r="G996" s="4" t="s">
        <v>1102</v>
      </c>
      <c r="H996" s="27"/>
      <c r="I996" s="4" t="s">
        <v>226</v>
      </c>
      <c r="J996" s="81"/>
    </row>
    <row r="997">
      <c r="A997" s="89"/>
      <c r="B997" s="83" t="s">
        <v>438</v>
      </c>
      <c r="C997" s="100" t="s">
        <v>443</v>
      </c>
      <c r="D997" s="83" t="s">
        <v>224</v>
      </c>
      <c r="E997" s="83" t="s">
        <v>1059</v>
      </c>
      <c r="F997" s="88">
        <v>0.006944444444444444</v>
      </c>
      <c r="G997" s="4" t="s">
        <v>1103</v>
      </c>
      <c r="H997" s="27"/>
      <c r="I997" s="4" t="s">
        <v>226</v>
      </c>
      <c r="J997" s="81"/>
    </row>
    <row r="998">
      <c r="A998" s="89"/>
      <c r="B998" s="83" t="s">
        <v>438</v>
      </c>
      <c r="C998" s="101" t="s">
        <v>441</v>
      </c>
      <c r="D998" s="83" t="s">
        <v>224</v>
      </c>
      <c r="E998" s="83" t="s">
        <v>1059</v>
      </c>
      <c r="F998" s="88">
        <v>0.006944444444444444</v>
      </c>
      <c r="G998" s="4" t="s">
        <v>123</v>
      </c>
      <c r="H998" s="27"/>
      <c r="I998" s="4" t="s">
        <v>226</v>
      </c>
      <c r="J998" s="81"/>
    </row>
    <row r="999">
      <c r="A999" s="89"/>
      <c r="B999" s="83" t="s">
        <v>438</v>
      </c>
      <c r="C999" s="101" t="s">
        <v>441</v>
      </c>
      <c r="D999" s="83" t="s">
        <v>224</v>
      </c>
      <c r="E999" s="83" t="s">
        <v>1059</v>
      </c>
      <c r="F999" s="88">
        <v>0.006944444444444444</v>
      </c>
      <c r="G999" s="4" t="s">
        <v>1099</v>
      </c>
      <c r="H999" s="27"/>
      <c r="I999" s="4" t="s">
        <v>226</v>
      </c>
      <c r="J999" s="81"/>
    </row>
    <row r="1000">
      <c r="A1000" s="89"/>
      <c r="B1000" s="83" t="s">
        <v>438</v>
      </c>
      <c r="C1000" s="101" t="s">
        <v>441</v>
      </c>
      <c r="D1000" s="83" t="s">
        <v>224</v>
      </c>
      <c r="E1000" s="83" t="s">
        <v>1059</v>
      </c>
      <c r="F1000" s="88">
        <v>0.006944444444444444</v>
      </c>
      <c r="G1000" s="4" t="s">
        <v>141</v>
      </c>
      <c r="H1000" s="27"/>
      <c r="I1000" s="4" t="s">
        <v>226</v>
      </c>
      <c r="J1000" s="81"/>
    </row>
    <row r="1001">
      <c r="A1001" s="89"/>
      <c r="B1001" s="83" t="s">
        <v>438</v>
      </c>
      <c r="C1001" s="101" t="s">
        <v>441</v>
      </c>
      <c r="D1001" s="83" t="s">
        <v>224</v>
      </c>
      <c r="E1001" s="83" t="s">
        <v>1059</v>
      </c>
      <c r="F1001" s="88">
        <v>0.006944444444444444</v>
      </c>
      <c r="G1001" s="4" t="s">
        <v>1100</v>
      </c>
      <c r="H1001" s="27"/>
      <c r="I1001" s="4" t="s">
        <v>226</v>
      </c>
      <c r="J1001" s="81"/>
    </row>
    <row r="1002">
      <c r="A1002" s="89"/>
      <c r="B1002" s="83" t="s">
        <v>438</v>
      </c>
      <c r="C1002" s="101" t="s">
        <v>441</v>
      </c>
      <c r="D1002" s="83" t="s">
        <v>224</v>
      </c>
      <c r="E1002" s="83" t="s">
        <v>1059</v>
      </c>
      <c r="F1002" s="88">
        <v>0.006944444444444444</v>
      </c>
      <c r="G1002" s="4" t="s">
        <v>1101</v>
      </c>
      <c r="H1002" s="27"/>
      <c r="I1002" s="4" t="s">
        <v>226</v>
      </c>
      <c r="J1002" s="81"/>
    </row>
    <row r="1003">
      <c r="A1003" s="89"/>
      <c r="B1003" s="83" t="s">
        <v>438</v>
      </c>
      <c r="C1003" s="101" t="s">
        <v>441</v>
      </c>
      <c r="D1003" s="83" t="s">
        <v>224</v>
      </c>
      <c r="E1003" s="83" t="s">
        <v>1059</v>
      </c>
      <c r="F1003" s="88">
        <v>0.006944444444444444</v>
      </c>
      <c r="G1003" s="4" t="s">
        <v>1102</v>
      </c>
      <c r="H1003" s="27"/>
      <c r="I1003" s="4" t="s">
        <v>226</v>
      </c>
      <c r="J1003" s="81"/>
    </row>
    <row r="1004">
      <c r="A1004" s="89"/>
      <c r="B1004" s="83" t="s">
        <v>438</v>
      </c>
      <c r="C1004" s="101" t="s">
        <v>441</v>
      </c>
      <c r="D1004" s="83" t="s">
        <v>224</v>
      </c>
      <c r="E1004" s="83" t="s">
        <v>1059</v>
      </c>
      <c r="F1004" s="88">
        <v>0.006944444444444444</v>
      </c>
      <c r="G1004" s="4" t="s">
        <v>1104</v>
      </c>
      <c r="H1004" s="27"/>
      <c r="I1004" s="4" t="s">
        <v>226</v>
      </c>
      <c r="J1004" s="81"/>
    </row>
    <row r="1005">
      <c r="A1005" s="89"/>
      <c r="B1005" s="4" t="s">
        <v>1105</v>
      </c>
      <c r="C1005" s="4" t="s">
        <v>223</v>
      </c>
      <c r="D1005" s="83" t="s">
        <v>224</v>
      </c>
      <c r="E1005" s="83" t="s">
        <v>1059</v>
      </c>
      <c r="F1005" s="88">
        <v>0.006944444444444444</v>
      </c>
      <c r="G1005" s="4" t="s">
        <v>171</v>
      </c>
      <c r="H1005" s="27"/>
      <c r="I1005" s="4" t="s">
        <v>226</v>
      </c>
      <c r="J1005" s="81"/>
    </row>
    <row r="1006">
      <c r="A1006" s="89"/>
      <c r="B1006" s="4" t="s">
        <v>1105</v>
      </c>
      <c r="C1006" s="4" t="s">
        <v>223</v>
      </c>
      <c r="D1006" s="83" t="s">
        <v>224</v>
      </c>
      <c r="E1006" s="83" t="s">
        <v>1059</v>
      </c>
      <c r="F1006" s="88">
        <v>0.006944444444444444</v>
      </c>
      <c r="G1006" s="4" t="s">
        <v>123</v>
      </c>
      <c r="H1006" s="27"/>
      <c r="I1006" s="4" t="s">
        <v>226</v>
      </c>
      <c r="J1006" s="81"/>
    </row>
    <row r="1007">
      <c r="A1007" s="89"/>
      <c r="B1007" s="4" t="s">
        <v>1105</v>
      </c>
      <c r="C1007" s="4" t="s">
        <v>223</v>
      </c>
      <c r="D1007" s="83" t="s">
        <v>224</v>
      </c>
      <c r="E1007" s="83" t="s">
        <v>1059</v>
      </c>
      <c r="F1007" s="88">
        <v>0.006944444444444444</v>
      </c>
      <c r="G1007" s="4" t="s">
        <v>175</v>
      </c>
      <c r="H1007" s="27"/>
      <c r="I1007" s="4" t="s">
        <v>226</v>
      </c>
      <c r="J1007" s="81"/>
    </row>
    <row r="1008">
      <c r="A1008" s="89"/>
      <c r="B1008" s="4" t="s">
        <v>1105</v>
      </c>
      <c r="C1008" s="4" t="s">
        <v>223</v>
      </c>
      <c r="D1008" s="83" t="s">
        <v>224</v>
      </c>
      <c r="E1008" s="83" t="s">
        <v>1059</v>
      </c>
      <c r="F1008" s="88">
        <v>0.006944444444444444</v>
      </c>
      <c r="G1008" s="4" t="s">
        <v>1065</v>
      </c>
      <c r="H1008" s="27"/>
      <c r="I1008" s="4" t="s">
        <v>226</v>
      </c>
      <c r="J1008" s="81"/>
    </row>
    <row r="1009">
      <c r="A1009" s="89"/>
      <c r="B1009" s="4" t="s">
        <v>1105</v>
      </c>
      <c r="C1009" s="4" t="s">
        <v>223</v>
      </c>
      <c r="D1009" s="83" t="s">
        <v>224</v>
      </c>
      <c r="E1009" s="83" t="s">
        <v>1059</v>
      </c>
      <c r="F1009" s="88">
        <v>0.006944444444444444</v>
      </c>
      <c r="G1009" s="5" t="s">
        <v>133</v>
      </c>
      <c r="H1009" s="27"/>
      <c r="I1009" s="4" t="s">
        <v>226</v>
      </c>
      <c r="J1009" s="81"/>
    </row>
    <row r="1010">
      <c r="A1010" s="89"/>
      <c r="B1010" s="4" t="s">
        <v>1105</v>
      </c>
      <c r="C1010" s="4" t="s">
        <v>223</v>
      </c>
      <c r="D1010" s="83" t="s">
        <v>224</v>
      </c>
      <c r="E1010" s="83" t="s">
        <v>1059</v>
      </c>
      <c r="F1010" s="88">
        <v>0.006944444444444444</v>
      </c>
      <c r="G1010" s="5" t="s">
        <v>196</v>
      </c>
      <c r="H1010" s="27"/>
      <c r="I1010" s="4" t="s">
        <v>226</v>
      </c>
      <c r="J1010" s="81"/>
    </row>
    <row r="1011">
      <c r="A1011" s="89"/>
      <c r="B1011" s="4" t="s">
        <v>1105</v>
      </c>
      <c r="C1011" s="4" t="s">
        <v>242</v>
      </c>
      <c r="D1011" s="83" t="s">
        <v>224</v>
      </c>
      <c r="E1011" s="83" t="s">
        <v>1059</v>
      </c>
      <c r="F1011" s="88">
        <v>0.006944444444444444</v>
      </c>
      <c r="G1011" s="4" t="s">
        <v>171</v>
      </c>
      <c r="H1011" s="27"/>
      <c r="I1011" s="4" t="s">
        <v>226</v>
      </c>
      <c r="J1011" s="81"/>
    </row>
    <row r="1012">
      <c r="A1012" s="89"/>
      <c r="B1012" s="4" t="s">
        <v>1105</v>
      </c>
      <c r="C1012" s="4" t="s">
        <v>242</v>
      </c>
      <c r="D1012" s="83" t="s">
        <v>224</v>
      </c>
      <c r="E1012" s="83" t="s">
        <v>1059</v>
      </c>
      <c r="F1012" s="88">
        <v>0.006944444444444444</v>
      </c>
      <c r="G1012" s="4" t="s">
        <v>123</v>
      </c>
      <c r="H1012" s="27"/>
      <c r="I1012" s="4" t="s">
        <v>226</v>
      </c>
      <c r="J1012" s="81"/>
    </row>
    <row r="1013">
      <c r="A1013" s="89"/>
      <c r="B1013" s="4" t="s">
        <v>1105</v>
      </c>
      <c r="C1013" s="4" t="s">
        <v>242</v>
      </c>
      <c r="D1013" s="83" t="s">
        <v>224</v>
      </c>
      <c r="E1013" s="83" t="s">
        <v>1059</v>
      </c>
      <c r="F1013" s="88">
        <v>0.006944444444444444</v>
      </c>
      <c r="G1013" s="4" t="s">
        <v>175</v>
      </c>
      <c r="H1013" s="27"/>
      <c r="I1013" s="4" t="s">
        <v>226</v>
      </c>
      <c r="J1013" s="81"/>
    </row>
    <row r="1014">
      <c r="A1014" s="89"/>
      <c r="B1014" s="4" t="s">
        <v>1105</v>
      </c>
      <c r="C1014" s="4" t="s">
        <v>242</v>
      </c>
      <c r="D1014" s="83" t="s">
        <v>224</v>
      </c>
      <c r="E1014" s="83" t="s">
        <v>1059</v>
      </c>
      <c r="F1014" s="88">
        <v>0.006944444444444444</v>
      </c>
      <c r="G1014" s="4" t="s">
        <v>1065</v>
      </c>
      <c r="H1014" s="27"/>
      <c r="I1014" s="4" t="s">
        <v>226</v>
      </c>
      <c r="J1014" s="81"/>
    </row>
    <row r="1015">
      <c r="A1015" s="89"/>
      <c r="B1015" s="4" t="s">
        <v>1105</v>
      </c>
      <c r="C1015" s="4" t="s">
        <v>242</v>
      </c>
      <c r="D1015" s="83" t="s">
        <v>224</v>
      </c>
      <c r="E1015" s="83" t="s">
        <v>1059</v>
      </c>
      <c r="F1015" s="88">
        <v>0.006944444444444444</v>
      </c>
      <c r="G1015" s="5" t="s">
        <v>133</v>
      </c>
      <c r="H1015" s="27"/>
      <c r="I1015" s="4" t="s">
        <v>226</v>
      </c>
      <c r="J1015" s="81"/>
    </row>
    <row r="1016">
      <c r="A1016" s="89"/>
      <c r="B1016" s="4" t="s">
        <v>1105</v>
      </c>
      <c r="C1016" s="4" t="s">
        <v>242</v>
      </c>
      <c r="D1016" s="83" t="s">
        <v>224</v>
      </c>
      <c r="E1016" s="83" t="s">
        <v>1059</v>
      </c>
      <c r="F1016" s="88">
        <v>0.006944444444444444</v>
      </c>
      <c r="G1016" s="5" t="s">
        <v>196</v>
      </c>
      <c r="H1016" s="27"/>
      <c r="I1016" s="4" t="s">
        <v>226</v>
      </c>
      <c r="J1016" s="81"/>
    </row>
    <row r="1017">
      <c r="A1017" s="89"/>
      <c r="B1017" s="4" t="s">
        <v>1106</v>
      </c>
      <c r="C1017" s="4" t="s">
        <v>223</v>
      </c>
      <c r="D1017" s="83" t="s">
        <v>224</v>
      </c>
      <c r="E1017" s="83" t="s">
        <v>1059</v>
      </c>
      <c r="F1017" s="88">
        <v>0.006944444444444444</v>
      </c>
      <c r="G1017" s="4" t="s">
        <v>123</v>
      </c>
      <c r="H1017" s="27"/>
      <c r="I1017" s="4" t="s">
        <v>226</v>
      </c>
      <c r="J1017" s="81"/>
    </row>
    <row r="1018">
      <c r="A1018" s="89"/>
      <c r="B1018" s="4" t="s">
        <v>1106</v>
      </c>
      <c r="C1018" s="4" t="s">
        <v>223</v>
      </c>
      <c r="D1018" s="83" t="s">
        <v>224</v>
      </c>
      <c r="E1018" s="83" t="s">
        <v>1059</v>
      </c>
      <c r="F1018" s="88">
        <v>0.006944444444444444</v>
      </c>
      <c r="G1018" s="4" t="s">
        <v>180</v>
      </c>
      <c r="H1018" s="27"/>
      <c r="I1018" s="4" t="s">
        <v>226</v>
      </c>
      <c r="J1018" s="81"/>
    </row>
    <row r="1019">
      <c r="A1019" s="89"/>
      <c r="B1019" s="4" t="s">
        <v>1106</v>
      </c>
      <c r="C1019" s="4" t="s">
        <v>223</v>
      </c>
      <c r="D1019" s="83" t="s">
        <v>224</v>
      </c>
      <c r="E1019" s="83" t="s">
        <v>1059</v>
      </c>
      <c r="F1019" s="88">
        <v>0.006944444444444444</v>
      </c>
      <c r="G1019" s="4" t="s">
        <v>1107</v>
      </c>
      <c r="H1019" s="27"/>
      <c r="I1019" s="4" t="s">
        <v>226</v>
      </c>
      <c r="J1019" s="81"/>
    </row>
    <row r="1020">
      <c r="A1020" s="89"/>
      <c r="B1020" s="4" t="s">
        <v>1106</v>
      </c>
      <c r="C1020" s="4" t="s">
        <v>223</v>
      </c>
      <c r="D1020" s="83" t="s">
        <v>224</v>
      </c>
      <c r="E1020" s="83" t="s">
        <v>1059</v>
      </c>
      <c r="F1020" s="88">
        <v>0.006944444444444444</v>
      </c>
      <c r="G1020" s="4" t="s">
        <v>191</v>
      </c>
      <c r="H1020" s="27"/>
      <c r="I1020" s="4" t="s">
        <v>226</v>
      </c>
      <c r="J1020" s="81"/>
    </row>
    <row r="1021">
      <c r="A1021" s="89"/>
      <c r="B1021" s="4" t="s">
        <v>1106</v>
      </c>
      <c r="C1021" s="4" t="s">
        <v>223</v>
      </c>
      <c r="D1021" s="83" t="s">
        <v>224</v>
      </c>
      <c r="E1021" s="83" t="s">
        <v>1059</v>
      </c>
      <c r="F1021" s="88">
        <v>0.006944444444444444</v>
      </c>
      <c r="G1021" s="4" t="s">
        <v>126</v>
      </c>
      <c r="H1021" s="27"/>
      <c r="I1021" s="4" t="s">
        <v>226</v>
      </c>
      <c r="J1021" s="81"/>
    </row>
    <row r="1022">
      <c r="A1022" s="89"/>
      <c r="B1022" s="4" t="s">
        <v>1106</v>
      </c>
      <c r="C1022" s="4" t="s">
        <v>223</v>
      </c>
      <c r="D1022" s="83" t="s">
        <v>224</v>
      </c>
      <c r="E1022" s="83" t="s">
        <v>1059</v>
      </c>
      <c r="F1022" s="88">
        <v>0.006944444444444444</v>
      </c>
      <c r="G1022" s="4" t="s">
        <v>124</v>
      </c>
      <c r="H1022" s="27"/>
      <c r="I1022" s="4" t="s">
        <v>226</v>
      </c>
      <c r="J1022" s="81"/>
    </row>
    <row r="1023">
      <c r="A1023" s="89"/>
      <c r="B1023" s="4" t="s">
        <v>1106</v>
      </c>
      <c r="C1023" s="4" t="s">
        <v>242</v>
      </c>
      <c r="D1023" s="83" t="s">
        <v>224</v>
      </c>
      <c r="E1023" s="83" t="s">
        <v>1059</v>
      </c>
      <c r="F1023" s="88">
        <v>0.006944444444444444</v>
      </c>
      <c r="G1023" s="4" t="s">
        <v>123</v>
      </c>
      <c r="H1023" s="27"/>
      <c r="I1023" s="4" t="s">
        <v>226</v>
      </c>
      <c r="J1023" s="81"/>
    </row>
    <row r="1024">
      <c r="A1024" s="89"/>
      <c r="B1024" s="4" t="s">
        <v>1106</v>
      </c>
      <c r="C1024" s="4" t="s">
        <v>242</v>
      </c>
      <c r="D1024" s="83" t="s">
        <v>224</v>
      </c>
      <c r="E1024" s="83" t="s">
        <v>1059</v>
      </c>
      <c r="F1024" s="88">
        <v>0.006944444444444444</v>
      </c>
      <c r="G1024" s="4" t="s">
        <v>180</v>
      </c>
      <c r="H1024" s="27"/>
      <c r="I1024" s="4" t="s">
        <v>226</v>
      </c>
      <c r="J1024" s="81"/>
    </row>
    <row r="1025">
      <c r="A1025" s="89"/>
      <c r="B1025" s="4" t="s">
        <v>1106</v>
      </c>
      <c r="C1025" s="4" t="s">
        <v>242</v>
      </c>
      <c r="D1025" s="83" t="s">
        <v>224</v>
      </c>
      <c r="E1025" s="83" t="s">
        <v>1059</v>
      </c>
      <c r="F1025" s="88">
        <v>0.006944444444444444</v>
      </c>
      <c r="G1025" s="4" t="s">
        <v>1107</v>
      </c>
      <c r="H1025" s="27"/>
      <c r="I1025" s="4" t="s">
        <v>226</v>
      </c>
      <c r="J1025" s="81"/>
    </row>
    <row r="1026">
      <c r="A1026" s="89"/>
      <c r="B1026" s="4" t="s">
        <v>1106</v>
      </c>
      <c r="C1026" s="4" t="s">
        <v>242</v>
      </c>
      <c r="D1026" s="83" t="s">
        <v>224</v>
      </c>
      <c r="E1026" s="83" t="s">
        <v>1059</v>
      </c>
      <c r="F1026" s="88">
        <v>0.006944444444444444</v>
      </c>
      <c r="G1026" s="4" t="s">
        <v>191</v>
      </c>
      <c r="H1026" s="27"/>
      <c r="I1026" s="4" t="s">
        <v>226</v>
      </c>
      <c r="J1026" s="81"/>
    </row>
    <row r="1027">
      <c r="A1027" s="89"/>
      <c r="B1027" s="4" t="s">
        <v>1106</v>
      </c>
      <c r="C1027" s="4" t="s">
        <v>242</v>
      </c>
      <c r="D1027" s="83" t="s">
        <v>224</v>
      </c>
      <c r="E1027" s="83" t="s">
        <v>1059</v>
      </c>
      <c r="F1027" s="88">
        <v>0.006944444444444444</v>
      </c>
      <c r="G1027" s="4" t="s">
        <v>126</v>
      </c>
      <c r="H1027" s="27"/>
      <c r="I1027" s="4" t="s">
        <v>226</v>
      </c>
      <c r="J1027" s="81"/>
    </row>
    <row r="1028">
      <c r="A1028" s="89"/>
      <c r="B1028" s="4" t="s">
        <v>1106</v>
      </c>
      <c r="C1028" s="4" t="s">
        <v>242</v>
      </c>
      <c r="D1028" s="83" t="s">
        <v>224</v>
      </c>
      <c r="E1028" s="83" t="s">
        <v>1059</v>
      </c>
      <c r="F1028" s="88">
        <v>0.006944444444444444</v>
      </c>
      <c r="G1028" s="4" t="s">
        <v>124</v>
      </c>
      <c r="H1028" s="27"/>
      <c r="I1028" s="4" t="s">
        <v>226</v>
      </c>
      <c r="J1028" s="81"/>
    </row>
    <row r="1029">
      <c r="A1029" s="89"/>
      <c r="B1029" s="4" t="s">
        <v>389</v>
      </c>
      <c r="C1029" s="4" t="s">
        <v>223</v>
      </c>
      <c r="D1029" s="83" t="s">
        <v>224</v>
      </c>
      <c r="E1029" s="83" t="s">
        <v>1059</v>
      </c>
      <c r="F1029" s="88">
        <v>0.006944444444444444</v>
      </c>
      <c r="G1029" s="4" t="s">
        <v>1108</v>
      </c>
      <c r="H1029" s="27"/>
      <c r="I1029" s="4" t="s">
        <v>226</v>
      </c>
      <c r="J1029" s="81"/>
    </row>
    <row r="1030">
      <c r="A1030" s="89"/>
      <c r="B1030" s="4" t="s">
        <v>389</v>
      </c>
      <c r="C1030" s="4" t="s">
        <v>223</v>
      </c>
      <c r="D1030" s="83" t="s">
        <v>224</v>
      </c>
      <c r="E1030" s="83" t="s">
        <v>1059</v>
      </c>
      <c r="F1030" s="88">
        <v>0.006944444444444444</v>
      </c>
      <c r="G1030" s="4" t="s">
        <v>1109</v>
      </c>
      <c r="H1030" s="27"/>
      <c r="I1030" s="4" t="s">
        <v>226</v>
      </c>
      <c r="J1030" s="81"/>
    </row>
    <row r="1031">
      <c r="A1031" s="89"/>
      <c r="B1031" s="4" t="s">
        <v>389</v>
      </c>
      <c r="C1031" s="4" t="s">
        <v>223</v>
      </c>
      <c r="D1031" s="83" t="s">
        <v>224</v>
      </c>
      <c r="E1031" s="83" t="s">
        <v>1059</v>
      </c>
      <c r="F1031" s="88">
        <v>0.006944444444444444</v>
      </c>
      <c r="G1031" s="4" t="s">
        <v>123</v>
      </c>
      <c r="H1031" s="27"/>
      <c r="I1031" s="4" t="s">
        <v>226</v>
      </c>
      <c r="J1031" s="81"/>
    </row>
    <row r="1032">
      <c r="A1032" s="89"/>
      <c r="B1032" s="4" t="s">
        <v>389</v>
      </c>
      <c r="C1032" s="4" t="s">
        <v>223</v>
      </c>
      <c r="D1032" s="83" t="s">
        <v>224</v>
      </c>
      <c r="E1032" s="83" t="s">
        <v>1059</v>
      </c>
      <c r="F1032" s="88">
        <v>0.006944444444444444</v>
      </c>
      <c r="G1032" s="4" t="s">
        <v>124</v>
      </c>
      <c r="H1032" s="27"/>
      <c r="I1032" s="4" t="s">
        <v>226</v>
      </c>
      <c r="J1032" s="81"/>
    </row>
    <row r="1033">
      <c r="A1033" s="89"/>
      <c r="B1033" s="4" t="s">
        <v>389</v>
      </c>
      <c r="C1033" s="4" t="s">
        <v>223</v>
      </c>
      <c r="D1033" s="83" t="s">
        <v>224</v>
      </c>
      <c r="E1033" s="83" t="s">
        <v>1059</v>
      </c>
      <c r="F1033" s="88">
        <v>0.006944444444444444</v>
      </c>
      <c r="G1033" s="4" t="s">
        <v>1110</v>
      </c>
      <c r="H1033" s="27"/>
      <c r="I1033" s="4" t="s">
        <v>226</v>
      </c>
      <c r="J1033" s="81"/>
    </row>
    <row r="1034">
      <c r="A1034" s="89"/>
      <c r="B1034" s="4" t="s">
        <v>389</v>
      </c>
      <c r="C1034" s="4" t="s">
        <v>242</v>
      </c>
      <c r="D1034" s="83" t="s">
        <v>224</v>
      </c>
      <c r="E1034" s="83" t="s">
        <v>1059</v>
      </c>
      <c r="F1034" s="88">
        <v>0.006944444444444444</v>
      </c>
      <c r="G1034" s="4" t="s">
        <v>1108</v>
      </c>
      <c r="H1034" s="27"/>
      <c r="I1034" s="4" t="s">
        <v>226</v>
      </c>
      <c r="J1034" s="81"/>
    </row>
    <row r="1035">
      <c r="A1035" s="89"/>
      <c r="B1035" s="4" t="s">
        <v>389</v>
      </c>
      <c r="C1035" s="4" t="s">
        <v>242</v>
      </c>
      <c r="D1035" s="83" t="s">
        <v>224</v>
      </c>
      <c r="E1035" s="83" t="s">
        <v>1059</v>
      </c>
      <c r="F1035" s="88">
        <v>0.006944444444444444</v>
      </c>
      <c r="G1035" s="4" t="s">
        <v>1109</v>
      </c>
      <c r="H1035" s="27"/>
      <c r="I1035" s="4" t="s">
        <v>226</v>
      </c>
      <c r="J1035" s="81"/>
    </row>
    <row r="1036">
      <c r="A1036" s="89"/>
      <c r="B1036" s="4" t="s">
        <v>389</v>
      </c>
      <c r="C1036" s="4" t="s">
        <v>242</v>
      </c>
      <c r="D1036" s="83" t="s">
        <v>224</v>
      </c>
      <c r="E1036" s="83" t="s">
        <v>1059</v>
      </c>
      <c r="F1036" s="88">
        <v>0.006944444444444444</v>
      </c>
      <c r="G1036" s="4" t="s">
        <v>123</v>
      </c>
      <c r="H1036" s="27"/>
      <c r="I1036" s="4" t="s">
        <v>226</v>
      </c>
      <c r="J1036" s="81"/>
    </row>
    <row r="1037">
      <c r="A1037" s="89"/>
      <c r="B1037" s="4" t="s">
        <v>389</v>
      </c>
      <c r="C1037" s="4" t="s">
        <v>242</v>
      </c>
      <c r="D1037" s="83" t="s">
        <v>224</v>
      </c>
      <c r="E1037" s="83" t="s">
        <v>1059</v>
      </c>
      <c r="F1037" s="88">
        <v>0.006944444444444444</v>
      </c>
      <c r="G1037" s="4" t="s">
        <v>124</v>
      </c>
      <c r="H1037" s="27"/>
      <c r="I1037" s="4" t="s">
        <v>226</v>
      </c>
      <c r="J1037" s="81"/>
    </row>
    <row r="1038">
      <c r="A1038" s="89"/>
      <c r="B1038" s="4" t="s">
        <v>389</v>
      </c>
      <c r="C1038" s="4" t="s">
        <v>242</v>
      </c>
      <c r="D1038" s="83" t="s">
        <v>224</v>
      </c>
      <c r="E1038" s="83" t="s">
        <v>1059</v>
      </c>
      <c r="F1038" s="88">
        <v>0.006944444444444444</v>
      </c>
      <c r="G1038" s="4" t="s">
        <v>1110</v>
      </c>
      <c r="H1038" s="27"/>
      <c r="I1038" s="4" t="s">
        <v>226</v>
      </c>
      <c r="J1038" s="81"/>
    </row>
    <row r="1039">
      <c r="A1039" s="89"/>
      <c r="B1039" s="4" t="s">
        <v>856</v>
      </c>
      <c r="C1039" s="4" t="s">
        <v>223</v>
      </c>
      <c r="D1039" s="83" t="s">
        <v>224</v>
      </c>
      <c r="E1039" s="83" t="s">
        <v>1059</v>
      </c>
      <c r="F1039" s="88">
        <v>0.006944444444444444</v>
      </c>
      <c r="G1039" s="4" t="s">
        <v>139</v>
      </c>
      <c r="H1039" s="27"/>
      <c r="I1039" s="4" t="s">
        <v>226</v>
      </c>
      <c r="J1039" s="81"/>
    </row>
    <row r="1040">
      <c r="A1040" s="89"/>
      <c r="B1040" s="4" t="s">
        <v>856</v>
      </c>
      <c r="C1040" s="4" t="s">
        <v>223</v>
      </c>
      <c r="D1040" s="83" t="s">
        <v>224</v>
      </c>
      <c r="E1040" s="83" t="s">
        <v>1059</v>
      </c>
      <c r="F1040" s="88">
        <v>0.006944444444444444</v>
      </c>
      <c r="G1040" s="4" t="s">
        <v>1082</v>
      </c>
      <c r="H1040" s="27"/>
      <c r="I1040" s="4" t="s">
        <v>226</v>
      </c>
      <c r="J1040" s="81"/>
    </row>
    <row r="1041">
      <c r="A1041" s="89"/>
      <c r="B1041" s="4" t="s">
        <v>856</v>
      </c>
      <c r="C1041" s="4" t="s">
        <v>223</v>
      </c>
      <c r="D1041" s="83" t="s">
        <v>224</v>
      </c>
      <c r="E1041" s="83" t="s">
        <v>1059</v>
      </c>
      <c r="F1041" s="88">
        <v>0.006944444444444444</v>
      </c>
      <c r="G1041" s="4" t="s">
        <v>126</v>
      </c>
      <c r="H1041" s="27"/>
      <c r="I1041" s="4" t="s">
        <v>226</v>
      </c>
      <c r="J1041" s="81"/>
    </row>
    <row r="1042">
      <c r="A1042" s="89"/>
      <c r="B1042" s="4" t="s">
        <v>856</v>
      </c>
      <c r="C1042" s="4" t="s">
        <v>223</v>
      </c>
      <c r="D1042" s="83" t="s">
        <v>224</v>
      </c>
      <c r="E1042" s="83" t="s">
        <v>1059</v>
      </c>
      <c r="F1042" s="88">
        <v>0.006944444444444444</v>
      </c>
      <c r="G1042" s="4" t="s">
        <v>561</v>
      </c>
      <c r="H1042" s="27"/>
      <c r="I1042" s="4" t="s">
        <v>226</v>
      </c>
      <c r="J1042" s="81"/>
    </row>
    <row r="1043">
      <c r="A1043" s="89"/>
      <c r="B1043" s="4" t="s">
        <v>856</v>
      </c>
      <c r="C1043" s="4" t="s">
        <v>223</v>
      </c>
      <c r="D1043" s="83" t="s">
        <v>224</v>
      </c>
      <c r="E1043" s="83" t="s">
        <v>1059</v>
      </c>
      <c r="F1043" s="88">
        <v>0.006944444444444444</v>
      </c>
      <c r="G1043" s="4" t="s">
        <v>1090</v>
      </c>
      <c r="H1043" s="27"/>
      <c r="I1043" s="4" t="s">
        <v>226</v>
      </c>
      <c r="J1043" s="81"/>
    </row>
    <row r="1044">
      <c r="A1044" s="89"/>
      <c r="B1044" s="4" t="s">
        <v>856</v>
      </c>
      <c r="C1044" s="4" t="s">
        <v>223</v>
      </c>
      <c r="D1044" s="83" t="s">
        <v>224</v>
      </c>
      <c r="E1044" s="83" t="s">
        <v>1059</v>
      </c>
      <c r="F1044" s="88">
        <v>0.006944444444444444</v>
      </c>
      <c r="G1044" s="4" t="s">
        <v>169</v>
      </c>
      <c r="H1044" s="27"/>
      <c r="I1044" s="4" t="s">
        <v>226</v>
      </c>
      <c r="J1044" s="81"/>
    </row>
    <row r="1045">
      <c r="A1045" s="89"/>
      <c r="B1045" s="4" t="s">
        <v>856</v>
      </c>
      <c r="C1045" s="4" t="s">
        <v>223</v>
      </c>
      <c r="D1045" s="83" t="s">
        <v>224</v>
      </c>
      <c r="E1045" s="83" t="s">
        <v>1059</v>
      </c>
      <c r="F1045" s="88">
        <v>0.006944444444444444</v>
      </c>
      <c r="G1045" s="4" t="s">
        <v>1111</v>
      </c>
      <c r="H1045" s="27"/>
      <c r="I1045" s="4" t="s">
        <v>226</v>
      </c>
      <c r="J1045" s="81"/>
    </row>
    <row r="1046">
      <c r="A1046" s="89"/>
      <c r="B1046" s="4" t="s">
        <v>856</v>
      </c>
      <c r="C1046" s="4" t="s">
        <v>223</v>
      </c>
      <c r="D1046" s="83" t="s">
        <v>224</v>
      </c>
      <c r="E1046" s="83" t="s">
        <v>1059</v>
      </c>
      <c r="F1046" s="88">
        <v>0.006944444444444444</v>
      </c>
      <c r="G1046" s="4" t="s">
        <v>162</v>
      </c>
      <c r="H1046" s="27"/>
      <c r="I1046" s="4" t="s">
        <v>226</v>
      </c>
      <c r="J1046" s="81"/>
    </row>
    <row r="1047">
      <c r="A1047" s="89"/>
      <c r="B1047" s="4" t="s">
        <v>856</v>
      </c>
      <c r="C1047" s="4" t="s">
        <v>223</v>
      </c>
      <c r="D1047" s="83" t="s">
        <v>224</v>
      </c>
      <c r="E1047" s="83" t="s">
        <v>1059</v>
      </c>
      <c r="F1047" s="88">
        <v>0.006944444444444444</v>
      </c>
      <c r="G1047" s="4" t="s">
        <v>176</v>
      </c>
      <c r="H1047" s="27"/>
      <c r="I1047" s="4" t="s">
        <v>226</v>
      </c>
      <c r="J1047" s="81"/>
    </row>
    <row r="1048">
      <c r="A1048" s="89"/>
      <c r="B1048" s="83" t="s">
        <v>856</v>
      </c>
      <c r="C1048" s="100" t="s">
        <v>242</v>
      </c>
      <c r="D1048" s="83" t="s">
        <v>224</v>
      </c>
      <c r="E1048" s="83" t="s">
        <v>1059</v>
      </c>
      <c r="F1048" s="88">
        <v>0.006944444444444444</v>
      </c>
      <c r="G1048" s="4" t="s">
        <v>139</v>
      </c>
      <c r="H1048" s="27"/>
      <c r="I1048" s="4" t="s">
        <v>226</v>
      </c>
      <c r="J1048" s="81"/>
    </row>
    <row r="1049">
      <c r="A1049" s="89"/>
      <c r="B1049" s="83" t="s">
        <v>856</v>
      </c>
      <c r="C1049" s="100" t="s">
        <v>242</v>
      </c>
      <c r="D1049" s="83" t="s">
        <v>224</v>
      </c>
      <c r="E1049" s="83" t="s">
        <v>1059</v>
      </c>
      <c r="F1049" s="88">
        <v>0.006944444444444444</v>
      </c>
      <c r="G1049" s="4" t="s">
        <v>1082</v>
      </c>
      <c r="H1049" s="27"/>
      <c r="I1049" s="4" t="s">
        <v>226</v>
      </c>
      <c r="J1049" s="81"/>
    </row>
    <row r="1050">
      <c r="A1050" s="89"/>
      <c r="B1050" s="83" t="s">
        <v>856</v>
      </c>
      <c r="C1050" s="100" t="s">
        <v>242</v>
      </c>
      <c r="D1050" s="83" t="s">
        <v>224</v>
      </c>
      <c r="E1050" s="83" t="s">
        <v>1059</v>
      </c>
      <c r="F1050" s="88">
        <v>0.006944444444444444</v>
      </c>
      <c r="G1050" s="4" t="s">
        <v>126</v>
      </c>
      <c r="H1050" s="27"/>
      <c r="I1050" s="4" t="s">
        <v>226</v>
      </c>
      <c r="J1050" s="81"/>
    </row>
    <row r="1051">
      <c r="A1051" s="89"/>
      <c r="B1051" s="83" t="s">
        <v>856</v>
      </c>
      <c r="C1051" s="100" t="s">
        <v>242</v>
      </c>
      <c r="D1051" s="83" t="s">
        <v>224</v>
      </c>
      <c r="E1051" s="83" t="s">
        <v>1059</v>
      </c>
      <c r="F1051" s="88">
        <v>0.006944444444444444</v>
      </c>
      <c r="G1051" s="4" t="s">
        <v>561</v>
      </c>
      <c r="H1051" s="27"/>
      <c r="I1051" s="4" t="s">
        <v>226</v>
      </c>
      <c r="J1051" s="81"/>
    </row>
    <row r="1052">
      <c r="A1052" s="89"/>
      <c r="B1052" s="83" t="s">
        <v>856</v>
      </c>
      <c r="C1052" s="100" t="s">
        <v>242</v>
      </c>
      <c r="D1052" s="83" t="s">
        <v>224</v>
      </c>
      <c r="E1052" s="83" t="s">
        <v>1059</v>
      </c>
      <c r="F1052" s="88">
        <v>0.006944444444444444</v>
      </c>
      <c r="G1052" s="4" t="s">
        <v>1090</v>
      </c>
      <c r="H1052" s="27"/>
      <c r="I1052" s="4" t="s">
        <v>226</v>
      </c>
      <c r="J1052" s="81"/>
    </row>
    <row r="1053">
      <c r="A1053" s="89"/>
      <c r="B1053" s="83" t="s">
        <v>856</v>
      </c>
      <c r="C1053" s="100" t="s">
        <v>242</v>
      </c>
      <c r="D1053" s="83" t="s">
        <v>224</v>
      </c>
      <c r="E1053" s="83" t="s">
        <v>1059</v>
      </c>
      <c r="F1053" s="88">
        <v>0.006944444444444444</v>
      </c>
      <c r="G1053" s="4" t="s">
        <v>169</v>
      </c>
      <c r="H1053" s="27"/>
      <c r="I1053" s="4" t="s">
        <v>226</v>
      </c>
      <c r="J1053" s="81"/>
    </row>
    <row r="1054">
      <c r="A1054" s="89"/>
      <c r="B1054" s="83" t="s">
        <v>856</v>
      </c>
      <c r="C1054" s="100" t="s">
        <v>242</v>
      </c>
      <c r="D1054" s="83" t="s">
        <v>224</v>
      </c>
      <c r="E1054" s="83" t="s">
        <v>1059</v>
      </c>
      <c r="F1054" s="88">
        <v>0.006944444444444444</v>
      </c>
      <c r="G1054" s="4" t="s">
        <v>1111</v>
      </c>
      <c r="H1054" s="27"/>
      <c r="I1054" s="4" t="s">
        <v>226</v>
      </c>
      <c r="J1054" s="81"/>
    </row>
    <row r="1055">
      <c r="A1055" s="89"/>
      <c r="B1055" s="83" t="s">
        <v>856</v>
      </c>
      <c r="C1055" s="100" t="s">
        <v>242</v>
      </c>
      <c r="D1055" s="83" t="s">
        <v>224</v>
      </c>
      <c r="E1055" s="83" t="s">
        <v>1059</v>
      </c>
      <c r="F1055" s="88">
        <v>0.006944444444444444</v>
      </c>
      <c r="G1055" s="4" t="s">
        <v>162</v>
      </c>
      <c r="H1055" s="27"/>
      <c r="I1055" s="4" t="s">
        <v>226</v>
      </c>
      <c r="J1055" s="81"/>
    </row>
    <row r="1056">
      <c r="A1056" s="89"/>
      <c r="B1056" s="83" t="s">
        <v>856</v>
      </c>
      <c r="C1056" s="100" t="s">
        <v>242</v>
      </c>
      <c r="D1056" s="83" t="s">
        <v>224</v>
      </c>
      <c r="E1056" s="83" t="s">
        <v>1059</v>
      </c>
      <c r="F1056" s="88">
        <v>0.006944444444444444</v>
      </c>
      <c r="G1056" s="4" t="s">
        <v>176</v>
      </c>
      <c r="H1056" s="27"/>
      <c r="I1056" s="4" t="s">
        <v>226</v>
      </c>
      <c r="J1056" s="81"/>
    </row>
    <row r="1057">
      <c r="A1057" s="89"/>
      <c r="B1057" s="4" t="s">
        <v>1112</v>
      </c>
      <c r="C1057" s="4" t="s">
        <v>223</v>
      </c>
      <c r="D1057" s="83" t="s">
        <v>224</v>
      </c>
      <c r="E1057" s="83" t="s">
        <v>1059</v>
      </c>
      <c r="F1057" s="88">
        <v>0.006944444444444444</v>
      </c>
      <c r="G1057" s="4" t="s">
        <v>164</v>
      </c>
      <c r="H1057" s="27"/>
      <c r="I1057" s="4" t="s">
        <v>226</v>
      </c>
      <c r="J1057" s="81"/>
    </row>
    <row r="1058">
      <c r="A1058" s="89"/>
      <c r="B1058" s="4" t="s">
        <v>1112</v>
      </c>
      <c r="C1058" s="4" t="s">
        <v>223</v>
      </c>
      <c r="D1058" s="83" t="s">
        <v>224</v>
      </c>
      <c r="E1058" s="83" t="s">
        <v>1059</v>
      </c>
      <c r="F1058" s="88">
        <v>0.006944444444444444</v>
      </c>
      <c r="G1058" s="4" t="s">
        <v>124</v>
      </c>
      <c r="H1058" s="27"/>
      <c r="I1058" s="4" t="s">
        <v>226</v>
      </c>
      <c r="J1058" s="81"/>
    </row>
    <row r="1059">
      <c r="A1059" s="89"/>
      <c r="B1059" s="4" t="s">
        <v>1112</v>
      </c>
      <c r="C1059" s="4" t="s">
        <v>223</v>
      </c>
      <c r="D1059" s="83" t="s">
        <v>224</v>
      </c>
      <c r="E1059" s="83" t="s">
        <v>1059</v>
      </c>
      <c r="F1059" s="88">
        <v>0.006944444444444444</v>
      </c>
      <c r="G1059" s="4" t="s">
        <v>186</v>
      </c>
      <c r="H1059" s="27"/>
      <c r="I1059" s="4" t="s">
        <v>226</v>
      </c>
      <c r="J1059" s="81"/>
    </row>
    <row r="1060">
      <c r="A1060" s="89"/>
      <c r="B1060" s="4" t="s">
        <v>1112</v>
      </c>
      <c r="C1060" s="4" t="s">
        <v>223</v>
      </c>
      <c r="D1060" s="83" t="s">
        <v>224</v>
      </c>
      <c r="E1060" s="83" t="s">
        <v>1059</v>
      </c>
      <c r="F1060" s="88">
        <v>0.006944444444444444</v>
      </c>
      <c r="G1060" s="4" t="s">
        <v>123</v>
      </c>
      <c r="H1060" s="27"/>
      <c r="I1060" s="4" t="s">
        <v>226</v>
      </c>
      <c r="J1060" s="81"/>
    </row>
    <row r="1061">
      <c r="A1061" s="89"/>
      <c r="B1061" s="4" t="s">
        <v>1112</v>
      </c>
      <c r="C1061" s="4" t="s">
        <v>223</v>
      </c>
      <c r="D1061" s="83" t="s">
        <v>224</v>
      </c>
      <c r="E1061" s="83" t="s">
        <v>1059</v>
      </c>
      <c r="F1061" s="88">
        <v>0.006944444444444444</v>
      </c>
      <c r="G1061" s="4" t="s">
        <v>168</v>
      </c>
      <c r="H1061" s="27"/>
      <c r="I1061" s="4" t="s">
        <v>226</v>
      </c>
      <c r="J1061" s="81"/>
    </row>
    <row r="1062">
      <c r="A1062" s="89"/>
      <c r="B1062" s="4" t="s">
        <v>1112</v>
      </c>
      <c r="C1062" s="100" t="s">
        <v>242</v>
      </c>
      <c r="D1062" s="83" t="s">
        <v>224</v>
      </c>
      <c r="E1062" s="83" t="s">
        <v>1059</v>
      </c>
      <c r="F1062" s="88">
        <v>0.006944444444444444</v>
      </c>
      <c r="G1062" s="4" t="s">
        <v>164</v>
      </c>
      <c r="H1062" s="27"/>
      <c r="I1062" s="4" t="s">
        <v>226</v>
      </c>
      <c r="J1062" s="81"/>
    </row>
    <row r="1063">
      <c r="A1063" s="89"/>
      <c r="B1063" s="4" t="s">
        <v>1112</v>
      </c>
      <c r="C1063" s="100" t="s">
        <v>242</v>
      </c>
      <c r="D1063" s="83" t="s">
        <v>224</v>
      </c>
      <c r="E1063" s="83" t="s">
        <v>1059</v>
      </c>
      <c r="F1063" s="88">
        <v>0.006944444444444444</v>
      </c>
      <c r="G1063" s="4" t="s">
        <v>124</v>
      </c>
      <c r="H1063" s="27"/>
      <c r="I1063" s="4" t="s">
        <v>226</v>
      </c>
      <c r="J1063" s="81"/>
    </row>
    <row r="1064">
      <c r="A1064" s="89"/>
      <c r="B1064" s="4" t="s">
        <v>1112</v>
      </c>
      <c r="C1064" s="100" t="s">
        <v>242</v>
      </c>
      <c r="D1064" s="83" t="s">
        <v>224</v>
      </c>
      <c r="E1064" s="83" t="s">
        <v>1059</v>
      </c>
      <c r="F1064" s="88">
        <v>0.006944444444444444</v>
      </c>
      <c r="G1064" s="4" t="s">
        <v>186</v>
      </c>
      <c r="H1064" s="27"/>
      <c r="I1064" s="4" t="s">
        <v>226</v>
      </c>
      <c r="J1064" s="81"/>
    </row>
    <row r="1065">
      <c r="A1065" s="89"/>
      <c r="B1065" s="4" t="s">
        <v>1112</v>
      </c>
      <c r="C1065" s="100" t="s">
        <v>242</v>
      </c>
      <c r="D1065" s="83" t="s">
        <v>224</v>
      </c>
      <c r="E1065" s="83" t="s">
        <v>1059</v>
      </c>
      <c r="F1065" s="88">
        <v>0.006944444444444444</v>
      </c>
      <c r="G1065" s="4" t="s">
        <v>123</v>
      </c>
      <c r="H1065" s="27"/>
      <c r="I1065" s="4" t="s">
        <v>226</v>
      </c>
      <c r="J1065" s="81"/>
    </row>
    <row r="1066">
      <c r="A1066" s="89"/>
      <c r="B1066" s="4" t="s">
        <v>1112</v>
      </c>
      <c r="C1066" s="100" t="s">
        <v>242</v>
      </c>
      <c r="D1066" s="83" t="s">
        <v>224</v>
      </c>
      <c r="E1066" s="83" t="s">
        <v>1059</v>
      </c>
      <c r="F1066" s="88">
        <v>0.006944444444444444</v>
      </c>
      <c r="G1066" s="4" t="s">
        <v>168</v>
      </c>
      <c r="H1066" s="27"/>
      <c r="I1066" s="4" t="s">
        <v>226</v>
      </c>
      <c r="J1066" s="81"/>
    </row>
    <row r="1067">
      <c r="A1067" s="89"/>
      <c r="B1067" s="4" t="s">
        <v>707</v>
      </c>
      <c r="C1067" s="4" t="s">
        <v>443</v>
      </c>
      <c r="D1067" s="83" t="s">
        <v>224</v>
      </c>
      <c r="E1067" s="83" t="s">
        <v>1059</v>
      </c>
      <c r="F1067" s="88">
        <v>0.006944444444444444</v>
      </c>
      <c r="G1067" s="4" t="s">
        <v>708</v>
      </c>
      <c r="H1067" s="27"/>
      <c r="I1067" s="4" t="s">
        <v>226</v>
      </c>
      <c r="J1067" s="81"/>
    </row>
    <row r="1068">
      <c r="A1068" s="89"/>
      <c r="B1068" s="4" t="s">
        <v>707</v>
      </c>
      <c r="C1068" s="4" t="s">
        <v>443</v>
      </c>
      <c r="D1068" s="83" t="s">
        <v>224</v>
      </c>
      <c r="E1068" s="83" t="s">
        <v>1059</v>
      </c>
      <c r="F1068" s="88">
        <v>0.006944444444444444</v>
      </c>
      <c r="G1068" s="4" t="s">
        <v>197</v>
      </c>
      <c r="H1068" s="27"/>
      <c r="I1068" s="4" t="s">
        <v>226</v>
      </c>
      <c r="J1068" s="81"/>
    </row>
    <row r="1069">
      <c r="A1069" s="89"/>
      <c r="B1069" s="4" t="s">
        <v>707</v>
      </c>
      <c r="C1069" s="4" t="s">
        <v>443</v>
      </c>
      <c r="D1069" s="83" t="s">
        <v>224</v>
      </c>
      <c r="E1069" s="83" t="s">
        <v>1059</v>
      </c>
      <c r="F1069" s="88">
        <v>0.006944444444444444</v>
      </c>
      <c r="G1069" s="4" t="s">
        <v>145</v>
      </c>
      <c r="H1069" s="27"/>
      <c r="I1069" s="4" t="s">
        <v>226</v>
      </c>
      <c r="J1069" s="81"/>
    </row>
    <row r="1070">
      <c r="A1070" s="89"/>
      <c r="B1070" s="4" t="s">
        <v>707</v>
      </c>
      <c r="C1070" s="4" t="s">
        <v>443</v>
      </c>
      <c r="D1070" s="83" t="s">
        <v>224</v>
      </c>
      <c r="E1070" s="83" t="s">
        <v>1059</v>
      </c>
      <c r="F1070" s="88">
        <v>0.006944444444444444</v>
      </c>
      <c r="G1070" s="4" t="s">
        <v>561</v>
      </c>
      <c r="H1070" s="27"/>
      <c r="I1070" s="4" t="s">
        <v>226</v>
      </c>
      <c r="J1070" s="81"/>
    </row>
    <row r="1071">
      <c r="A1071" s="89"/>
      <c r="B1071" s="4" t="s">
        <v>707</v>
      </c>
      <c r="C1071" s="4" t="s">
        <v>443</v>
      </c>
      <c r="D1071" s="83" t="s">
        <v>224</v>
      </c>
      <c r="E1071" s="83" t="s">
        <v>1059</v>
      </c>
      <c r="F1071" s="88">
        <v>0.006944444444444444</v>
      </c>
      <c r="G1071" s="4" t="s">
        <v>1113</v>
      </c>
      <c r="H1071" s="27"/>
      <c r="I1071" s="4" t="s">
        <v>226</v>
      </c>
      <c r="J1071" s="81"/>
    </row>
    <row r="1072">
      <c r="A1072" s="89"/>
      <c r="B1072" s="4" t="s">
        <v>707</v>
      </c>
      <c r="C1072" s="4" t="s">
        <v>443</v>
      </c>
      <c r="D1072" s="83" t="s">
        <v>224</v>
      </c>
      <c r="E1072" s="83" t="s">
        <v>1059</v>
      </c>
      <c r="F1072" s="88">
        <v>0.006944444444444444</v>
      </c>
      <c r="G1072" s="4" t="s">
        <v>124</v>
      </c>
      <c r="H1072" s="27"/>
      <c r="I1072" s="4" t="s">
        <v>226</v>
      </c>
      <c r="J1072" s="81"/>
    </row>
    <row r="1073">
      <c r="A1073" s="89"/>
      <c r="B1073" s="4" t="s">
        <v>707</v>
      </c>
      <c r="C1073" s="4" t="s">
        <v>443</v>
      </c>
      <c r="D1073" s="83" t="s">
        <v>224</v>
      </c>
      <c r="E1073" s="83" t="s">
        <v>1059</v>
      </c>
      <c r="F1073" s="88">
        <v>0.006944444444444444</v>
      </c>
      <c r="G1073" s="4" t="s">
        <v>123</v>
      </c>
      <c r="H1073" s="27"/>
      <c r="I1073" s="4" t="s">
        <v>226</v>
      </c>
      <c r="J1073" s="81"/>
    </row>
    <row r="1074">
      <c r="A1074" s="89"/>
      <c r="B1074" s="4" t="s">
        <v>707</v>
      </c>
      <c r="C1074" s="4" t="s">
        <v>441</v>
      </c>
      <c r="D1074" s="83" t="s">
        <v>224</v>
      </c>
      <c r="E1074" s="83" t="s">
        <v>1059</v>
      </c>
      <c r="F1074" s="88">
        <v>0.006944444444444444</v>
      </c>
      <c r="G1074" s="4" t="s">
        <v>197</v>
      </c>
      <c r="H1074" s="27"/>
      <c r="I1074" s="4" t="s">
        <v>226</v>
      </c>
      <c r="J1074" s="81"/>
    </row>
    <row r="1075">
      <c r="A1075" s="89"/>
      <c r="B1075" s="4" t="s">
        <v>707</v>
      </c>
      <c r="C1075" s="4" t="s">
        <v>441</v>
      </c>
      <c r="D1075" s="83" t="s">
        <v>224</v>
      </c>
      <c r="E1075" s="83" t="s">
        <v>1059</v>
      </c>
      <c r="F1075" s="88">
        <v>0.006944444444444444</v>
      </c>
      <c r="G1075" s="4" t="s">
        <v>145</v>
      </c>
      <c r="H1075" s="27"/>
      <c r="I1075" s="4" t="s">
        <v>226</v>
      </c>
      <c r="J1075" s="81"/>
    </row>
    <row r="1076">
      <c r="A1076" s="89"/>
      <c r="B1076" s="4" t="s">
        <v>707</v>
      </c>
      <c r="C1076" s="4" t="s">
        <v>441</v>
      </c>
      <c r="D1076" s="83" t="s">
        <v>224</v>
      </c>
      <c r="E1076" s="83" t="s">
        <v>1059</v>
      </c>
      <c r="F1076" s="88">
        <v>0.006944444444444444</v>
      </c>
      <c r="G1076" s="4" t="s">
        <v>561</v>
      </c>
      <c r="H1076" s="27"/>
      <c r="I1076" s="4" t="s">
        <v>226</v>
      </c>
      <c r="J1076" s="81"/>
    </row>
    <row r="1077">
      <c r="A1077" s="89"/>
      <c r="B1077" s="4" t="s">
        <v>707</v>
      </c>
      <c r="C1077" s="4" t="s">
        <v>441</v>
      </c>
      <c r="D1077" s="83" t="s">
        <v>224</v>
      </c>
      <c r="E1077" s="83" t="s">
        <v>1059</v>
      </c>
      <c r="F1077" s="88">
        <v>0.006944444444444444</v>
      </c>
      <c r="G1077" s="4" t="s">
        <v>1113</v>
      </c>
      <c r="H1077" s="27"/>
      <c r="I1077" s="4" t="s">
        <v>226</v>
      </c>
      <c r="J1077" s="81"/>
    </row>
    <row r="1078">
      <c r="A1078" s="89"/>
      <c r="B1078" s="4" t="s">
        <v>707</v>
      </c>
      <c r="C1078" s="4" t="s">
        <v>441</v>
      </c>
      <c r="D1078" s="83" t="s">
        <v>224</v>
      </c>
      <c r="E1078" s="83" t="s">
        <v>1059</v>
      </c>
      <c r="F1078" s="88">
        <v>0.006944444444444444</v>
      </c>
      <c r="G1078" s="4" t="s">
        <v>124</v>
      </c>
      <c r="H1078" s="27"/>
      <c r="I1078" s="4" t="s">
        <v>226</v>
      </c>
      <c r="J1078" s="81"/>
    </row>
    <row r="1079">
      <c r="A1079" s="89"/>
      <c r="B1079" s="4" t="s">
        <v>707</v>
      </c>
      <c r="C1079" s="4" t="s">
        <v>441</v>
      </c>
      <c r="D1079" s="83" t="s">
        <v>224</v>
      </c>
      <c r="E1079" s="83" t="s">
        <v>1059</v>
      </c>
      <c r="F1079" s="88">
        <v>0.006944444444444444</v>
      </c>
      <c r="G1079" s="4" t="s">
        <v>123</v>
      </c>
      <c r="H1079" s="27"/>
      <c r="I1079" s="4" t="s">
        <v>226</v>
      </c>
      <c r="J1079" s="81"/>
    </row>
    <row r="1080">
      <c r="A1080" s="89"/>
      <c r="B1080" s="4" t="s">
        <v>707</v>
      </c>
      <c r="C1080" s="4" t="s">
        <v>446</v>
      </c>
      <c r="D1080" s="83" t="s">
        <v>224</v>
      </c>
      <c r="E1080" s="83" t="s">
        <v>1059</v>
      </c>
      <c r="F1080" s="88">
        <v>0.006944444444444444</v>
      </c>
      <c r="G1080" s="4" t="s">
        <v>708</v>
      </c>
      <c r="H1080" s="27"/>
      <c r="I1080" s="4" t="s">
        <v>226</v>
      </c>
      <c r="J1080" s="81"/>
    </row>
    <row r="1081">
      <c r="A1081" s="89"/>
      <c r="B1081" s="4" t="s">
        <v>707</v>
      </c>
      <c r="C1081" s="4" t="s">
        <v>446</v>
      </c>
      <c r="D1081" s="83" t="s">
        <v>224</v>
      </c>
      <c r="E1081" s="83" t="s">
        <v>1059</v>
      </c>
      <c r="F1081" s="88">
        <v>0.006944444444444444</v>
      </c>
      <c r="G1081" s="4" t="s">
        <v>197</v>
      </c>
      <c r="H1081" s="27"/>
      <c r="I1081" s="4" t="s">
        <v>226</v>
      </c>
      <c r="J1081" s="81"/>
    </row>
    <row r="1082">
      <c r="A1082" s="89"/>
      <c r="B1082" s="4" t="s">
        <v>707</v>
      </c>
      <c r="C1082" s="4" t="s">
        <v>446</v>
      </c>
      <c r="D1082" s="83" t="s">
        <v>224</v>
      </c>
      <c r="E1082" s="83" t="s">
        <v>1059</v>
      </c>
      <c r="F1082" s="88">
        <v>0.006944444444444444</v>
      </c>
      <c r="G1082" s="4" t="s">
        <v>145</v>
      </c>
      <c r="H1082" s="27"/>
      <c r="I1082" s="4" t="s">
        <v>226</v>
      </c>
      <c r="J1082" s="81"/>
    </row>
    <row r="1083">
      <c r="A1083" s="89"/>
      <c r="B1083" s="4" t="s">
        <v>707</v>
      </c>
      <c r="C1083" s="4" t="s">
        <v>446</v>
      </c>
      <c r="D1083" s="83" t="s">
        <v>224</v>
      </c>
      <c r="E1083" s="83" t="s">
        <v>1059</v>
      </c>
      <c r="F1083" s="88">
        <v>0.006944444444444444</v>
      </c>
      <c r="G1083" s="4" t="s">
        <v>561</v>
      </c>
      <c r="H1083" s="27"/>
      <c r="I1083" s="4" t="s">
        <v>226</v>
      </c>
      <c r="J1083" s="81"/>
    </row>
    <row r="1084">
      <c r="A1084" s="89"/>
      <c r="B1084" s="4" t="s">
        <v>707</v>
      </c>
      <c r="C1084" s="4" t="s">
        <v>446</v>
      </c>
      <c r="D1084" s="83" t="s">
        <v>224</v>
      </c>
      <c r="E1084" s="83" t="s">
        <v>1059</v>
      </c>
      <c r="F1084" s="88">
        <v>0.006944444444444444</v>
      </c>
      <c r="G1084" s="4" t="s">
        <v>1113</v>
      </c>
      <c r="H1084" s="27"/>
      <c r="I1084" s="4" t="s">
        <v>226</v>
      </c>
      <c r="J1084" s="81"/>
    </row>
    <row r="1085">
      <c r="A1085" s="89"/>
      <c r="B1085" s="4" t="s">
        <v>707</v>
      </c>
      <c r="C1085" s="4" t="s">
        <v>446</v>
      </c>
      <c r="D1085" s="83" t="s">
        <v>224</v>
      </c>
      <c r="E1085" s="83" t="s">
        <v>1059</v>
      </c>
      <c r="F1085" s="88">
        <v>0.006944444444444444</v>
      </c>
      <c r="G1085" s="4" t="s">
        <v>124</v>
      </c>
      <c r="H1085" s="27"/>
      <c r="I1085" s="4" t="s">
        <v>226</v>
      </c>
      <c r="J1085" s="81"/>
    </row>
    <row r="1086">
      <c r="A1086" s="89"/>
      <c r="B1086" s="4" t="s">
        <v>707</v>
      </c>
      <c r="C1086" s="4" t="s">
        <v>446</v>
      </c>
      <c r="D1086" s="83" t="s">
        <v>224</v>
      </c>
      <c r="E1086" s="83" t="s">
        <v>1059</v>
      </c>
      <c r="F1086" s="88">
        <v>0.006944444444444444</v>
      </c>
      <c r="G1086" s="4" t="s">
        <v>123</v>
      </c>
      <c r="H1086" s="27"/>
      <c r="I1086" s="4" t="s">
        <v>226</v>
      </c>
      <c r="J1086" s="81"/>
    </row>
    <row r="1087">
      <c r="A1087" s="89"/>
      <c r="B1087" s="4" t="s">
        <v>710</v>
      </c>
      <c r="C1087" s="4" t="s">
        <v>441</v>
      </c>
      <c r="D1087" s="83" t="s">
        <v>224</v>
      </c>
      <c r="E1087" s="83" t="s">
        <v>1059</v>
      </c>
      <c r="F1087" s="88">
        <v>0.006944444444444444</v>
      </c>
      <c r="G1087" s="4" t="s">
        <v>124</v>
      </c>
      <c r="H1087" s="27"/>
      <c r="I1087" s="4" t="s">
        <v>226</v>
      </c>
      <c r="J1087" s="81"/>
    </row>
    <row r="1088">
      <c r="A1088" s="89"/>
      <c r="B1088" s="4" t="s">
        <v>710</v>
      </c>
      <c r="C1088" s="4" t="s">
        <v>441</v>
      </c>
      <c r="D1088" s="83" t="s">
        <v>224</v>
      </c>
      <c r="E1088" s="83" t="s">
        <v>1059</v>
      </c>
      <c r="F1088" s="88">
        <v>0.006944444444444444</v>
      </c>
      <c r="G1088" s="4" t="s">
        <v>561</v>
      </c>
      <c r="H1088" s="27"/>
      <c r="I1088" s="4" t="s">
        <v>226</v>
      </c>
      <c r="J1088" s="81"/>
    </row>
    <row r="1089">
      <c r="A1089" s="89"/>
      <c r="B1089" s="4" t="s">
        <v>710</v>
      </c>
      <c r="C1089" s="4" t="s">
        <v>441</v>
      </c>
      <c r="D1089" s="83" t="s">
        <v>224</v>
      </c>
      <c r="E1089" s="83" t="s">
        <v>1059</v>
      </c>
      <c r="F1089" s="88">
        <v>0.006944444444444444</v>
      </c>
      <c r="G1089" s="4" t="s">
        <v>1113</v>
      </c>
      <c r="H1089" s="27"/>
      <c r="I1089" s="4" t="s">
        <v>226</v>
      </c>
      <c r="J1089" s="81"/>
    </row>
    <row r="1090">
      <c r="A1090" s="89"/>
      <c r="B1090" s="4" t="s">
        <v>710</v>
      </c>
      <c r="C1090" s="4" t="s">
        <v>441</v>
      </c>
      <c r="D1090" s="83" t="s">
        <v>224</v>
      </c>
      <c r="E1090" s="83" t="s">
        <v>1059</v>
      </c>
      <c r="F1090" s="88">
        <v>0.006944444444444444</v>
      </c>
      <c r="G1090" s="4" t="s">
        <v>1114</v>
      </c>
      <c r="H1090" s="27"/>
      <c r="I1090" s="4" t="s">
        <v>226</v>
      </c>
      <c r="J1090" s="81"/>
    </row>
    <row r="1091">
      <c r="A1091" s="89"/>
      <c r="B1091" s="4" t="s">
        <v>710</v>
      </c>
      <c r="C1091" s="4" t="s">
        <v>441</v>
      </c>
      <c r="D1091" s="83" t="s">
        <v>224</v>
      </c>
      <c r="E1091" s="83" t="s">
        <v>1059</v>
      </c>
      <c r="F1091" s="88">
        <v>0.006944444444444444</v>
      </c>
      <c r="G1091" s="4" t="s">
        <v>1115</v>
      </c>
      <c r="H1091" s="27"/>
      <c r="I1091" s="4" t="s">
        <v>226</v>
      </c>
      <c r="J1091" s="81"/>
    </row>
    <row r="1092">
      <c r="A1092" s="89"/>
      <c r="B1092" s="4" t="s">
        <v>710</v>
      </c>
      <c r="C1092" s="4" t="s">
        <v>441</v>
      </c>
      <c r="D1092" s="83" t="s">
        <v>224</v>
      </c>
      <c r="E1092" s="83" t="s">
        <v>1059</v>
      </c>
      <c r="F1092" s="88">
        <v>0.006944444444444444</v>
      </c>
      <c r="G1092" s="4" t="s">
        <v>1116</v>
      </c>
      <c r="H1092" s="27"/>
      <c r="I1092" s="4" t="s">
        <v>226</v>
      </c>
      <c r="J1092" s="81"/>
    </row>
    <row r="1093">
      <c r="A1093" s="89"/>
      <c r="B1093" s="4" t="s">
        <v>710</v>
      </c>
      <c r="C1093" s="4" t="s">
        <v>441</v>
      </c>
      <c r="D1093" s="83" t="s">
        <v>224</v>
      </c>
      <c r="E1093" s="83" t="s">
        <v>1059</v>
      </c>
      <c r="F1093" s="88">
        <v>0.006944444444444444</v>
      </c>
      <c r="G1093" s="4" t="s">
        <v>1117</v>
      </c>
      <c r="H1093" s="27"/>
      <c r="I1093" s="4" t="s">
        <v>226</v>
      </c>
      <c r="J1093" s="81"/>
    </row>
    <row r="1094">
      <c r="A1094" s="89"/>
      <c r="B1094" s="4" t="s">
        <v>710</v>
      </c>
      <c r="C1094" s="4" t="s">
        <v>441</v>
      </c>
      <c r="D1094" s="83" t="s">
        <v>224</v>
      </c>
      <c r="E1094" s="83" t="s">
        <v>1059</v>
      </c>
      <c r="F1094" s="88">
        <v>0.006944444444444444</v>
      </c>
      <c r="G1094" s="4" t="s">
        <v>1118</v>
      </c>
      <c r="H1094" s="27"/>
      <c r="I1094" s="4" t="s">
        <v>226</v>
      </c>
      <c r="J1094" s="81"/>
    </row>
    <row r="1095">
      <c r="A1095" s="89"/>
      <c r="B1095" s="4" t="s">
        <v>710</v>
      </c>
      <c r="C1095" s="4" t="s">
        <v>441</v>
      </c>
      <c r="D1095" s="83" t="s">
        <v>224</v>
      </c>
      <c r="E1095" s="83" t="s">
        <v>1059</v>
      </c>
      <c r="F1095" s="88">
        <v>0.006944444444444444</v>
      </c>
      <c r="G1095" s="4" t="s">
        <v>1097</v>
      </c>
      <c r="H1095" s="27"/>
      <c r="I1095" s="4" t="s">
        <v>226</v>
      </c>
      <c r="J1095" s="81"/>
    </row>
    <row r="1096">
      <c r="A1096" s="89"/>
      <c r="B1096" s="4" t="s">
        <v>710</v>
      </c>
      <c r="C1096" s="4" t="s">
        <v>441</v>
      </c>
      <c r="D1096" s="83" t="s">
        <v>224</v>
      </c>
      <c r="E1096" s="83" t="s">
        <v>1059</v>
      </c>
      <c r="F1096" s="88">
        <v>0.006944444444444444</v>
      </c>
      <c r="G1096" s="4" t="s">
        <v>1101</v>
      </c>
      <c r="H1096" s="27"/>
      <c r="I1096" s="4" t="s">
        <v>226</v>
      </c>
      <c r="J1096" s="81"/>
    </row>
    <row r="1097">
      <c r="A1097" s="89"/>
      <c r="B1097" s="4" t="s">
        <v>710</v>
      </c>
      <c r="C1097" s="4" t="s">
        <v>441</v>
      </c>
      <c r="D1097" s="83" t="s">
        <v>224</v>
      </c>
      <c r="E1097" s="83" t="s">
        <v>1059</v>
      </c>
      <c r="F1097" s="88">
        <v>0.006944444444444444</v>
      </c>
      <c r="G1097" s="4" t="s">
        <v>1119</v>
      </c>
      <c r="H1097" s="27"/>
      <c r="I1097" s="4" t="s">
        <v>226</v>
      </c>
      <c r="J1097" s="81"/>
    </row>
    <row r="1098">
      <c r="A1098" s="89"/>
      <c r="B1098" s="4" t="s">
        <v>710</v>
      </c>
      <c r="C1098" s="4" t="s">
        <v>441</v>
      </c>
      <c r="D1098" s="83" t="s">
        <v>224</v>
      </c>
      <c r="E1098" s="83" t="s">
        <v>1059</v>
      </c>
      <c r="F1098" s="88">
        <v>0.006944444444444444</v>
      </c>
      <c r="G1098" s="5" t="s">
        <v>192</v>
      </c>
      <c r="H1098" s="27"/>
      <c r="I1098" s="4" t="s">
        <v>226</v>
      </c>
      <c r="J1098" s="81"/>
    </row>
    <row r="1099">
      <c r="A1099" s="89"/>
      <c r="B1099" s="4" t="s">
        <v>710</v>
      </c>
      <c r="C1099" s="4" t="s">
        <v>443</v>
      </c>
      <c r="D1099" s="83" t="s">
        <v>224</v>
      </c>
      <c r="E1099" s="83" t="s">
        <v>1059</v>
      </c>
      <c r="F1099" s="88">
        <v>0.006944444444444444</v>
      </c>
      <c r="G1099" s="4" t="s">
        <v>561</v>
      </c>
      <c r="H1099" s="27"/>
      <c r="I1099" s="4" t="s">
        <v>226</v>
      </c>
      <c r="J1099" s="81"/>
    </row>
    <row r="1100">
      <c r="A1100" s="89"/>
      <c r="B1100" s="4" t="s">
        <v>710</v>
      </c>
      <c r="C1100" s="4" t="s">
        <v>443</v>
      </c>
      <c r="D1100" s="83" t="s">
        <v>224</v>
      </c>
      <c r="E1100" s="83" t="s">
        <v>1059</v>
      </c>
      <c r="F1100" s="88">
        <v>0.006944444444444444</v>
      </c>
      <c r="G1100" s="4" t="s">
        <v>1113</v>
      </c>
      <c r="H1100" s="27"/>
      <c r="I1100" s="4" t="s">
        <v>226</v>
      </c>
      <c r="J1100" s="81"/>
    </row>
    <row r="1101">
      <c r="A1101" s="89"/>
      <c r="B1101" s="4" t="s">
        <v>710</v>
      </c>
      <c r="C1101" s="4" t="s">
        <v>443</v>
      </c>
      <c r="D1101" s="83" t="s">
        <v>224</v>
      </c>
      <c r="E1101" s="83" t="s">
        <v>1059</v>
      </c>
      <c r="F1101" s="88">
        <v>0.006944444444444444</v>
      </c>
      <c r="G1101" s="4" t="s">
        <v>1114</v>
      </c>
      <c r="H1101" s="27"/>
      <c r="I1101" s="4" t="s">
        <v>226</v>
      </c>
      <c r="J1101" s="81"/>
    </row>
    <row r="1102">
      <c r="A1102" s="89"/>
      <c r="B1102" s="4" t="s">
        <v>710</v>
      </c>
      <c r="C1102" s="4" t="s">
        <v>443</v>
      </c>
      <c r="D1102" s="83" t="s">
        <v>224</v>
      </c>
      <c r="E1102" s="83" t="s">
        <v>1059</v>
      </c>
      <c r="F1102" s="88">
        <v>0.006944444444444444</v>
      </c>
      <c r="G1102" s="4" t="s">
        <v>1115</v>
      </c>
      <c r="H1102" s="27"/>
      <c r="I1102" s="4" t="s">
        <v>226</v>
      </c>
      <c r="J1102" s="81"/>
    </row>
    <row r="1103">
      <c r="A1103" s="89"/>
      <c r="B1103" s="4" t="s">
        <v>710</v>
      </c>
      <c r="C1103" s="4" t="s">
        <v>443</v>
      </c>
      <c r="D1103" s="83" t="s">
        <v>224</v>
      </c>
      <c r="E1103" s="83" t="s">
        <v>1059</v>
      </c>
      <c r="F1103" s="88">
        <v>0.006944444444444444</v>
      </c>
      <c r="G1103" s="4" t="s">
        <v>1116</v>
      </c>
      <c r="H1103" s="27"/>
      <c r="I1103" s="4" t="s">
        <v>226</v>
      </c>
      <c r="J1103" s="81"/>
    </row>
    <row r="1104">
      <c r="A1104" s="89"/>
      <c r="B1104" s="4" t="s">
        <v>710</v>
      </c>
      <c r="C1104" s="4" t="s">
        <v>443</v>
      </c>
      <c r="D1104" s="83" t="s">
        <v>224</v>
      </c>
      <c r="E1104" s="83" t="s">
        <v>1059</v>
      </c>
      <c r="F1104" s="88">
        <v>0.006944444444444444</v>
      </c>
      <c r="G1104" s="4" t="s">
        <v>1117</v>
      </c>
      <c r="H1104" s="27"/>
      <c r="I1104" s="4" t="s">
        <v>226</v>
      </c>
      <c r="J1104" s="81"/>
    </row>
    <row r="1105">
      <c r="A1105" s="89"/>
      <c r="B1105" s="4" t="s">
        <v>710</v>
      </c>
      <c r="C1105" s="4" t="s">
        <v>443</v>
      </c>
      <c r="D1105" s="83" t="s">
        <v>224</v>
      </c>
      <c r="E1105" s="83" t="s">
        <v>1059</v>
      </c>
      <c r="F1105" s="88">
        <v>0.006944444444444444</v>
      </c>
      <c r="G1105" s="4" t="s">
        <v>1118</v>
      </c>
      <c r="H1105" s="27"/>
      <c r="I1105" s="4" t="s">
        <v>226</v>
      </c>
      <c r="J1105" s="81"/>
    </row>
    <row r="1106">
      <c r="A1106" s="89"/>
      <c r="B1106" s="4" t="s">
        <v>710</v>
      </c>
      <c r="C1106" s="4" t="s">
        <v>443</v>
      </c>
      <c r="D1106" s="83" t="s">
        <v>224</v>
      </c>
      <c r="E1106" s="83" t="s">
        <v>1059</v>
      </c>
      <c r="F1106" s="88">
        <v>0.006944444444444444</v>
      </c>
      <c r="G1106" s="4" t="s">
        <v>1097</v>
      </c>
      <c r="H1106" s="27"/>
      <c r="I1106" s="4" t="s">
        <v>226</v>
      </c>
      <c r="J1106" s="81"/>
    </row>
    <row r="1107">
      <c r="A1107" s="89"/>
      <c r="B1107" s="4" t="s">
        <v>710</v>
      </c>
      <c r="C1107" s="4" t="s">
        <v>443</v>
      </c>
      <c r="D1107" s="83" t="s">
        <v>224</v>
      </c>
      <c r="E1107" s="83" t="s">
        <v>1059</v>
      </c>
      <c r="F1107" s="88">
        <v>0.006944444444444444</v>
      </c>
      <c r="G1107" s="4" t="s">
        <v>1101</v>
      </c>
      <c r="H1107" s="27"/>
      <c r="I1107" s="4" t="s">
        <v>226</v>
      </c>
      <c r="J1107" s="81"/>
    </row>
    <row r="1108">
      <c r="A1108" s="89"/>
      <c r="B1108" s="4" t="s">
        <v>710</v>
      </c>
      <c r="C1108" s="4" t="s">
        <v>443</v>
      </c>
      <c r="D1108" s="83" t="s">
        <v>224</v>
      </c>
      <c r="E1108" s="83" t="s">
        <v>1059</v>
      </c>
      <c r="F1108" s="88">
        <v>0.006944444444444444</v>
      </c>
      <c r="G1108" s="4" t="s">
        <v>1119</v>
      </c>
      <c r="H1108" s="27"/>
      <c r="I1108" s="4" t="s">
        <v>226</v>
      </c>
      <c r="J1108" s="81"/>
    </row>
    <row r="1109">
      <c r="A1109" s="89"/>
      <c r="B1109" s="4" t="s">
        <v>710</v>
      </c>
      <c r="C1109" s="4" t="s">
        <v>443</v>
      </c>
      <c r="D1109" s="83" t="s">
        <v>224</v>
      </c>
      <c r="E1109" s="83" t="s">
        <v>1059</v>
      </c>
      <c r="F1109" s="88">
        <v>0.006944444444444444</v>
      </c>
      <c r="G1109" s="5" t="s">
        <v>192</v>
      </c>
      <c r="H1109" s="27"/>
      <c r="I1109" s="4" t="s">
        <v>226</v>
      </c>
      <c r="J1109" s="81"/>
    </row>
    <row r="1110">
      <c r="A1110" s="89"/>
      <c r="B1110" s="4" t="s">
        <v>389</v>
      </c>
      <c r="C1110" s="4" t="s">
        <v>223</v>
      </c>
      <c r="D1110" s="4" t="s">
        <v>311</v>
      </c>
      <c r="E1110" s="83" t="s">
        <v>1059</v>
      </c>
      <c r="F1110" s="88">
        <v>0.006944444444444444</v>
      </c>
      <c r="G1110" s="4" t="s">
        <v>144</v>
      </c>
      <c r="H1110" s="27"/>
      <c r="I1110" s="4" t="s">
        <v>313</v>
      </c>
      <c r="J1110" s="81"/>
      <c r="K1110" s="89"/>
      <c r="L1110" s="89"/>
      <c r="M1110" s="89"/>
      <c r="N1110" s="89"/>
    </row>
    <row r="1111">
      <c r="A1111" s="89"/>
      <c r="B1111" s="4" t="s">
        <v>389</v>
      </c>
      <c r="C1111" s="4" t="s">
        <v>223</v>
      </c>
      <c r="D1111" s="4" t="s">
        <v>311</v>
      </c>
      <c r="E1111" s="83" t="s">
        <v>1059</v>
      </c>
      <c r="F1111" s="88">
        <v>0.006944444444444444</v>
      </c>
      <c r="G1111" s="4" t="s">
        <v>1120</v>
      </c>
      <c r="H1111" s="27"/>
      <c r="I1111" s="4" t="s">
        <v>313</v>
      </c>
      <c r="J1111" s="81"/>
      <c r="K1111" s="89"/>
      <c r="L1111" s="89"/>
      <c r="M1111" s="89"/>
      <c r="N1111" s="89"/>
    </row>
    <row r="1112">
      <c r="A1112" s="89"/>
      <c r="B1112" s="4" t="s">
        <v>389</v>
      </c>
      <c r="C1112" s="4" t="s">
        <v>223</v>
      </c>
      <c r="D1112" s="4" t="s">
        <v>311</v>
      </c>
      <c r="E1112" s="83" t="s">
        <v>1059</v>
      </c>
      <c r="F1112" s="88">
        <v>0.006944444444444444</v>
      </c>
      <c r="G1112" s="4" t="s">
        <v>1060</v>
      </c>
      <c r="H1112" s="27"/>
      <c r="I1112" s="4" t="s">
        <v>313</v>
      </c>
      <c r="J1112" s="81"/>
      <c r="K1112" s="89"/>
      <c r="L1112" s="89"/>
      <c r="M1112" s="89"/>
      <c r="N1112" s="89"/>
    </row>
    <row r="1113">
      <c r="A1113" s="89"/>
      <c r="B1113" s="4" t="s">
        <v>389</v>
      </c>
      <c r="C1113" s="4" t="s">
        <v>223</v>
      </c>
      <c r="D1113" s="4" t="s">
        <v>311</v>
      </c>
      <c r="E1113" s="83" t="s">
        <v>1059</v>
      </c>
      <c r="F1113" s="88">
        <v>0.006944444444444444</v>
      </c>
      <c r="G1113" s="4" t="s">
        <v>132</v>
      </c>
      <c r="H1113" s="27"/>
      <c r="I1113" s="4" t="s">
        <v>313</v>
      </c>
      <c r="J1113" s="81"/>
    </row>
    <row r="1114">
      <c r="A1114" s="89"/>
      <c r="B1114" s="4" t="s">
        <v>389</v>
      </c>
      <c r="C1114" s="4" t="s">
        <v>223</v>
      </c>
      <c r="D1114" s="4" t="s">
        <v>311</v>
      </c>
      <c r="E1114" s="83" t="s">
        <v>1059</v>
      </c>
      <c r="F1114" s="88">
        <v>0.006944444444444444</v>
      </c>
      <c r="G1114" s="4" t="s">
        <v>1121</v>
      </c>
      <c r="H1114" s="27"/>
      <c r="I1114" s="4" t="s">
        <v>313</v>
      </c>
      <c r="J1114" s="81"/>
    </row>
    <row r="1115">
      <c r="A1115" s="89"/>
      <c r="B1115" s="4" t="s">
        <v>389</v>
      </c>
      <c r="C1115" s="4" t="s">
        <v>223</v>
      </c>
      <c r="D1115" s="4" t="s">
        <v>311</v>
      </c>
      <c r="E1115" s="83" t="s">
        <v>1059</v>
      </c>
      <c r="F1115" s="88">
        <v>0.006944444444444444</v>
      </c>
      <c r="G1115" s="4" t="s">
        <v>1122</v>
      </c>
      <c r="H1115" s="27"/>
      <c r="I1115" s="4" t="s">
        <v>313</v>
      </c>
      <c r="J1115" s="81"/>
    </row>
    <row r="1116">
      <c r="A1116" s="89"/>
      <c r="B1116" s="4" t="s">
        <v>389</v>
      </c>
      <c r="C1116" s="4" t="s">
        <v>223</v>
      </c>
      <c r="D1116" s="4" t="s">
        <v>311</v>
      </c>
      <c r="E1116" s="83" t="s">
        <v>1059</v>
      </c>
      <c r="F1116" s="88">
        <v>0.006944444444444444</v>
      </c>
      <c r="G1116" s="4" t="s">
        <v>1123</v>
      </c>
      <c r="H1116" s="27"/>
      <c r="I1116" s="4" t="s">
        <v>313</v>
      </c>
      <c r="J1116" s="81"/>
    </row>
    <row r="1117">
      <c r="A1117" s="89"/>
      <c r="B1117" s="4" t="s">
        <v>389</v>
      </c>
      <c r="C1117" s="4" t="s">
        <v>223</v>
      </c>
      <c r="D1117" s="4" t="s">
        <v>311</v>
      </c>
      <c r="E1117" s="83" t="s">
        <v>1059</v>
      </c>
      <c r="F1117" s="88">
        <v>0.006944444444444444</v>
      </c>
      <c r="G1117" s="4" t="s">
        <v>1124</v>
      </c>
      <c r="H1117" s="27"/>
      <c r="I1117" s="4" t="s">
        <v>313</v>
      </c>
      <c r="J1117" s="81"/>
    </row>
    <row r="1118">
      <c r="A1118" s="89"/>
      <c r="B1118" s="4" t="s">
        <v>389</v>
      </c>
      <c r="C1118" s="4" t="s">
        <v>223</v>
      </c>
      <c r="D1118" s="4" t="s">
        <v>311</v>
      </c>
      <c r="E1118" s="83" t="s">
        <v>1059</v>
      </c>
      <c r="F1118" s="88">
        <v>0.006944444444444444</v>
      </c>
      <c r="G1118" s="4" t="s">
        <v>1125</v>
      </c>
      <c r="H1118" s="27"/>
      <c r="I1118" s="4" t="s">
        <v>313</v>
      </c>
      <c r="J1118" s="81"/>
    </row>
    <row r="1119">
      <c r="A1119" s="89"/>
      <c r="B1119" s="4" t="s">
        <v>389</v>
      </c>
      <c r="C1119" s="4" t="s">
        <v>223</v>
      </c>
      <c r="D1119" s="4" t="s">
        <v>311</v>
      </c>
      <c r="E1119" s="83" t="s">
        <v>1059</v>
      </c>
      <c r="F1119" s="88">
        <v>0.006944444444444444</v>
      </c>
      <c r="G1119" s="4" t="s">
        <v>1126</v>
      </c>
      <c r="H1119" s="27"/>
      <c r="I1119" s="4" t="s">
        <v>313</v>
      </c>
      <c r="J1119" s="81"/>
    </row>
    <row r="1120">
      <c r="A1120" s="89"/>
      <c r="B1120" s="4" t="s">
        <v>389</v>
      </c>
      <c r="C1120" s="4" t="s">
        <v>223</v>
      </c>
      <c r="D1120" s="4" t="s">
        <v>311</v>
      </c>
      <c r="E1120" s="83" t="s">
        <v>1059</v>
      </c>
      <c r="F1120" s="88">
        <v>0.006944444444444444</v>
      </c>
      <c r="G1120" s="4" t="s">
        <v>1127</v>
      </c>
      <c r="H1120" s="27"/>
      <c r="I1120" s="4" t="s">
        <v>313</v>
      </c>
      <c r="J1120" s="81"/>
    </row>
    <row r="1121">
      <c r="A1121" s="89"/>
      <c r="B1121" s="4" t="s">
        <v>389</v>
      </c>
      <c r="C1121" s="4" t="s">
        <v>223</v>
      </c>
      <c r="D1121" s="4" t="s">
        <v>311</v>
      </c>
      <c r="E1121" s="83" t="s">
        <v>1059</v>
      </c>
      <c r="F1121" s="88">
        <v>0.006944444444444444</v>
      </c>
      <c r="G1121" s="4" t="s">
        <v>1125</v>
      </c>
      <c r="H1121" s="27"/>
      <c r="I1121" s="4" t="s">
        <v>313</v>
      </c>
      <c r="J1121" s="81"/>
    </row>
    <row r="1122">
      <c r="A1122" s="89"/>
      <c r="B1122" s="4" t="s">
        <v>723</v>
      </c>
      <c r="C1122" s="4" t="s">
        <v>726</v>
      </c>
      <c r="D1122" s="4" t="s">
        <v>594</v>
      </c>
      <c r="E1122" s="83" t="s">
        <v>1059</v>
      </c>
      <c r="F1122" s="88">
        <v>0.006944444444444444</v>
      </c>
      <c r="G1122" s="4" t="s">
        <v>1128</v>
      </c>
      <c r="H1122" s="27"/>
      <c r="I1122" s="4" t="s">
        <v>313</v>
      </c>
      <c r="J1122" s="81"/>
    </row>
    <row r="1123">
      <c r="A1123" s="89"/>
      <c r="B1123" s="4" t="s">
        <v>723</v>
      </c>
      <c r="C1123" s="4" t="s">
        <v>726</v>
      </c>
      <c r="D1123" s="4" t="s">
        <v>594</v>
      </c>
      <c r="E1123" s="83" t="s">
        <v>1059</v>
      </c>
      <c r="F1123" s="88">
        <v>0.006944444444444444</v>
      </c>
      <c r="G1123" s="4" t="s">
        <v>1129</v>
      </c>
      <c r="H1123" s="27"/>
      <c r="I1123" s="4" t="s">
        <v>313</v>
      </c>
      <c r="J1123" s="81"/>
    </row>
    <row r="1124">
      <c r="A1124" s="89"/>
      <c r="B1124" s="4" t="s">
        <v>723</v>
      </c>
      <c r="C1124" s="4" t="s">
        <v>726</v>
      </c>
      <c r="D1124" s="4" t="s">
        <v>594</v>
      </c>
      <c r="E1124" s="83" t="s">
        <v>1059</v>
      </c>
      <c r="F1124" s="88">
        <v>0.006944444444444444</v>
      </c>
      <c r="G1124" s="4" t="s">
        <v>1130</v>
      </c>
      <c r="H1124" s="27"/>
      <c r="I1124" s="4" t="s">
        <v>313</v>
      </c>
      <c r="J1124" s="81"/>
    </row>
    <row r="1125">
      <c r="A1125" s="89"/>
      <c r="B1125" s="4" t="s">
        <v>723</v>
      </c>
      <c r="C1125" s="4" t="s">
        <v>726</v>
      </c>
      <c r="D1125" s="4" t="s">
        <v>594</v>
      </c>
      <c r="E1125" s="83" t="s">
        <v>1059</v>
      </c>
      <c r="F1125" s="88">
        <v>0.006944444444444444</v>
      </c>
      <c r="G1125" s="4" t="s">
        <v>1131</v>
      </c>
      <c r="H1125" s="27"/>
      <c r="I1125" s="4" t="s">
        <v>313</v>
      </c>
      <c r="J1125" s="81"/>
    </row>
    <row r="1126">
      <c r="A1126" s="89"/>
      <c r="B1126" s="4" t="s">
        <v>723</v>
      </c>
      <c r="C1126" s="4" t="s">
        <v>724</v>
      </c>
      <c r="D1126" s="4" t="s">
        <v>594</v>
      </c>
      <c r="E1126" s="83" t="s">
        <v>1059</v>
      </c>
      <c r="F1126" s="88">
        <v>0.006944444444444444</v>
      </c>
      <c r="G1126" s="4" t="s">
        <v>729</v>
      </c>
      <c r="H1126" s="27"/>
      <c r="I1126" s="4" t="s">
        <v>313</v>
      </c>
      <c r="J1126" s="81"/>
    </row>
    <row r="1127">
      <c r="A1127" s="89"/>
      <c r="B1127" s="4" t="s">
        <v>723</v>
      </c>
      <c r="C1127" s="4" t="s">
        <v>724</v>
      </c>
      <c r="D1127" s="4" t="s">
        <v>594</v>
      </c>
      <c r="E1127" s="83" t="s">
        <v>1059</v>
      </c>
      <c r="F1127" s="88">
        <v>0.006944444444444444</v>
      </c>
      <c r="G1127" s="4" t="s">
        <v>1128</v>
      </c>
      <c r="H1127" s="27"/>
      <c r="I1127" s="4" t="s">
        <v>313</v>
      </c>
      <c r="J1127" s="81"/>
    </row>
    <row r="1128">
      <c r="A1128" s="89"/>
      <c r="B1128" s="4" t="s">
        <v>723</v>
      </c>
      <c r="C1128" s="4" t="s">
        <v>724</v>
      </c>
      <c r="D1128" s="4" t="s">
        <v>594</v>
      </c>
      <c r="E1128" s="83" t="s">
        <v>1059</v>
      </c>
      <c r="F1128" s="88">
        <v>0.006944444444444444</v>
      </c>
      <c r="G1128" s="4" t="s">
        <v>1129</v>
      </c>
      <c r="H1128" s="27"/>
      <c r="I1128" s="4" t="s">
        <v>313</v>
      </c>
      <c r="J1128" s="81"/>
    </row>
    <row r="1129">
      <c r="A1129" s="89"/>
      <c r="B1129" s="4" t="s">
        <v>723</v>
      </c>
      <c r="C1129" s="4" t="s">
        <v>724</v>
      </c>
      <c r="D1129" s="4" t="s">
        <v>594</v>
      </c>
      <c r="E1129" s="83" t="s">
        <v>1059</v>
      </c>
      <c r="F1129" s="88">
        <v>0.006944444444444444</v>
      </c>
      <c r="G1129" s="4" t="s">
        <v>1130</v>
      </c>
      <c r="H1129" s="27"/>
      <c r="I1129" s="4" t="s">
        <v>313</v>
      </c>
      <c r="J1129" s="81"/>
    </row>
    <row r="1130">
      <c r="A1130" s="89"/>
      <c r="B1130" s="4" t="s">
        <v>723</v>
      </c>
      <c r="C1130" s="4" t="s">
        <v>724</v>
      </c>
      <c r="D1130" s="4" t="s">
        <v>594</v>
      </c>
      <c r="E1130" s="83" t="s">
        <v>1059</v>
      </c>
      <c r="F1130" s="88">
        <v>0.006944444444444444</v>
      </c>
      <c r="G1130" s="4" t="s">
        <v>1131</v>
      </c>
      <c r="H1130" s="27"/>
      <c r="I1130" s="4" t="s">
        <v>313</v>
      </c>
      <c r="J1130" s="81"/>
    </row>
    <row r="1131">
      <c r="A1131" s="89"/>
      <c r="D1131" s="83"/>
      <c r="E1131" s="83"/>
      <c r="F1131" s="88"/>
      <c r="H1131" s="27"/>
      <c r="I1131" s="27"/>
      <c r="J1131" s="81"/>
    </row>
    <row r="1132">
      <c r="A1132" s="89"/>
      <c r="B1132" s="4" t="s">
        <v>862</v>
      </c>
      <c r="C1132" s="4" t="s">
        <v>223</v>
      </c>
      <c r="D1132" s="83" t="s">
        <v>205</v>
      </c>
      <c r="E1132" s="83" t="s">
        <v>1059</v>
      </c>
      <c r="F1132" s="88">
        <v>0.006944444444444444</v>
      </c>
      <c r="G1132" s="4" t="s">
        <v>163</v>
      </c>
      <c r="H1132" s="27"/>
      <c r="I1132" s="4" t="s">
        <v>313</v>
      </c>
      <c r="J1132" s="81"/>
    </row>
    <row r="1133">
      <c r="A1133" s="89"/>
      <c r="D1133" s="83"/>
      <c r="E1133" s="83"/>
      <c r="F1133" s="88"/>
      <c r="H1133" s="27"/>
      <c r="I1133" s="27"/>
      <c r="J1133" s="81"/>
    </row>
    <row r="1134">
      <c r="A1134" s="89"/>
      <c r="F1134" s="96"/>
      <c r="H1134" s="27"/>
      <c r="I1134" s="4" t="s">
        <v>226</v>
      </c>
      <c r="J1134" s="81"/>
    </row>
    <row r="1135">
      <c r="A1135" s="89"/>
      <c r="F1135" s="96"/>
      <c r="H1135" s="27"/>
      <c r="I1135" s="4" t="s">
        <v>226</v>
      </c>
      <c r="J1135" s="81"/>
    </row>
    <row r="1136">
      <c r="A1136" s="89"/>
      <c r="F1136" s="96"/>
      <c r="H1136" s="27"/>
      <c r="I1136" s="4" t="s">
        <v>226</v>
      </c>
      <c r="J1136" s="81"/>
    </row>
    <row r="1137">
      <c r="A1137" s="89"/>
      <c r="F1137" s="96"/>
      <c r="H1137" s="27"/>
      <c r="I1137" s="4" t="s">
        <v>226</v>
      </c>
      <c r="J1137" s="81"/>
    </row>
    <row r="1138">
      <c r="A1138" s="89"/>
      <c r="F1138" s="96"/>
      <c r="H1138" s="27"/>
      <c r="I1138" s="27"/>
      <c r="J1138" s="81"/>
    </row>
    <row r="1139">
      <c r="A1139" s="89"/>
      <c r="F1139" s="96"/>
      <c r="H1139" s="27"/>
      <c r="I1139" s="27"/>
      <c r="J1139" s="81"/>
    </row>
    <row r="1140">
      <c r="A1140" s="89"/>
      <c r="F1140" s="96"/>
      <c r="H1140" s="27"/>
      <c r="I1140" s="27"/>
      <c r="J1140" s="81"/>
    </row>
    <row r="1141">
      <c r="A1141" s="89"/>
      <c r="F1141" s="96"/>
      <c r="H1141" s="27"/>
      <c r="I1141" s="27"/>
      <c r="J1141" s="81"/>
    </row>
    <row r="1142">
      <c r="A1142" s="89"/>
      <c r="F1142" s="96"/>
      <c r="H1142" s="27"/>
      <c r="I1142" s="27"/>
      <c r="J1142" s="81"/>
    </row>
    <row r="1143">
      <c r="A1143" s="89"/>
      <c r="F1143" s="96"/>
      <c r="H1143" s="27"/>
      <c r="I1143" s="27"/>
      <c r="J1143" s="81"/>
    </row>
    <row r="1144">
      <c r="A1144" s="89"/>
      <c r="F1144" s="96"/>
      <c r="H1144" s="27"/>
      <c r="I1144" s="27"/>
      <c r="J1144" s="81"/>
    </row>
    <row r="1145">
      <c r="A1145" s="89"/>
      <c r="F1145" s="96"/>
      <c r="H1145" s="27"/>
      <c r="I1145" s="27"/>
      <c r="J1145" s="81"/>
    </row>
    <row r="1146">
      <c r="A1146" s="89"/>
      <c r="F1146" s="96"/>
      <c r="H1146" s="27"/>
      <c r="I1146" s="27"/>
      <c r="J1146" s="81"/>
    </row>
    <row r="1147">
      <c r="A1147" s="89"/>
      <c r="F1147" s="96"/>
      <c r="H1147" s="27"/>
      <c r="I1147" s="27"/>
      <c r="J1147" s="81"/>
    </row>
    <row r="1148">
      <c r="A1148" s="89"/>
      <c r="F1148" s="96"/>
      <c r="H1148" s="27"/>
      <c r="I1148" s="27"/>
      <c r="J1148" s="81"/>
    </row>
    <row r="1149">
      <c r="A1149" s="89"/>
      <c r="F1149" s="96"/>
      <c r="H1149" s="27"/>
      <c r="I1149" s="27"/>
      <c r="J1149" s="81"/>
    </row>
    <row r="1150">
      <c r="A1150" s="89"/>
      <c r="F1150" s="96"/>
      <c r="H1150" s="27"/>
      <c r="I1150" s="27"/>
      <c r="J1150" s="81"/>
    </row>
    <row r="1151">
      <c r="A1151" s="89"/>
      <c r="F1151" s="96"/>
      <c r="H1151" s="27"/>
      <c r="I1151" s="27"/>
      <c r="J1151" s="81"/>
    </row>
    <row r="1152">
      <c r="A1152" s="89"/>
      <c r="F1152" s="96"/>
      <c r="H1152" s="27"/>
      <c r="I1152" s="27"/>
      <c r="J1152" s="81"/>
    </row>
    <row r="1153">
      <c r="A1153" s="89"/>
      <c r="F1153" s="96"/>
      <c r="H1153" s="27"/>
      <c r="I1153" s="27"/>
      <c r="J1153" s="81"/>
    </row>
    <row r="1154">
      <c r="A1154" s="89"/>
      <c r="F1154" s="96"/>
      <c r="H1154" s="27"/>
      <c r="I1154" s="27"/>
      <c r="J1154" s="81"/>
    </row>
    <row r="1155">
      <c r="A1155" s="89"/>
      <c r="F1155" s="96"/>
      <c r="H1155" s="27"/>
      <c r="I1155" s="27"/>
      <c r="J1155" s="81"/>
    </row>
    <row r="1156">
      <c r="A1156" s="89"/>
      <c r="F1156" s="96"/>
      <c r="H1156" s="27"/>
      <c r="I1156" s="27"/>
      <c r="J1156" s="81"/>
    </row>
    <row r="1157">
      <c r="A1157" s="89"/>
      <c r="F1157" s="96"/>
      <c r="H1157" s="27"/>
      <c r="I1157" s="27"/>
      <c r="J1157" s="81"/>
    </row>
    <row r="1158">
      <c r="A1158" s="89"/>
      <c r="F1158" s="96"/>
      <c r="H1158" s="27"/>
      <c r="I1158" s="27"/>
      <c r="J1158" s="81"/>
    </row>
    <row r="1159">
      <c r="A1159" s="89"/>
      <c r="F1159" s="96"/>
      <c r="H1159" s="27"/>
      <c r="I1159" s="27"/>
      <c r="J1159" s="81"/>
    </row>
    <row r="1160">
      <c r="A1160" s="89"/>
      <c r="F1160" s="96"/>
      <c r="H1160" s="27"/>
      <c r="I1160" s="27"/>
      <c r="J1160" s="81"/>
    </row>
    <row r="1161">
      <c r="A1161" s="89"/>
      <c r="F1161" s="96"/>
      <c r="H1161" s="27"/>
      <c r="I1161" s="27"/>
      <c r="J1161" s="81"/>
    </row>
    <row r="1162">
      <c r="A1162" s="89"/>
      <c r="F1162" s="96"/>
      <c r="H1162" s="27"/>
      <c r="I1162" s="27"/>
      <c r="J1162" s="81"/>
    </row>
    <row r="1163">
      <c r="A1163" s="89"/>
      <c r="F1163" s="96"/>
      <c r="H1163" s="27"/>
      <c r="I1163" s="27"/>
      <c r="J1163" s="81"/>
    </row>
    <row r="1164">
      <c r="A1164" s="89"/>
      <c r="F1164" s="96"/>
      <c r="H1164" s="27"/>
      <c r="I1164" s="27"/>
      <c r="J1164" s="81"/>
    </row>
    <row r="1165">
      <c r="A1165" s="89"/>
      <c r="F1165" s="96"/>
      <c r="H1165" s="27"/>
      <c r="I1165" s="27"/>
      <c r="J1165" s="81"/>
    </row>
    <row r="1166">
      <c r="A1166" s="89"/>
      <c r="F1166" s="96"/>
      <c r="H1166" s="27"/>
      <c r="I1166" s="27"/>
      <c r="J1166" s="81"/>
    </row>
    <row r="1167">
      <c r="A1167" s="89"/>
      <c r="F1167" s="96"/>
      <c r="H1167" s="27"/>
      <c r="I1167" s="27"/>
      <c r="J1167" s="81"/>
    </row>
    <row r="1168">
      <c r="A1168" s="89"/>
      <c r="F1168" s="96"/>
      <c r="H1168" s="27"/>
      <c r="I1168" s="27"/>
      <c r="J1168" s="81"/>
    </row>
    <row r="1169">
      <c r="A1169" s="89"/>
      <c r="F1169" s="96"/>
      <c r="H1169" s="27"/>
      <c r="I1169" s="27"/>
      <c r="J1169" s="81"/>
    </row>
    <row r="1170">
      <c r="A1170" s="89"/>
      <c r="F1170" s="96"/>
      <c r="H1170" s="27"/>
      <c r="I1170" s="27"/>
      <c r="J1170" s="81"/>
    </row>
    <row r="1171">
      <c r="A1171" s="89"/>
      <c r="F1171" s="96"/>
      <c r="H1171" s="27"/>
      <c r="I1171" s="27"/>
      <c r="J1171" s="81"/>
    </row>
    <row r="1172">
      <c r="A1172" s="89"/>
      <c r="F1172" s="96"/>
      <c r="H1172" s="27"/>
      <c r="I1172" s="27"/>
      <c r="J1172" s="81"/>
    </row>
    <row r="1173">
      <c r="A1173" s="89"/>
      <c r="F1173" s="96"/>
      <c r="H1173" s="27"/>
      <c r="I1173" s="27"/>
      <c r="J1173" s="81"/>
    </row>
    <row r="1174">
      <c r="A1174" s="89"/>
      <c r="F1174" s="96"/>
      <c r="H1174" s="27"/>
      <c r="I1174" s="27"/>
      <c r="J1174" s="81"/>
    </row>
    <row r="1175">
      <c r="A1175" s="89"/>
      <c r="F1175" s="96"/>
      <c r="H1175" s="27"/>
      <c r="I1175" s="27"/>
      <c r="J1175" s="81"/>
    </row>
    <row r="1176">
      <c r="A1176" s="89"/>
      <c r="F1176" s="96"/>
      <c r="H1176" s="27"/>
      <c r="I1176" s="27"/>
      <c r="J1176" s="81"/>
    </row>
    <row r="1177">
      <c r="A1177" s="89"/>
      <c r="F1177" s="96"/>
      <c r="H1177" s="27"/>
      <c r="I1177" s="27"/>
      <c r="J1177" s="81"/>
    </row>
    <row r="1178">
      <c r="A1178" s="89"/>
      <c r="F1178" s="96"/>
      <c r="H1178" s="27"/>
      <c r="I1178" s="27"/>
      <c r="J1178" s="81"/>
    </row>
    <row r="1179">
      <c r="A1179" s="89"/>
      <c r="F1179" s="96"/>
      <c r="H1179" s="27"/>
      <c r="I1179" s="27"/>
      <c r="J1179" s="81"/>
    </row>
    <row r="1180">
      <c r="A1180" s="89"/>
      <c r="F1180" s="96"/>
      <c r="H1180" s="27"/>
      <c r="I1180" s="27"/>
      <c r="J1180" s="81"/>
    </row>
    <row r="1181">
      <c r="A1181" s="89"/>
      <c r="F1181" s="96"/>
      <c r="H1181" s="27"/>
      <c r="I1181" s="27"/>
      <c r="J1181" s="81"/>
    </row>
    <row r="1182">
      <c r="A1182" s="89"/>
      <c r="F1182" s="96"/>
      <c r="H1182" s="27"/>
      <c r="I1182" s="27"/>
      <c r="J1182" s="81"/>
    </row>
    <row r="1183">
      <c r="A1183" s="89"/>
      <c r="F1183" s="96"/>
      <c r="H1183" s="27"/>
      <c r="I1183" s="27"/>
      <c r="J1183" s="81"/>
    </row>
    <row r="1184">
      <c r="A1184" s="89"/>
      <c r="F1184" s="96"/>
      <c r="H1184" s="27"/>
      <c r="I1184" s="27"/>
      <c r="J1184" s="81"/>
    </row>
    <row r="1185">
      <c r="A1185" s="89"/>
      <c r="F1185" s="96"/>
      <c r="H1185" s="27"/>
      <c r="I1185" s="27"/>
      <c r="J1185" s="81"/>
    </row>
    <row r="1186">
      <c r="A1186" s="89"/>
      <c r="F1186" s="96"/>
      <c r="H1186" s="27"/>
      <c r="I1186" s="27"/>
      <c r="J1186" s="81"/>
    </row>
    <row r="1187">
      <c r="A1187" s="89"/>
      <c r="F1187" s="96"/>
      <c r="H1187" s="27"/>
      <c r="I1187" s="27"/>
      <c r="J1187" s="81"/>
    </row>
    <row r="1188">
      <c r="A1188" s="89"/>
      <c r="F1188" s="96"/>
      <c r="H1188" s="27"/>
      <c r="I1188" s="27"/>
      <c r="J1188" s="81"/>
    </row>
    <row r="1189">
      <c r="A1189" s="89"/>
      <c r="F1189" s="96"/>
      <c r="H1189" s="27"/>
      <c r="I1189" s="27"/>
      <c r="J1189" s="81"/>
    </row>
    <row r="1190">
      <c r="A1190" s="89"/>
      <c r="F1190" s="96"/>
      <c r="H1190" s="27"/>
      <c r="I1190" s="27"/>
      <c r="J1190" s="81"/>
    </row>
    <row r="1191">
      <c r="A1191" s="89"/>
      <c r="F1191" s="96"/>
      <c r="H1191" s="27"/>
      <c r="I1191" s="27"/>
      <c r="J1191" s="81"/>
    </row>
    <row r="1192">
      <c r="A1192" s="89"/>
      <c r="F1192" s="96"/>
      <c r="H1192" s="27"/>
      <c r="I1192" s="27"/>
      <c r="J1192" s="81"/>
    </row>
    <row r="1193">
      <c r="A1193" s="89"/>
      <c r="F1193" s="96"/>
      <c r="H1193" s="27"/>
      <c r="I1193" s="27"/>
      <c r="J1193" s="81"/>
    </row>
    <row r="1194">
      <c r="A1194" s="89"/>
      <c r="F1194" s="96"/>
      <c r="H1194" s="27"/>
      <c r="I1194" s="27"/>
      <c r="J1194" s="81"/>
    </row>
    <row r="1195">
      <c r="A1195" s="89"/>
      <c r="F1195" s="96"/>
      <c r="H1195" s="27"/>
      <c r="I1195" s="27"/>
      <c r="J1195" s="81"/>
    </row>
    <row r="1196">
      <c r="A1196" s="89"/>
      <c r="F1196" s="96"/>
      <c r="H1196" s="27"/>
      <c r="I1196" s="27"/>
      <c r="J1196" s="81"/>
    </row>
    <row r="1197">
      <c r="A1197" s="89"/>
      <c r="F1197" s="96"/>
      <c r="H1197" s="27"/>
      <c r="I1197" s="27"/>
      <c r="J1197" s="81"/>
    </row>
    <row r="1198">
      <c r="A1198" s="89"/>
      <c r="F1198" s="96"/>
      <c r="H1198" s="27"/>
      <c r="I1198" s="27"/>
      <c r="J1198" s="81"/>
    </row>
    <row r="1199">
      <c r="A1199" s="89"/>
      <c r="F1199" s="96"/>
      <c r="H1199" s="27"/>
      <c r="I1199" s="27"/>
      <c r="J1199" s="81"/>
    </row>
    <row r="1200">
      <c r="A1200" s="89"/>
      <c r="F1200" s="96"/>
      <c r="H1200" s="27"/>
      <c r="I1200" s="27"/>
      <c r="J1200" s="81"/>
    </row>
    <row r="1201">
      <c r="A1201" s="89"/>
      <c r="F1201" s="96"/>
      <c r="H1201" s="27"/>
      <c r="I1201" s="27"/>
      <c r="J1201" s="81"/>
    </row>
    <row r="1202">
      <c r="A1202" s="89"/>
      <c r="F1202" s="96"/>
      <c r="H1202" s="27"/>
      <c r="I1202" s="27"/>
      <c r="J1202" s="81"/>
    </row>
    <row r="1203">
      <c r="A1203" s="89"/>
      <c r="F1203" s="96"/>
      <c r="H1203" s="27"/>
      <c r="I1203" s="27"/>
      <c r="J1203" s="81"/>
    </row>
    <row r="1204">
      <c r="A1204" s="89"/>
      <c r="F1204" s="96"/>
      <c r="H1204" s="27"/>
      <c r="I1204" s="27"/>
      <c r="J1204" s="81"/>
    </row>
    <row r="1205">
      <c r="A1205" s="89"/>
      <c r="F1205" s="96"/>
      <c r="H1205" s="27"/>
      <c r="I1205" s="27"/>
      <c r="J1205" s="81"/>
    </row>
    <row r="1206">
      <c r="A1206" s="89"/>
      <c r="F1206" s="96"/>
      <c r="H1206" s="27"/>
      <c r="I1206" s="27"/>
      <c r="J1206" s="81"/>
    </row>
    <row r="1207">
      <c r="A1207" s="89"/>
      <c r="F1207" s="96"/>
      <c r="H1207" s="27"/>
      <c r="I1207" s="27"/>
      <c r="J1207" s="81"/>
    </row>
    <row r="1208">
      <c r="A1208" s="89"/>
      <c r="F1208" s="96"/>
      <c r="H1208" s="27"/>
      <c r="I1208" s="27"/>
      <c r="J1208" s="81"/>
    </row>
    <row r="1209">
      <c r="A1209" s="89"/>
      <c r="F1209" s="96"/>
      <c r="H1209" s="27"/>
      <c r="I1209" s="27"/>
      <c r="J1209" s="81"/>
    </row>
    <row r="1210">
      <c r="A1210" s="89"/>
      <c r="F1210" s="96"/>
      <c r="H1210" s="27"/>
      <c r="I1210" s="27"/>
      <c r="J1210" s="81"/>
    </row>
    <row r="1211">
      <c r="A1211" s="89"/>
      <c r="F1211" s="96"/>
      <c r="H1211" s="27"/>
      <c r="I1211" s="27"/>
      <c r="J1211" s="81"/>
    </row>
    <row r="1212">
      <c r="A1212" s="89"/>
      <c r="F1212" s="96"/>
      <c r="H1212" s="27"/>
      <c r="I1212" s="27"/>
      <c r="J1212" s="81"/>
    </row>
    <row r="1213">
      <c r="A1213" s="89"/>
      <c r="F1213" s="96"/>
      <c r="H1213" s="27"/>
      <c r="I1213" s="27"/>
      <c r="J1213" s="81"/>
    </row>
    <row r="1214">
      <c r="A1214" s="89"/>
      <c r="F1214" s="96"/>
      <c r="H1214" s="27"/>
      <c r="I1214" s="27"/>
      <c r="J1214" s="81"/>
    </row>
    <row r="1215">
      <c r="A1215" s="89"/>
      <c r="F1215" s="96"/>
      <c r="H1215" s="27"/>
      <c r="I1215" s="27"/>
      <c r="J1215" s="81"/>
    </row>
    <row r="1216">
      <c r="A1216" s="89"/>
      <c r="F1216" s="96"/>
      <c r="H1216" s="27"/>
      <c r="I1216" s="27"/>
      <c r="J1216" s="81"/>
    </row>
    <row r="1217">
      <c r="A1217" s="89"/>
      <c r="F1217" s="96"/>
      <c r="H1217" s="27"/>
      <c r="I1217" s="27"/>
      <c r="J1217" s="81"/>
    </row>
    <row r="1218">
      <c r="A1218" s="89"/>
      <c r="F1218" s="96"/>
      <c r="H1218" s="27"/>
      <c r="I1218" s="27"/>
      <c r="J1218" s="81"/>
    </row>
    <row r="1219">
      <c r="A1219" s="89"/>
      <c r="F1219" s="96"/>
      <c r="H1219" s="27"/>
      <c r="I1219" s="27"/>
      <c r="J1219" s="81"/>
    </row>
    <row r="1220">
      <c r="A1220" s="89"/>
      <c r="F1220" s="96"/>
      <c r="H1220" s="27"/>
      <c r="I1220" s="27"/>
      <c r="J1220" s="81"/>
    </row>
    <row r="1221">
      <c r="A1221" s="89"/>
      <c r="F1221" s="96"/>
      <c r="H1221" s="27"/>
      <c r="I1221" s="27"/>
      <c r="J1221" s="81"/>
    </row>
    <row r="1222">
      <c r="A1222" s="89"/>
      <c r="F1222" s="96"/>
      <c r="H1222" s="27"/>
      <c r="I1222" s="27"/>
      <c r="J1222" s="81"/>
    </row>
    <row r="1223">
      <c r="A1223" s="89"/>
      <c r="F1223" s="96"/>
      <c r="H1223" s="27"/>
      <c r="I1223" s="27"/>
      <c r="J1223" s="81"/>
    </row>
    <row r="1224">
      <c r="A1224" s="89"/>
      <c r="F1224" s="96"/>
      <c r="H1224" s="27"/>
      <c r="I1224" s="27"/>
      <c r="J1224" s="81"/>
    </row>
    <row r="1225">
      <c r="A1225" s="89"/>
      <c r="F1225" s="96"/>
      <c r="H1225" s="27"/>
      <c r="I1225" s="27"/>
      <c r="J1225" s="81"/>
    </row>
    <row r="1226">
      <c r="A1226" s="89"/>
      <c r="F1226" s="96"/>
      <c r="H1226" s="27"/>
      <c r="I1226" s="27"/>
      <c r="J1226" s="81"/>
    </row>
    <row r="1227">
      <c r="A1227" s="89"/>
      <c r="F1227" s="96"/>
      <c r="H1227" s="27"/>
      <c r="I1227" s="27"/>
      <c r="J1227" s="81"/>
    </row>
    <row r="1228">
      <c r="A1228" s="89"/>
      <c r="F1228" s="96"/>
      <c r="H1228" s="27"/>
      <c r="I1228" s="27"/>
      <c r="J1228" s="81"/>
    </row>
    <row r="1229">
      <c r="A1229" s="89"/>
      <c r="F1229" s="96"/>
      <c r="H1229" s="27"/>
      <c r="I1229" s="27"/>
      <c r="J1229" s="81"/>
    </row>
    <row r="1230">
      <c r="A1230" s="89"/>
      <c r="F1230" s="96"/>
      <c r="H1230" s="27"/>
      <c r="I1230" s="27"/>
      <c r="J1230" s="81"/>
    </row>
    <row r="1231">
      <c r="A1231" s="89"/>
      <c r="F1231" s="96"/>
      <c r="H1231" s="27"/>
      <c r="I1231" s="27"/>
      <c r="J1231" s="81"/>
    </row>
    <row r="1232">
      <c r="A1232" s="89"/>
      <c r="F1232" s="96"/>
      <c r="H1232" s="27"/>
      <c r="I1232" s="27"/>
      <c r="J1232" s="81"/>
    </row>
    <row r="1233">
      <c r="A1233" s="89"/>
      <c r="F1233" s="96"/>
      <c r="H1233" s="27"/>
      <c r="I1233" s="27"/>
      <c r="J1233" s="81"/>
    </row>
    <row r="1234">
      <c r="A1234" s="89"/>
      <c r="F1234" s="96"/>
      <c r="H1234" s="27"/>
      <c r="I1234" s="27"/>
      <c r="J1234" s="81"/>
    </row>
    <row r="1235">
      <c r="A1235" s="89"/>
      <c r="F1235" s="96"/>
      <c r="H1235" s="27"/>
      <c r="I1235" s="27"/>
      <c r="J1235" s="81"/>
    </row>
    <row r="1236">
      <c r="A1236" s="89"/>
      <c r="F1236" s="96"/>
      <c r="H1236" s="27"/>
      <c r="I1236" s="27"/>
      <c r="J1236" s="81"/>
    </row>
    <row r="1237">
      <c r="A1237" s="89"/>
      <c r="F1237" s="96"/>
      <c r="H1237" s="27"/>
      <c r="I1237" s="27"/>
      <c r="J1237" s="81"/>
    </row>
    <row r="1238">
      <c r="A1238" s="89"/>
      <c r="F1238" s="96"/>
      <c r="H1238" s="27"/>
      <c r="I1238" s="27"/>
      <c r="J1238" s="81"/>
    </row>
    <row r="1239">
      <c r="A1239" s="89"/>
      <c r="F1239" s="96"/>
      <c r="H1239" s="27"/>
      <c r="I1239" s="27"/>
      <c r="J1239" s="81"/>
    </row>
    <row r="1240">
      <c r="A1240" s="89"/>
      <c r="F1240" s="96"/>
      <c r="H1240" s="27"/>
      <c r="I1240" s="27"/>
      <c r="J1240" s="81"/>
    </row>
    <row r="1241">
      <c r="A1241" s="89"/>
      <c r="F1241" s="96"/>
      <c r="H1241" s="27"/>
      <c r="I1241" s="27"/>
      <c r="J1241" s="81"/>
    </row>
    <row r="1242">
      <c r="A1242" s="89"/>
      <c r="F1242" s="96"/>
      <c r="H1242" s="27"/>
      <c r="I1242" s="27"/>
      <c r="J1242" s="81"/>
    </row>
    <row r="1243">
      <c r="A1243" s="89"/>
      <c r="F1243" s="96"/>
      <c r="H1243" s="27"/>
      <c r="I1243" s="27"/>
      <c r="J1243" s="81"/>
    </row>
    <row r="1244">
      <c r="A1244" s="89"/>
      <c r="F1244" s="96"/>
      <c r="H1244" s="27"/>
      <c r="I1244" s="27"/>
      <c r="J1244" s="81"/>
    </row>
    <row r="1245">
      <c r="A1245" s="89"/>
      <c r="F1245" s="96"/>
      <c r="H1245" s="27"/>
      <c r="I1245" s="27"/>
      <c r="J1245" s="81"/>
    </row>
    <row r="1246">
      <c r="A1246" s="89"/>
      <c r="F1246" s="96"/>
      <c r="H1246" s="27"/>
      <c r="I1246" s="27"/>
      <c r="J1246" s="81"/>
    </row>
    <row r="1247">
      <c r="A1247" s="89"/>
      <c r="F1247" s="96"/>
      <c r="H1247" s="27"/>
      <c r="I1247" s="27"/>
      <c r="J1247" s="81"/>
    </row>
    <row r="1248">
      <c r="A1248" s="89"/>
      <c r="F1248" s="96"/>
      <c r="H1248" s="27"/>
      <c r="I1248" s="27"/>
      <c r="J1248" s="81"/>
    </row>
    <row r="1249">
      <c r="A1249" s="89"/>
      <c r="F1249" s="96"/>
      <c r="H1249" s="27"/>
      <c r="I1249" s="27"/>
      <c r="J1249" s="81"/>
    </row>
    <row r="1250">
      <c r="A1250" s="89"/>
      <c r="F1250" s="96"/>
      <c r="H1250" s="27"/>
      <c r="I1250" s="27"/>
      <c r="J1250" s="81"/>
    </row>
    <row r="1251">
      <c r="A1251" s="89"/>
      <c r="F1251" s="96"/>
      <c r="H1251" s="27"/>
      <c r="I1251" s="27"/>
      <c r="J1251" s="81"/>
    </row>
    <row r="1252">
      <c r="A1252" s="89"/>
      <c r="F1252" s="96"/>
      <c r="H1252" s="27"/>
      <c r="I1252" s="27"/>
      <c r="J1252" s="81"/>
    </row>
    <row r="1253">
      <c r="A1253" s="89"/>
      <c r="F1253" s="96"/>
      <c r="H1253" s="27"/>
      <c r="I1253" s="27"/>
      <c r="J1253" s="81"/>
    </row>
    <row r="1254">
      <c r="A1254" s="89"/>
      <c r="F1254" s="96"/>
      <c r="H1254" s="27"/>
      <c r="I1254" s="27"/>
      <c r="J1254" s="81"/>
    </row>
    <row r="1255">
      <c r="A1255" s="89"/>
      <c r="F1255" s="96"/>
      <c r="H1255" s="27"/>
      <c r="I1255" s="27"/>
      <c r="J1255" s="81"/>
    </row>
    <row r="1256">
      <c r="A1256" s="89"/>
      <c r="F1256" s="96"/>
      <c r="H1256" s="27"/>
      <c r="I1256" s="27"/>
      <c r="J1256" s="81"/>
    </row>
    <row r="1257">
      <c r="A1257" s="89"/>
      <c r="F1257" s="96"/>
      <c r="H1257" s="27"/>
      <c r="I1257" s="27"/>
      <c r="J1257" s="81"/>
    </row>
    <row r="1258">
      <c r="A1258" s="89"/>
      <c r="F1258" s="96"/>
      <c r="H1258" s="27"/>
      <c r="I1258" s="27"/>
      <c r="J1258" s="81"/>
    </row>
    <row r="1259">
      <c r="A1259" s="89"/>
      <c r="F1259" s="96"/>
      <c r="H1259" s="27"/>
      <c r="I1259" s="27"/>
      <c r="J1259" s="81"/>
    </row>
    <row r="1260">
      <c r="A1260" s="89"/>
      <c r="F1260" s="96"/>
      <c r="H1260" s="27"/>
      <c r="I1260" s="27"/>
      <c r="J1260" s="81"/>
    </row>
    <row r="1261">
      <c r="A1261" s="89"/>
      <c r="F1261" s="96"/>
      <c r="H1261" s="27"/>
      <c r="I1261" s="27"/>
      <c r="J1261" s="81"/>
    </row>
    <row r="1262">
      <c r="A1262" s="89"/>
      <c r="F1262" s="96"/>
      <c r="H1262" s="27"/>
      <c r="I1262" s="27"/>
      <c r="J1262" s="81"/>
    </row>
    <row r="1263">
      <c r="A1263" s="89"/>
      <c r="F1263" s="96"/>
      <c r="H1263" s="27"/>
      <c r="I1263" s="27"/>
      <c r="J1263" s="81"/>
    </row>
    <row r="1264">
      <c r="A1264" s="89"/>
      <c r="F1264" s="96"/>
      <c r="H1264" s="27"/>
      <c r="I1264" s="27"/>
      <c r="J1264" s="81"/>
    </row>
    <row r="1265">
      <c r="A1265" s="89"/>
      <c r="F1265" s="96"/>
      <c r="H1265" s="27"/>
      <c r="I1265" s="27"/>
      <c r="J1265" s="81"/>
    </row>
    <row r="1266">
      <c r="A1266" s="89"/>
      <c r="F1266" s="96"/>
      <c r="H1266" s="27"/>
      <c r="I1266" s="27"/>
      <c r="J1266" s="81"/>
    </row>
    <row r="1267">
      <c r="A1267" s="89"/>
      <c r="F1267" s="96"/>
      <c r="H1267" s="27"/>
      <c r="I1267" s="27"/>
      <c r="J1267" s="81"/>
    </row>
    <row r="1268">
      <c r="A1268" s="89"/>
      <c r="F1268" s="96"/>
      <c r="H1268" s="27"/>
      <c r="I1268" s="27"/>
      <c r="J1268" s="81"/>
    </row>
    <row r="1269">
      <c r="A1269" s="89"/>
      <c r="F1269" s="96"/>
      <c r="H1269" s="27"/>
      <c r="I1269" s="27"/>
      <c r="J1269" s="81"/>
    </row>
    <row r="1270">
      <c r="A1270" s="89"/>
      <c r="F1270" s="96"/>
      <c r="H1270" s="27"/>
      <c r="I1270" s="27"/>
      <c r="J1270" s="81"/>
    </row>
    <row r="1271">
      <c r="A1271" s="89"/>
      <c r="F1271" s="96"/>
      <c r="H1271" s="27"/>
      <c r="I1271" s="27"/>
      <c r="J1271" s="81"/>
    </row>
    <row r="1272">
      <c r="A1272" s="89"/>
      <c r="F1272" s="96"/>
      <c r="H1272" s="27"/>
      <c r="I1272" s="27"/>
      <c r="J1272" s="81"/>
    </row>
    <row r="1273">
      <c r="A1273" s="89"/>
      <c r="F1273" s="96"/>
      <c r="H1273" s="27"/>
      <c r="I1273" s="27"/>
      <c r="J1273" s="81"/>
    </row>
    <row r="1274">
      <c r="A1274" s="89"/>
      <c r="F1274" s="96"/>
      <c r="H1274" s="27"/>
      <c r="I1274" s="27"/>
      <c r="J1274" s="81"/>
    </row>
    <row r="1275">
      <c r="A1275" s="89"/>
      <c r="F1275" s="96"/>
      <c r="H1275" s="27"/>
      <c r="I1275" s="27"/>
      <c r="J1275" s="81"/>
    </row>
    <row r="1276">
      <c r="A1276" s="89"/>
      <c r="F1276" s="96"/>
      <c r="H1276" s="27"/>
      <c r="I1276" s="27"/>
      <c r="J1276" s="81"/>
    </row>
    <row r="1277">
      <c r="A1277" s="89"/>
      <c r="F1277" s="96"/>
      <c r="H1277" s="27"/>
      <c r="I1277" s="27"/>
      <c r="J1277" s="81"/>
    </row>
    <row r="1278">
      <c r="A1278" s="89"/>
      <c r="F1278" s="96"/>
      <c r="H1278" s="27"/>
      <c r="I1278" s="27"/>
      <c r="J1278" s="81"/>
    </row>
    <row r="1279">
      <c r="A1279" s="89"/>
      <c r="F1279" s="96"/>
      <c r="H1279" s="27"/>
      <c r="I1279" s="27"/>
      <c r="J1279" s="81"/>
    </row>
    <row r="1280">
      <c r="A1280" s="89"/>
      <c r="F1280" s="96"/>
      <c r="H1280" s="27"/>
      <c r="I1280" s="27"/>
      <c r="J1280" s="81"/>
    </row>
    <row r="1281">
      <c r="A1281" s="89"/>
      <c r="F1281" s="96"/>
      <c r="H1281" s="27"/>
      <c r="I1281" s="27"/>
      <c r="J1281" s="81"/>
    </row>
    <row r="1282">
      <c r="A1282" s="89"/>
      <c r="F1282" s="96"/>
      <c r="H1282" s="27"/>
      <c r="I1282" s="27"/>
      <c r="J1282" s="81"/>
    </row>
    <row r="1283">
      <c r="A1283" s="89"/>
      <c r="F1283" s="96"/>
      <c r="H1283" s="27"/>
      <c r="I1283" s="27"/>
      <c r="J1283" s="81"/>
    </row>
    <row r="1284">
      <c r="A1284" s="89"/>
      <c r="F1284" s="96"/>
      <c r="H1284" s="27"/>
      <c r="I1284" s="27"/>
      <c r="J1284" s="81"/>
    </row>
    <row r="1285">
      <c r="A1285" s="89"/>
      <c r="F1285" s="96"/>
      <c r="H1285" s="27"/>
      <c r="I1285" s="27"/>
      <c r="J1285" s="81"/>
    </row>
    <row r="1286">
      <c r="A1286" s="89"/>
      <c r="F1286" s="96"/>
      <c r="H1286" s="27"/>
      <c r="I1286" s="27"/>
      <c r="J1286" s="81"/>
    </row>
    <row r="1287">
      <c r="A1287" s="89"/>
      <c r="F1287" s="96"/>
      <c r="H1287" s="27"/>
      <c r="I1287" s="27"/>
      <c r="J1287" s="81"/>
    </row>
    <row r="1288">
      <c r="A1288" s="89"/>
      <c r="F1288" s="96"/>
      <c r="H1288" s="27"/>
      <c r="I1288" s="27"/>
      <c r="J1288" s="81"/>
    </row>
    <row r="1289">
      <c r="A1289" s="89"/>
      <c r="F1289" s="96"/>
      <c r="H1289" s="27"/>
      <c r="I1289" s="27"/>
      <c r="J1289" s="81"/>
    </row>
    <row r="1290">
      <c r="A1290" s="89"/>
      <c r="F1290" s="96"/>
      <c r="H1290" s="27"/>
      <c r="I1290" s="27"/>
      <c r="J1290" s="81"/>
    </row>
    <row r="1291">
      <c r="A1291" s="89"/>
      <c r="F1291" s="96"/>
      <c r="H1291" s="27"/>
      <c r="I1291" s="27"/>
      <c r="J1291" s="81"/>
    </row>
    <row r="1292">
      <c r="A1292" s="89"/>
      <c r="F1292" s="96"/>
      <c r="H1292" s="27"/>
      <c r="I1292" s="27"/>
      <c r="J1292" s="81"/>
    </row>
    <row r="1293">
      <c r="A1293" s="89"/>
      <c r="F1293" s="96"/>
      <c r="H1293" s="27"/>
      <c r="I1293" s="27"/>
      <c r="J1293" s="81"/>
    </row>
    <row r="1294">
      <c r="A1294" s="89"/>
      <c r="F1294" s="96"/>
      <c r="H1294" s="27"/>
      <c r="I1294" s="27"/>
      <c r="J1294" s="81"/>
    </row>
    <row r="1295">
      <c r="A1295" s="89"/>
      <c r="F1295" s="96"/>
      <c r="H1295" s="27"/>
      <c r="I1295" s="27"/>
      <c r="J1295" s="81"/>
    </row>
    <row r="1296">
      <c r="A1296" s="89"/>
      <c r="F1296" s="96"/>
      <c r="H1296" s="27"/>
      <c r="I1296" s="27"/>
      <c r="J1296" s="81"/>
    </row>
    <row r="1297">
      <c r="A1297" s="89"/>
      <c r="F1297" s="96"/>
      <c r="H1297" s="27"/>
      <c r="I1297" s="27"/>
      <c r="J1297" s="81"/>
    </row>
    <row r="1298">
      <c r="A1298" s="89"/>
      <c r="F1298" s="96"/>
      <c r="H1298" s="27"/>
      <c r="I1298" s="27"/>
      <c r="J1298" s="81"/>
    </row>
    <row r="1299">
      <c r="A1299" s="89"/>
      <c r="F1299" s="96"/>
      <c r="H1299" s="27"/>
      <c r="I1299" s="27"/>
      <c r="J1299" s="81"/>
    </row>
    <row r="1300">
      <c r="A1300" s="89"/>
      <c r="F1300" s="96"/>
      <c r="H1300" s="27"/>
      <c r="I1300" s="27"/>
      <c r="J1300" s="81"/>
    </row>
    <row r="1301">
      <c r="A1301" s="89"/>
      <c r="F1301" s="96"/>
      <c r="H1301" s="27"/>
      <c r="I1301" s="27"/>
      <c r="J1301" s="81"/>
    </row>
    <row r="1302">
      <c r="A1302" s="89"/>
      <c r="F1302" s="96"/>
      <c r="H1302" s="27"/>
      <c r="I1302" s="27"/>
      <c r="J1302" s="81"/>
    </row>
    <row r="1303">
      <c r="A1303" s="89"/>
      <c r="F1303" s="96"/>
      <c r="H1303" s="27"/>
      <c r="I1303" s="27"/>
      <c r="J1303" s="81"/>
    </row>
    <row r="1304">
      <c r="A1304" s="89"/>
      <c r="F1304" s="96"/>
      <c r="H1304" s="27"/>
      <c r="I1304" s="27"/>
      <c r="J1304" s="81"/>
    </row>
    <row r="1305">
      <c r="A1305" s="89"/>
      <c r="F1305" s="96"/>
      <c r="H1305" s="27"/>
      <c r="I1305" s="27"/>
      <c r="J1305" s="81"/>
    </row>
    <row r="1306">
      <c r="A1306" s="89"/>
      <c r="F1306" s="96"/>
      <c r="H1306" s="27"/>
      <c r="I1306" s="27"/>
      <c r="J1306" s="81"/>
    </row>
    <row r="1307">
      <c r="A1307" s="89"/>
      <c r="F1307" s="96"/>
      <c r="H1307" s="27"/>
      <c r="I1307" s="27"/>
      <c r="J1307" s="81"/>
    </row>
    <row r="1308">
      <c r="A1308" s="89"/>
      <c r="F1308" s="96"/>
      <c r="H1308" s="27"/>
      <c r="I1308" s="27"/>
      <c r="J1308" s="81"/>
    </row>
    <row r="1309">
      <c r="A1309" s="89"/>
      <c r="F1309" s="96"/>
      <c r="H1309" s="27"/>
      <c r="I1309" s="27"/>
      <c r="J1309" s="81"/>
    </row>
    <row r="1310">
      <c r="A1310" s="89"/>
      <c r="F1310" s="96"/>
      <c r="H1310" s="27"/>
      <c r="I1310" s="27"/>
      <c r="J1310" s="81"/>
    </row>
    <row r="1311">
      <c r="A1311" s="89"/>
      <c r="F1311" s="96"/>
      <c r="H1311" s="27"/>
      <c r="I1311" s="27"/>
      <c r="J1311" s="81"/>
    </row>
    <row r="1312">
      <c r="A1312" s="89"/>
      <c r="F1312" s="96"/>
      <c r="H1312" s="27"/>
      <c r="I1312" s="27"/>
      <c r="J1312" s="81"/>
    </row>
    <row r="1313">
      <c r="A1313" s="89"/>
      <c r="F1313" s="96"/>
      <c r="H1313" s="27"/>
      <c r="I1313" s="27"/>
      <c r="J1313" s="81"/>
    </row>
    <row r="1314">
      <c r="A1314" s="89"/>
      <c r="F1314" s="96"/>
      <c r="H1314" s="27"/>
      <c r="I1314" s="27"/>
      <c r="J1314" s="81"/>
    </row>
    <row r="1315">
      <c r="A1315" s="89"/>
      <c r="F1315" s="96"/>
      <c r="H1315" s="27"/>
      <c r="I1315" s="27"/>
      <c r="J1315" s="81"/>
    </row>
    <row r="1316">
      <c r="A1316" s="89"/>
      <c r="F1316" s="96"/>
      <c r="H1316" s="27"/>
      <c r="I1316" s="27"/>
      <c r="J1316" s="81"/>
    </row>
    <row r="1317">
      <c r="A1317" s="89"/>
      <c r="F1317" s="96"/>
      <c r="H1317" s="27"/>
      <c r="I1317" s="27"/>
      <c r="J1317" s="81"/>
    </row>
    <row r="1318">
      <c r="A1318" s="89"/>
      <c r="F1318" s="96"/>
      <c r="H1318" s="27"/>
      <c r="I1318" s="27"/>
      <c r="J1318" s="81"/>
    </row>
    <row r="1319">
      <c r="A1319" s="89"/>
      <c r="F1319" s="96"/>
      <c r="H1319" s="27"/>
      <c r="I1319" s="27"/>
      <c r="J1319" s="81"/>
    </row>
    <row r="1320">
      <c r="A1320" s="89"/>
      <c r="F1320" s="96"/>
      <c r="H1320" s="27"/>
      <c r="I1320" s="27"/>
      <c r="J1320" s="81"/>
    </row>
    <row r="1321">
      <c r="A1321" s="89"/>
      <c r="F1321" s="96"/>
      <c r="H1321" s="27"/>
      <c r="I1321" s="27"/>
      <c r="J1321" s="81"/>
    </row>
    <row r="1322">
      <c r="A1322" s="89"/>
      <c r="F1322" s="96"/>
      <c r="H1322" s="27"/>
      <c r="I1322" s="27"/>
      <c r="J1322" s="81"/>
    </row>
    <row r="1323">
      <c r="A1323" s="89"/>
      <c r="F1323" s="96"/>
      <c r="H1323" s="27"/>
      <c r="I1323" s="27"/>
      <c r="J1323" s="81"/>
    </row>
    <row r="1324">
      <c r="A1324" s="89"/>
      <c r="F1324" s="96"/>
      <c r="H1324" s="27"/>
      <c r="I1324" s="27"/>
      <c r="J1324" s="81"/>
    </row>
    <row r="1325">
      <c r="A1325" s="89"/>
      <c r="F1325" s="96"/>
      <c r="H1325" s="27"/>
      <c r="I1325" s="27"/>
      <c r="J1325" s="81"/>
    </row>
    <row r="1326">
      <c r="A1326" s="89"/>
      <c r="F1326" s="96"/>
      <c r="H1326" s="27"/>
      <c r="I1326" s="27"/>
      <c r="J1326" s="81"/>
    </row>
    <row r="1327">
      <c r="A1327" s="89"/>
      <c r="F1327" s="96"/>
      <c r="H1327" s="27"/>
      <c r="I1327" s="27"/>
      <c r="J1327" s="81"/>
    </row>
    <row r="1328">
      <c r="A1328" s="89"/>
      <c r="F1328" s="96"/>
      <c r="H1328" s="27"/>
      <c r="I1328" s="27"/>
      <c r="J1328" s="81"/>
    </row>
    <row r="1329">
      <c r="A1329" s="89"/>
      <c r="F1329" s="96"/>
      <c r="H1329" s="27"/>
      <c r="I1329" s="27"/>
      <c r="J1329" s="81"/>
    </row>
    <row r="1330">
      <c r="A1330" s="89"/>
      <c r="F1330" s="96"/>
      <c r="H1330" s="27"/>
      <c r="I1330" s="27"/>
      <c r="J1330" s="81"/>
    </row>
    <row r="1331">
      <c r="A1331" s="89"/>
      <c r="F1331" s="96"/>
      <c r="H1331" s="27"/>
      <c r="I1331" s="27"/>
      <c r="J1331" s="81"/>
    </row>
    <row r="1332">
      <c r="A1332" s="89"/>
      <c r="F1332" s="96"/>
      <c r="H1332" s="27"/>
      <c r="I1332" s="27"/>
      <c r="J1332" s="81"/>
    </row>
    <row r="1333">
      <c r="A1333" s="89"/>
      <c r="F1333" s="96"/>
      <c r="H1333" s="27"/>
      <c r="I1333" s="27"/>
      <c r="J1333" s="81"/>
    </row>
    <row r="1334">
      <c r="A1334" s="89"/>
      <c r="F1334" s="96"/>
      <c r="H1334" s="27"/>
      <c r="I1334" s="27"/>
      <c r="J1334" s="81"/>
    </row>
    <row r="1335">
      <c r="A1335" s="89"/>
      <c r="F1335" s="96"/>
      <c r="H1335" s="27"/>
      <c r="I1335" s="27"/>
      <c r="J1335" s="81"/>
    </row>
    <row r="1336">
      <c r="A1336" s="89"/>
      <c r="F1336" s="96"/>
      <c r="H1336" s="27"/>
      <c r="I1336" s="27"/>
      <c r="J1336" s="81"/>
    </row>
    <row r="1337">
      <c r="A1337" s="89"/>
      <c r="F1337" s="96"/>
      <c r="H1337" s="27"/>
      <c r="I1337" s="27"/>
      <c r="J1337" s="81"/>
    </row>
    <row r="1338">
      <c r="A1338" s="89"/>
      <c r="F1338" s="96"/>
      <c r="H1338" s="27"/>
      <c r="I1338" s="27"/>
      <c r="J1338" s="81"/>
    </row>
    <row r="1339">
      <c r="A1339" s="89"/>
      <c r="F1339" s="96"/>
      <c r="H1339" s="27"/>
      <c r="I1339" s="27"/>
      <c r="J1339" s="81"/>
    </row>
    <row r="1340">
      <c r="A1340" s="89"/>
      <c r="F1340" s="96"/>
      <c r="H1340" s="27"/>
      <c r="I1340" s="27"/>
      <c r="J1340" s="81"/>
    </row>
    <row r="1341">
      <c r="A1341" s="89"/>
      <c r="F1341" s="96"/>
      <c r="H1341" s="27"/>
      <c r="I1341" s="27"/>
      <c r="J1341" s="81"/>
    </row>
    <row r="1342">
      <c r="A1342" s="89"/>
      <c r="F1342" s="96"/>
      <c r="H1342" s="27"/>
      <c r="I1342" s="27"/>
      <c r="J1342" s="81"/>
    </row>
    <row r="1343">
      <c r="A1343" s="89"/>
      <c r="F1343" s="96"/>
      <c r="H1343" s="27"/>
      <c r="I1343" s="27"/>
      <c r="J1343" s="81"/>
    </row>
    <row r="1344">
      <c r="A1344" s="89"/>
      <c r="F1344" s="96"/>
      <c r="H1344" s="27"/>
      <c r="I1344" s="27"/>
      <c r="J1344" s="81"/>
    </row>
    <row r="1345">
      <c r="A1345" s="89"/>
      <c r="F1345" s="96"/>
      <c r="H1345" s="27"/>
      <c r="I1345" s="27"/>
      <c r="J1345" s="81"/>
    </row>
    <row r="1346">
      <c r="A1346" s="89"/>
      <c r="F1346" s="96"/>
      <c r="H1346" s="27"/>
      <c r="I1346" s="27"/>
      <c r="J1346" s="81"/>
    </row>
    <row r="1347">
      <c r="A1347" s="89"/>
      <c r="F1347" s="96"/>
      <c r="H1347" s="27"/>
      <c r="I1347" s="27"/>
      <c r="J1347" s="81"/>
    </row>
    <row r="1348">
      <c r="A1348" s="89"/>
      <c r="F1348" s="96"/>
      <c r="H1348" s="27"/>
      <c r="I1348" s="27"/>
      <c r="J1348" s="81"/>
    </row>
    <row r="1349">
      <c r="A1349" s="89"/>
      <c r="F1349" s="96"/>
      <c r="H1349" s="27"/>
      <c r="I1349" s="27"/>
      <c r="J1349" s="81"/>
    </row>
    <row r="1350">
      <c r="A1350" s="89"/>
      <c r="F1350" s="96"/>
      <c r="H1350" s="27"/>
      <c r="I1350" s="27"/>
      <c r="J1350" s="81"/>
    </row>
    <row r="1351">
      <c r="A1351" s="89"/>
      <c r="F1351" s="96"/>
      <c r="H1351" s="27"/>
      <c r="I1351" s="27"/>
      <c r="J1351" s="81"/>
    </row>
    <row r="1352">
      <c r="A1352" s="89"/>
      <c r="F1352" s="96"/>
      <c r="H1352" s="27"/>
      <c r="I1352" s="27"/>
      <c r="J1352" s="81"/>
    </row>
    <row r="1353">
      <c r="A1353" s="89"/>
      <c r="F1353" s="96"/>
      <c r="H1353" s="27"/>
      <c r="I1353" s="27"/>
      <c r="J1353" s="81"/>
    </row>
    <row r="1354">
      <c r="A1354" s="89"/>
      <c r="F1354" s="96"/>
      <c r="H1354" s="27"/>
      <c r="I1354" s="27"/>
      <c r="J1354" s="81"/>
    </row>
    <row r="1355">
      <c r="A1355" s="89"/>
      <c r="F1355" s="96"/>
      <c r="H1355" s="27"/>
      <c r="I1355" s="27"/>
      <c r="J1355" s="81"/>
    </row>
    <row r="1356">
      <c r="A1356" s="89"/>
      <c r="F1356" s="96"/>
      <c r="H1356" s="27"/>
      <c r="I1356" s="27"/>
      <c r="J1356" s="81"/>
    </row>
    <row r="1357">
      <c r="A1357" s="89"/>
      <c r="F1357" s="96"/>
      <c r="H1357" s="27"/>
      <c r="I1357" s="27"/>
      <c r="J1357" s="81"/>
    </row>
    <row r="1358">
      <c r="A1358" s="89"/>
      <c r="F1358" s="96"/>
      <c r="H1358" s="27"/>
      <c r="I1358" s="27"/>
      <c r="J1358" s="81"/>
    </row>
    <row r="1359">
      <c r="A1359" s="89"/>
      <c r="F1359" s="96"/>
      <c r="H1359" s="27"/>
      <c r="I1359" s="27"/>
      <c r="J1359" s="81"/>
    </row>
    <row r="1360">
      <c r="A1360" s="89"/>
      <c r="F1360" s="96"/>
      <c r="H1360" s="27"/>
      <c r="I1360" s="27"/>
      <c r="J1360" s="81"/>
    </row>
    <row r="1361">
      <c r="A1361" s="89"/>
      <c r="F1361" s="96"/>
      <c r="H1361" s="27"/>
      <c r="I1361" s="27"/>
      <c r="J1361" s="81"/>
    </row>
    <row r="1362">
      <c r="A1362" s="89"/>
      <c r="F1362" s="96"/>
      <c r="H1362" s="27"/>
      <c r="I1362" s="27"/>
      <c r="J1362" s="81"/>
    </row>
    <row r="1363">
      <c r="A1363" s="89"/>
      <c r="F1363" s="96"/>
      <c r="H1363" s="27"/>
      <c r="I1363" s="27"/>
      <c r="J1363" s="81"/>
    </row>
    <row r="1364">
      <c r="A1364" s="89"/>
      <c r="F1364" s="96"/>
      <c r="H1364" s="27"/>
      <c r="I1364" s="27"/>
      <c r="J1364" s="81"/>
    </row>
    <row r="1365">
      <c r="A1365" s="89"/>
      <c r="F1365" s="96"/>
      <c r="H1365" s="27"/>
      <c r="I1365" s="27"/>
      <c r="J1365" s="81"/>
    </row>
    <row r="1366">
      <c r="A1366" s="89"/>
      <c r="F1366" s="96"/>
      <c r="H1366" s="27"/>
      <c r="I1366" s="27"/>
      <c r="J1366" s="81"/>
    </row>
    <row r="1367">
      <c r="A1367" s="89"/>
      <c r="F1367" s="96"/>
      <c r="H1367" s="27"/>
      <c r="I1367" s="27"/>
      <c r="J1367" s="81"/>
    </row>
    <row r="1368">
      <c r="A1368" s="89"/>
      <c r="F1368" s="96"/>
      <c r="H1368" s="27"/>
      <c r="I1368" s="27"/>
      <c r="J1368" s="81"/>
    </row>
    <row r="1369">
      <c r="A1369" s="89"/>
      <c r="F1369" s="96"/>
      <c r="H1369" s="27"/>
      <c r="I1369" s="27"/>
      <c r="J1369" s="81"/>
    </row>
    <row r="1370">
      <c r="A1370" s="89"/>
      <c r="F1370" s="96"/>
      <c r="H1370" s="27"/>
      <c r="I1370" s="27"/>
      <c r="J1370" s="81"/>
    </row>
    <row r="1371">
      <c r="A1371" s="89"/>
      <c r="F1371" s="96"/>
      <c r="H1371" s="27"/>
      <c r="I1371" s="27"/>
      <c r="J1371" s="81"/>
    </row>
    <row r="1372">
      <c r="A1372" s="89"/>
      <c r="F1372" s="96"/>
      <c r="H1372" s="27"/>
      <c r="I1372" s="27"/>
      <c r="J1372" s="81"/>
    </row>
    <row r="1373">
      <c r="A1373" s="89"/>
      <c r="F1373" s="96"/>
      <c r="H1373" s="27"/>
      <c r="I1373" s="27"/>
      <c r="J1373" s="81"/>
    </row>
    <row r="1374">
      <c r="A1374" s="89"/>
      <c r="F1374" s="96"/>
      <c r="H1374" s="27"/>
      <c r="I1374" s="27"/>
      <c r="J1374" s="81"/>
    </row>
    <row r="1375">
      <c r="A1375" s="89"/>
      <c r="F1375" s="96"/>
      <c r="H1375" s="27"/>
      <c r="I1375" s="27"/>
      <c r="J1375" s="81"/>
    </row>
    <row r="1376">
      <c r="A1376" s="89"/>
      <c r="F1376" s="96"/>
      <c r="H1376" s="27"/>
      <c r="I1376" s="27"/>
      <c r="J1376" s="81"/>
    </row>
    <row r="1377">
      <c r="A1377" s="89"/>
      <c r="F1377" s="96"/>
      <c r="H1377" s="27"/>
      <c r="I1377" s="27"/>
      <c r="J1377" s="81"/>
    </row>
    <row r="1378">
      <c r="A1378" s="89"/>
      <c r="F1378" s="96"/>
      <c r="H1378" s="27"/>
      <c r="I1378" s="27"/>
      <c r="J1378" s="81"/>
    </row>
    <row r="1379">
      <c r="A1379" s="89"/>
      <c r="F1379" s="96"/>
      <c r="H1379" s="27"/>
      <c r="I1379" s="27"/>
      <c r="J1379" s="81"/>
    </row>
    <row r="1380">
      <c r="A1380" s="89"/>
      <c r="F1380" s="96"/>
      <c r="H1380" s="27"/>
      <c r="I1380" s="27"/>
      <c r="J1380" s="81"/>
    </row>
    <row r="1381">
      <c r="A1381" s="89"/>
      <c r="F1381" s="96"/>
      <c r="H1381" s="27"/>
      <c r="I1381" s="27"/>
      <c r="J1381" s="81"/>
    </row>
    <row r="1382">
      <c r="A1382" s="89"/>
      <c r="F1382" s="96"/>
      <c r="H1382" s="27"/>
      <c r="I1382" s="27"/>
      <c r="J1382" s="81"/>
    </row>
    <row r="1383">
      <c r="A1383" s="89"/>
      <c r="F1383" s="96"/>
      <c r="H1383" s="27"/>
      <c r="I1383" s="27"/>
      <c r="J1383" s="81"/>
    </row>
    <row r="1384">
      <c r="A1384" s="89"/>
      <c r="F1384" s="96"/>
      <c r="H1384" s="27"/>
      <c r="I1384" s="27"/>
      <c r="J1384" s="81"/>
    </row>
    <row r="1385">
      <c r="A1385" s="89"/>
      <c r="F1385" s="96"/>
      <c r="H1385" s="27"/>
      <c r="I1385" s="27"/>
      <c r="J1385" s="81"/>
    </row>
    <row r="1386">
      <c r="A1386" s="89"/>
      <c r="F1386" s="96"/>
      <c r="H1386" s="27"/>
      <c r="I1386" s="27"/>
      <c r="J1386" s="81"/>
    </row>
    <row r="1387">
      <c r="A1387" s="89"/>
      <c r="F1387" s="96"/>
      <c r="H1387" s="27"/>
      <c r="I1387" s="27"/>
      <c r="J1387" s="81"/>
    </row>
    <row r="1388">
      <c r="A1388" s="89"/>
      <c r="F1388" s="96"/>
      <c r="H1388" s="27"/>
      <c r="I1388" s="27"/>
      <c r="J1388" s="81"/>
    </row>
    <row r="1389">
      <c r="A1389" s="89"/>
      <c r="F1389" s="96"/>
      <c r="H1389" s="27"/>
      <c r="I1389" s="27"/>
      <c r="J1389" s="81"/>
    </row>
    <row r="1390">
      <c r="A1390" s="89"/>
      <c r="F1390" s="96"/>
      <c r="H1390" s="27"/>
      <c r="I1390" s="27"/>
      <c r="J1390" s="81"/>
    </row>
    <row r="1391">
      <c r="A1391" s="89"/>
      <c r="F1391" s="96"/>
      <c r="H1391" s="27"/>
      <c r="I1391" s="27"/>
      <c r="J1391" s="81"/>
    </row>
    <row r="1392">
      <c r="A1392" s="89"/>
      <c r="F1392" s="96"/>
      <c r="H1392" s="27"/>
      <c r="I1392" s="27"/>
      <c r="J1392" s="81"/>
    </row>
    <row r="1393">
      <c r="A1393" s="89"/>
      <c r="F1393" s="96"/>
      <c r="H1393" s="27"/>
      <c r="I1393" s="27"/>
      <c r="J1393" s="81"/>
    </row>
    <row r="1394">
      <c r="A1394" s="89"/>
      <c r="F1394" s="96"/>
      <c r="H1394" s="27"/>
      <c r="I1394" s="27"/>
      <c r="J1394" s="81"/>
    </row>
    <row r="1395">
      <c r="A1395" s="89"/>
      <c r="F1395" s="96"/>
      <c r="H1395" s="27"/>
      <c r="I1395" s="27"/>
      <c r="J1395" s="81"/>
    </row>
    <row r="1396">
      <c r="A1396" s="89"/>
      <c r="F1396" s="96"/>
      <c r="H1396" s="27"/>
      <c r="I1396" s="27"/>
      <c r="J1396" s="81"/>
    </row>
    <row r="1397">
      <c r="A1397" s="89"/>
      <c r="F1397" s="96"/>
      <c r="H1397" s="27"/>
      <c r="I1397" s="27"/>
      <c r="J1397" s="81"/>
    </row>
    <row r="1398">
      <c r="A1398" s="89"/>
      <c r="F1398" s="96"/>
      <c r="H1398" s="27"/>
      <c r="I1398" s="27"/>
      <c r="J1398" s="81"/>
    </row>
    <row r="1399">
      <c r="A1399" s="89"/>
      <c r="F1399" s="96"/>
      <c r="H1399" s="27"/>
      <c r="I1399" s="27"/>
      <c r="J1399" s="81"/>
    </row>
    <row r="1400">
      <c r="A1400" s="89"/>
      <c r="F1400" s="96"/>
      <c r="H1400" s="27"/>
      <c r="I1400" s="27"/>
      <c r="J1400" s="81"/>
    </row>
    <row r="1401">
      <c r="A1401" s="89"/>
      <c r="F1401" s="96"/>
      <c r="H1401" s="27"/>
      <c r="I1401" s="27"/>
      <c r="J1401" s="81"/>
    </row>
    <row r="1402">
      <c r="A1402" s="89"/>
      <c r="F1402" s="96"/>
      <c r="H1402" s="27"/>
      <c r="I1402" s="27"/>
      <c r="J1402" s="81"/>
    </row>
    <row r="1403">
      <c r="A1403" s="89"/>
      <c r="F1403" s="96"/>
      <c r="H1403" s="27"/>
      <c r="I1403" s="27"/>
      <c r="J1403" s="81"/>
    </row>
    <row r="1404">
      <c r="A1404" s="89"/>
      <c r="F1404" s="96"/>
      <c r="H1404" s="27"/>
      <c r="I1404" s="27"/>
      <c r="J1404" s="81"/>
    </row>
    <row r="1405">
      <c r="A1405" s="89"/>
      <c r="F1405" s="96"/>
      <c r="H1405" s="27"/>
      <c r="I1405" s="27"/>
      <c r="J1405" s="81"/>
    </row>
    <row r="1406">
      <c r="A1406" s="89"/>
      <c r="F1406" s="96"/>
      <c r="H1406" s="27"/>
      <c r="I1406" s="27"/>
      <c r="J1406" s="81"/>
    </row>
    <row r="1407">
      <c r="A1407" s="89"/>
      <c r="F1407" s="96"/>
      <c r="H1407" s="27"/>
      <c r="I1407" s="27"/>
      <c r="J1407" s="81"/>
    </row>
    <row r="1408">
      <c r="A1408" s="89"/>
      <c r="F1408" s="96"/>
      <c r="H1408" s="27"/>
      <c r="I1408" s="27"/>
      <c r="J1408" s="81"/>
    </row>
    <row r="1409">
      <c r="A1409" s="89"/>
      <c r="F1409" s="96"/>
      <c r="H1409" s="27"/>
      <c r="I1409" s="27"/>
      <c r="J1409" s="81"/>
    </row>
    <row r="1410">
      <c r="A1410" s="89"/>
      <c r="F1410" s="96"/>
      <c r="H1410" s="27"/>
      <c r="I1410" s="27"/>
      <c r="J1410" s="81"/>
    </row>
    <row r="1411">
      <c r="A1411" s="89"/>
      <c r="F1411" s="96"/>
      <c r="H1411" s="27"/>
      <c r="I1411" s="27"/>
      <c r="J1411" s="81"/>
    </row>
    <row r="1412">
      <c r="A1412" s="89"/>
      <c r="F1412" s="96"/>
      <c r="H1412" s="27"/>
      <c r="I1412" s="27"/>
      <c r="J1412" s="81"/>
    </row>
    <row r="1413">
      <c r="A1413" s="89"/>
      <c r="F1413" s="96"/>
      <c r="H1413" s="27"/>
      <c r="I1413" s="27"/>
      <c r="J1413" s="81"/>
    </row>
    <row r="1414">
      <c r="A1414" s="89"/>
      <c r="F1414" s="96"/>
      <c r="H1414" s="27"/>
      <c r="I1414" s="27"/>
      <c r="J1414" s="81"/>
    </row>
    <row r="1415">
      <c r="A1415" s="89"/>
      <c r="F1415" s="96"/>
      <c r="H1415" s="27"/>
      <c r="I1415" s="27"/>
      <c r="J1415" s="81"/>
    </row>
    <row r="1416">
      <c r="A1416" s="89"/>
      <c r="F1416" s="96"/>
      <c r="H1416" s="27"/>
      <c r="I1416" s="27"/>
      <c r="J1416" s="81"/>
    </row>
    <row r="1417">
      <c r="A1417" s="89"/>
      <c r="F1417" s="96"/>
      <c r="H1417" s="27"/>
      <c r="I1417" s="27"/>
      <c r="J1417" s="81"/>
    </row>
    <row r="1418">
      <c r="A1418" s="89"/>
      <c r="F1418" s="96"/>
      <c r="H1418" s="27"/>
      <c r="I1418" s="27"/>
      <c r="J1418" s="81"/>
    </row>
    <row r="1419">
      <c r="A1419" s="89"/>
      <c r="F1419" s="96"/>
      <c r="H1419" s="27"/>
      <c r="I1419" s="27"/>
      <c r="J1419" s="81"/>
    </row>
    <row r="1420">
      <c r="A1420" s="89"/>
      <c r="F1420" s="96"/>
      <c r="H1420" s="27"/>
      <c r="I1420" s="27"/>
      <c r="J1420" s="81"/>
    </row>
    <row r="1421">
      <c r="A1421" s="89"/>
      <c r="F1421" s="96"/>
      <c r="H1421" s="27"/>
      <c r="I1421" s="27"/>
      <c r="J1421" s="81"/>
    </row>
    <row r="1422">
      <c r="A1422" s="89"/>
      <c r="F1422" s="96"/>
      <c r="H1422" s="27"/>
      <c r="I1422" s="27"/>
      <c r="J1422" s="81"/>
    </row>
    <row r="1423">
      <c r="A1423" s="89"/>
      <c r="F1423" s="96"/>
      <c r="H1423" s="27"/>
      <c r="I1423" s="27"/>
      <c r="J1423" s="81"/>
    </row>
    <row r="1424">
      <c r="A1424" s="89"/>
      <c r="F1424" s="96"/>
      <c r="H1424" s="27"/>
      <c r="I1424" s="27"/>
      <c r="J1424" s="81"/>
    </row>
    <row r="1425">
      <c r="A1425" s="89"/>
      <c r="F1425" s="96"/>
      <c r="H1425" s="27"/>
      <c r="I1425" s="27"/>
      <c r="J1425" s="81"/>
    </row>
    <row r="1426">
      <c r="A1426" s="89"/>
      <c r="F1426" s="96"/>
      <c r="H1426" s="27"/>
      <c r="I1426" s="27"/>
      <c r="J1426" s="81"/>
    </row>
    <row r="1427">
      <c r="A1427" s="89"/>
      <c r="F1427" s="96"/>
      <c r="H1427" s="27"/>
      <c r="I1427" s="27"/>
      <c r="J1427" s="81"/>
    </row>
    <row r="1428">
      <c r="A1428" s="89"/>
      <c r="F1428" s="96"/>
      <c r="H1428" s="27"/>
      <c r="I1428" s="27"/>
      <c r="J1428" s="81"/>
    </row>
    <row r="1429">
      <c r="A1429" s="89"/>
      <c r="F1429" s="96"/>
      <c r="H1429" s="27"/>
      <c r="I1429" s="27"/>
      <c r="J1429" s="81"/>
    </row>
    <row r="1430">
      <c r="A1430" s="89"/>
      <c r="F1430" s="96"/>
      <c r="H1430" s="27"/>
      <c r="I1430" s="27"/>
      <c r="J1430" s="81"/>
    </row>
    <row r="1431">
      <c r="A1431" s="89"/>
      <c r="F1431" s="96"/>
      <c r="H1431" s="27"/>
      <c r="I1431" s="27"/>
      <c r="J1431" s="81"/>
    </row>
    <row r="1432">
      <c r="A1432" s="89"/>
      <c r="F1432" s="96"/>
      <c r="H1432" s="27"/>
      <c r="I1432" s="27"/>
      <c r="J1432" s="81"/>
    </row>
    <row r="1433">
      <c r="A1433" s="89"/>
      <c r="F1433" s="96"/>
      <c r="H1433" s="27"/>
      <c r="I1433" s="27"/>
      <c r="J1433" s="81"/>
    </row>
    <row r="1434">
      <c r="A1434" s="89"/>
      <c r="F1434" s="96"/>
      <c r="H1434" s="27"/>
      <c r="I1434" s="27"/>
      <c r="J1434" s="81"/>
    </row>
    <row r="1435">
      <c r="A1435" s="89"/>
      <c r="F1435" s="96"/>
      <c r="H1435" s="27"/>
      <c r="I1435" s="27"/>
      <c r="J1435" s="81"/>
    </row>
    <row r="1436">
      <c r="A1436" s="89"/>
      <c r="F1436" s="96"/>
      <c r="H1436" s="27"/>
      <c r="I1436" s="27"/>
      <c r="J1436" s="81"/>
    </row>
    <row r="1437">
      <c r="A1437" s="89"/>
      <c r="F1437" s="96"/>
      <c r="H1437" s="27"/>
      <c r="I1437" s="27"/>
      <c r="J1437" s="81"/>
    </row>
    <row r="1438">
      <c r="A1438" s="89"/>
      <c r="F1438" s="96"/>
      <c r="H1438" s="27"/>
      <c r="I1438" s="27"/>
      <c r="J1438" s="81"/>
    </row>
    <row r="1439">
      <c r="A1439" s="89"/>
      <c r="F1439" s="96"/>
      <c r="H1439" s="27"/>
      <c r="I1439" s="27"/>
      <c r="J1439" s="81"/>
    </row>
    <row r="1440">
      <c r="A1440" s="89"/>
      <c r="F1440" s="96"/>
      <c r="H1440" s="27"/>
      <c r="I1440" s="27"/>
      <c r="J1440" s="81"/>
    </row>
    <row r="1441">
      <c r="A1441" s="89"/>
      <c r="F1441" s="96"/>
      <c r="H1441" s="27"/>
      <c r="I1441" s="27"/>
      <c r="J1441" s="81"/>
    </row>
    <row r="1442">
      <c r="A1442" s="89"/>
      <c r="F1442" s="96"/>
      <c r="H1442" s="27"/>
      <c r="I1442" s="27"/>
      <c r="J1442" s="81"/>
    </row>
    <row r="1443">
      <c r="A1443" s="89"/>
      <c r="F1443" s="96"/>
      <c r="H1443" s="27"/>
      <c r="I1443" s="27"/>
      <c r="J1443" s="81"/>
    </row>
    <row r="1444">
      <c r="A1444" s="89"/>
      <c r="F1444" s="96"/>
      <c r="H1444" s="27"/>
      <c r="I1444" s="27"/>
      <c r="J1444" s="81"/>
    </row>
    <row r="1445">
      <c r="A1445" s="89"/>
      <c r="F1445" s="96"/>
      <c r="H1445" s="27"/>
      <c r="I1445" s="27"/>
      <c r="J1445" s="81"/>
    </row>
    <row r="1446">
      <c r="A1446" s="89"/>
      <c r="F1446" s="96"/>
      <c r="H1446" s="27"/>
      <c r="I1446" s="27"/>
      <c r="J1446" s="81"/>
    </row>
    <row r="1447">
      <c r="A1447" s="89"/>
      <c r="F1447" s="96"/>
      <c r="H1447" s="27"/>
      <c r="I1447" s="27"/>
      <c r="J1447" s="81"/>
    </row>
    <row r="1448">
      <c r="A1448" s="89"/>
      <c r="F1448" s="96"/>
      <c r="H1448" s="27"/>
      <c r="I1448" s="27"/>
      <c r="J1448" s="81"/>
    </row>
    <row r="1449">
      <c r="A1449" s="89"/>
      <c r="F1449" s="96"/>
      <c r="H1449" s="27"/>
      <c r="I1449" s="27"/>
      <c r="J1449" s="81"/>
    </row>
    <row r="1450">
      <c r="A1450" s="89"/>
      <c r="F1450" s="96"/>
      <c r="H1450" s="27"/>
      <c r="I1450" s="27"/>
      <c r="J1450" s="81"/>
    </row>
    <row r="1451">
      <c r="A1451" s="89"/>
      <c r="F1451" s="96"/>
      <c r="H1451" s="27"/>
      <c r="I1451" s="27"/>
      <c r="J1451" s="81"/>
    </row>
    <row r="1452">
      <c r="A1452" s="89"/>
      <c r="F1452" s="96"/>
      <c r="H1452" s="27"/>
      <c r="I1452" s="27"/>
      <c r="J1452" s="81"/>
    </row>
    <row r="1453">
      <c r="A1453" s="89"/>
      <c r="F1453" s="96"/>
      <c r="H1453" s="27"/>
      <c r="I1453" s="27"/>
      <c r="J1453" s="81"/>
    </row>
    <row r="1454">
      <c r="A1454" s="89"/>
      <c r="F1454" s="96"/>
      <c r="H1454" s="27"/>
      <c r="I1454" s="27"/>
      <c r="J1454" s="81"/>
    </row>
    <row r="1455">
      <c r="A1455" s="89"/>
      <c r="F1455" s="96"/>
      <c r="H1455" s="27"/>
      <c r="I1455" s="27"/>
      <c r="J1455" s="81"/>
    </row>
    <row r="1456">
      <c r="A1456" s="89"/>
      <c r="F1456" s="96"/>
      <c r="H1456" s="27"/>
      <c r="I1456" s="27"/>
      <c r="J1456" s="81"/>
    </row>
    <row r="1457">
      <c r="A1457" s="89"/>
      <c r="F1457" s="96"/>
      <c r="H1457" s="27"/>
      <c r="I1457" s="27"/>
      <c r="J1457" s="81"/>
    </row>
    <row r="1458">
      <c r="A1458" s="89"/>
      <c r="F1458" s="96"/>
      <c r="H1458" s="27"/>
      <c r="I1458" s="27"/>
      <c r="J1458" s="81"/>
    </row>
    <row r="1459">
      <c r="A1459" s="89"/>
      <c r="F1459" s="96"/>
      <c r="H1459" s="27"/>
      <c r="I1459" s="27"/>
      <c r="J1459" s="81"/>
    </row>
    <row r="1460">
      <c r="A1460" s="89"/>
      <c r="F1460" s="96"/>
      <c r="H1460" s="27"/>
      <c r="I1460" s="27"/>
      <c r="J1460" s="81"/>
    </row>
    <row r="1461">
      <c r="A1461" s="89"/>
      <c r="F1461" s="96"/>
      <c r="H1461" s="27"/>
      <c r="I1461" s="27"/>
      <c r="J1461" s="81"/>
    </row>
    <row r="1462">
      <c r="A1462" s="89"/>
      <c r="F1462" s="96"/>
      <c r="H1462" s="27"/>
      <c r="I1462" s="27"/>
      <c r="J1462" s="81"/>
    </row>
    <row r="1463">
      <c r="A1463" s="89"/>
      <c r="F1463" s="96"/>
      <c r="H1463" s="27"/>
      <c r="I1463" s="27"/>
      <c r="J1463" s="81"/>
    </row>
    <row r="1464">
      <c r="A1464" s="89"/>
      <c r="F1464" s="96"/>
      <c r="H1464" s="27"/>
      <c r="I1464" s="27"/>
      <c r="J1464" s="81"/>
    </row>
    <row r="1465">
      <c r="A1465" s="89"/>
      <c r="F1465" s="96"/>
      <c r="H1465" s="27"/>
      <c r="I1465" s="27"/>
      <c r="J1465" s="81"/>
    </row>
    <row r="1466">
      <c r="A1466" s="89"/>
      <c r="F1466" s="96"/>
      <c r="H1466" s="27"/>
      <c r="I1466" s="27"/>
      <c r="J1466" s="81"/>
    </row>
    <row r="1467">
      <c r="A1467" s="89"/>
      <c r="F1467" s="96"/>
      <c r="H1467" s="27"/>
      <c r="I1467" s="27"/>
      <c r="J1467" s="81"/>
    </row>
    <row r="1468">
      <c r="A1468" s="89"/>
      <c r="F1468" s="96"/>
      <c r="H1468" s="27"/>
      <c r="I1468" s="27"/>
      <c r="J1468" s="81"/>
    </row>
    <row r="1469">
      <c r="A1469" s="89"/>
      <c r="F1469" s="96"/>
      <c r="H1469" s="27"/>
      <c r="I1469" s="27"/>
      <c r="J1469" s="81"/>
    </row>
    <row r="1470">
      <c r="A1470" s="89"/>
      <c r="F1470" s="96"/>
      <c r="H1470" s="27"/>
      <c r="I1470" s="27"/>
      <c r="J1470" s="81"/>
    </row>
    <row r="1471">
      <c r="A1471" s="89"/>
      <c r="F1471" s="96"/>
      <c r="H1471" s="27"/>
      <c r="I1471" s="27"/>
      <c r="J1471" s="81"/>
    </row>
    <row r="1472">
      <c r="A1472" s="89"/>
      <c r="F1472" s="96"/>
      <c r="H1472" s="27"/>
      <c r="I1472" s="27"/>
      <c r="J1472" s="81"/>
    </row>
    <row r="1473">
      <c r="A1473" s="89"/>
      <c r="F1473" s="96"/>
      <c r="H1473" s="27"/>
      <c r="I1473" s="27"/>
      <c r="J1473" s="81"/>
    </row>
    <row r="1474">
      <c r="A1474" s="89"/>
      <c r="F1474" s="96"/>
      <c r="H1474" s="27"/>
      <c r="I1474" s="27"/>
      <c r="J1474" s="81"/>
    </row>
    <row r="1475">
      <c r="A1475" s="89"/>
      <c r="F1475" s="96"/>
      <c r="H1475" s="27"/>
      <c r="I1475" s="27"/>
      <c r="J1475" s="81"/>
    </row>
    <row r="1476">
      <c r="A1476" s="89"/>
      <c r="F1476" s="96"/>
      <c r="H1476" s="27"/>
      <c r="I1476" s="27"/>
      <c r="J1476" s="81"/>
    </row>
    <row r="1477">
      <c r="A1477" s="89"/>
      <c r="F1477" s="96"/>
      <c r="H1477" s="27"/>
      <c r="I1477" s="27"/>
      <c r="J1477" s="81"/>
    </row>
    <row r="1478">
      <c r="A1478" s="89"/>
      <c r="F1478" s="96"/>
      <c r="H1478" s="27"/>
      <c r="I1478" s="27"/>
      <c r="J1478" s="81"/>
    </row>
    <row r="1479">
      <c r="A1479" s="89"/>
      <c r="F1479" s="96"/>
      <c r="H1479" s="27"/>
      <c r="I1479" s="27"/>
      <c r="J1479" s="81"/>
    </row>
    <row r="1480">
      <c r="A1480" s="89"/>
      <c r="F1480" s="96"/>
      <c r="H1480" s="27"/>
      <c r="I1480" s="27"/>
      <c r="J1480" s="81"/>
    </row>
    <row r="1481">
      <c r="A1481" s="89"/>
      <c r="F1481" s="96"/>
      <c r="H1481" s="27"/>
      <c r="I1481" s="27"/>
      <c r="J1481" s="81"/>
    </row>
    <row r="1482">
      <c r="A1482" s="89"/>
      <c r="F1482" s="96"/>
      <c r="H1482" s="27"/>
      <c r="I1482" s="27"/>
      <c r="J1482" s="81"/>
    </row>
    <row r="1483">
      <c r="A1483" s="89"/>
      <c r="F1483" s="96"/>
      <c r="H1483" s="27"/>
      <c r="I1483" s="27"/>
      <c r="J1483" s="81"/>
    </row>
    <row r="1484">
      <c r="A1484" s="89"/>
      <c r="F1484" s="96"/>
      <c r="H1484" s="27"/>
      <c r="I1484" s="27"/>
      <c r="J1484" s="81"/>
    </row>
    <row r="1485">
      <c r="A1485" s="89"/>
      <c r="F1485" s="96"/>
      <c r="H1485" s="27"/>
      <c r="I1485" s="27"/>
      <c r="J1485" s="81"/>
    </row>
    <row r="1486">
      <c r="A1486" s="89"/>
      <c r="F1486" s="96"/>
      <c r="H1486" s="27"/>
      <c r="I1486" s="27"/>
      <c r="J1486" s="81"/>
    </row>
    <row r="1487">
      <c r="A1487" s="89"/>
      <c r="F1487" s="96"/>
      <c r="H1487" s="27"/>
      <c r="I1487" s="27"/>
      <c r="J1487" s="81"/>
    </row>
    <row r="1488">
      <c r="A1488" s="89"/>
      <c r="F1488" s="96"/>
      <c r="H1488" s="27"/>
      <c r="I1488" s="27"/>
      <c r="J1488" s="81"/>
    </row>
    <row r="1489">
      <c r="A1489" s="89"/>
      <c r="F1489" s="96"/>
      <c r="H1489" s="27"/>
      <c r="I1489" s="27"/>
      <c r="J1489" s="81"/>
    </row>
    <row r="1490">
      <c r="A1490" s="89"/>
      <c r="F1490" s="96"/>
      <c r="H1490" s="27"/>
      <c r="I1490" s="27"/>
      <c r="J1490" s="81"/>
    </row>
    <row r="1491">
      <c r="A1491" s="89"/>
      <c r="F1491" s="96"/>
      <c r="H1491" s="27"/>
      <c r="I1491" s="27"/>
      <c r="J1491" s="81"/>
    </row>
    <row r="1492">
      <c r="A1492" s="89"/>
      <c r="F1492" s="96"/>
      <c r="H1492" s="27"/>
      <c r="I1492" s="27"/>
      <c r="J1492" s="81"/>
    </row>
    <row r="1493">
      <c r="A1493" s="89"/>
      <c r="F1493" s="96"/>
      <c r="H1493" s="27"/>
      <c r="I1493" s="27"/>
      <c r="J1493" s="81"/>
    </row>
    <row r="1494">
      <c r="A1494" s="89"/>
      <c r="F1494" s="96"/>
      <c r="H1494" s="27"/>
      <c r="I1494" s="27"/>
      <c r="J1494" s="81"/>
    </row>
    <row r="1495">
      <c r="A1495" s="89"/>
      <c r="F1495" s="96"/>
      <c r="H1495" s="27"/>
      <c r="I1495" s="27"/>
      <c r="J1495" s="81"/>
    </row>
    <row r="1496">
      <c r="A1496" s="89"/>
      <c r="F1496" s="96"/>
      <c r="H1496" s="27"/>
      <c r="I1496" s="27"/>
      <c r="J1496" s="81"/>
    </row>
    <row r="1497">
      <c r="A1497" s="89"/>
      <c r="F1497" s="96"/>
      <c r="H1497" s="27"/>
      <c r="I1497" s="27"/>
      <c r="J1497" s="81"/>
    </row>
    <row r="1498">
      <c r="A1498" s="89"/>
      <c r="F1498" s="96"/>
      <c r="H1498" s="27"/>
      <c r="I1498" s="27"/>
      <c r="J1498" s="81"/>
    </row>
    <row r="1499">
      <c r="A1499" s="89"/>
      <c r="F1499" s="96"/>
      <c r="H1499" s="27"/>
      <c r="I1499" s="27"/>
      <c r="J1499" s="81"/>
    </row>
    <row r="1500">
      <c r="A1500" s="89"/>
      <c r="F1500" s="96"/>
      <c r="H1500" s="27"/>
      <c r="I1500" s="27"/>
      <c r="J1500" s="81"/>
    </row>
    <row r="1501">
      <c r="A1501" s="89"/>
      <c r="F1501" s="96"/>
      <c r="H1501" s="27"/>
      <c r="I1501" s="27"/>
      <c r="J1501" s="81"/>
    </row>
    <row r="1502">
      <c r="A1502" s="89"/>
      <c r="F1502" s="96"/>
      <c r="H1502" s="27"/>
      <c r="I1502" s="27"/>
      <c r="J1502" s="81"/>
    </row>
    <row r="1503">
      <c r="A1503" s="89"/>
      <c r="F1503" s="96"/>
      <c r="H1503" s="27"/>
      <c r="I1503" s="27"/>
      <c r="J1503" s="81"/>
    </row>
    <row r="1504">
      <c r="A1504" s="89"/>
      <c r="F1504" s="96"/>
      <c r="H1504" s="27"/>
      <c r="I1504" s="27"/>
      <c r="J1504" s="81"/>
    </row>
    <row r="1505">
      <c r="A1505" s="89"/>
      <c r="F1505" s="96"/>
      <c r="H1505" s="27"/>
      <c r="I1505" s="27"/>
      <c r="J1505" s="81"/>
    </row>
    <row r="1506">
      <c r="A1506" s="89"/>
      <c r="F1506" s="96"/>
      <c r="H1506" s="27"/>
      <c r="I1506" s="27"/>
      <c r="J1506" s="81"/>
    </row>
    <row r="1507">
      <c r="A1507" s="89"/>
      <c r="F1507" s="96"/>
      <c r="H1507" s="27"/>
      <c r="I1507" s="27"/>
      <c r="J1507" s="81"/>
    </row>
    <row r="1508">
      <c r="A1508" s="89"/>
      <c r="F1508" s="96"/>
      <c r="H1508" s="27"/>
      <c r="I1508" s="27"/>
      <c r="J1508" s="81"/>
    </row>
    <row r="1509">
      <c r="A1509" s="89"/>
      <c r="F1509" s="96"/>
      <c r="H1509" s="27"/>
      <c r="I1509" s="27"/>
      <c r="J1509" s="81"/>
    </row>
    <row r="1510">
      <c r="A1510" s="89"/>
      <c r="F1510" s="96"/>
      <c r="H1510" s="27"/>
      <c r="I1510" s="27"/>
      <c r="J1510" s="81"/>
    </row>
    <row r="1511">
      <c r="A1511" s="89"/>
      <c r="F1511" s="96"/>
      <c r="H1511" s="27"/>
      <c r="I1511" s="27"/>
      <c r="J1511" s="81"/>
    </row>
    <row r="1512">
      <c r="A1512" s="89"/>
      <c r="F1512" s="96"/>
      <c r="H1512" s="27"/>
      <c r="I1512" s="27"/>
      <c r="J1512" s="81"/>
    </row>
    <row r="1513">
      <c r="A1513" s="89"/>
      <c r="F1513" s="96"/>
      <c r="H1513" s="27"/>
      <c r="I1513" s="27"/>
      <c r="J1513" s="81"/>
    </row>
    <row r="1514">
      <c r="A1514" s="89"/>
      <c r="F1514" s="96"/>
      <c r="H1514" s="27"/>
      <c r="I1514" s="27"/>
      <c r="J1514" s="81"/>
    </row>
    <row r="1515">
      <c r="A1515" s="89"/>
      <c r="F1515" s="96"/>
      <c r="H1515" s="27"/>
      <c r="I1515" s="27"/>
      <c r="J1515" s="81"/>
    </row>
    <row r="1516">
      <c r="A1516" s="89"/>
      <c r="F1516" s="96"/>
      <c r="H1516" s="27"/>
      <c r="I1516" s="27"/>
      <c r="J1516" s="81"/>
    </row>
    <row r="1517">
      <c r="A1517" s="89"/>
      <c r="F1517" s="96"/>
      <c r="H1517" s="27"/>
      <c r="I1517" s="27"/>
      <c r="J1517" s="81"/>
    </row>
    <row r="1518">
      <c r="A1518" s="89"/>
      <c r="F1518" s="96"/>
      <c r="H1518" s="27"/>
      <c r="I1518" s="27"/>
      <c r="J1518" s="81"/>
    </row>
    <row r="1519">
      <c r="A1519" s="89"/>
      <c r="F1519" s="96"/>
      <c r="H1519" s="27"/>
      <c r="I1519" s="27"/>
      <c r="J1519" s="81"/>
    </row>
    <row r="1520">
      <c r="A1520" s="89"/>
      <c r="F1520" s="96"/>
      <c r="H1520" s="27"/>
      <c r="I1520" s="27"/>
      <c r="J1520" s="81"/>
    </row>
    <row r="1521">
      <c r="A1521" s="89"/>
      <c r="F1521" s="96"/>
      <c r="H1521" s="27"/>
      <c r="I1521" s="27"/>
      <c r="J1521" s="81"/>
    </row>
    <row r="1522">
      <c r="A1522" s="89"/>
      <c r="F1522" s="96"/>
      <c r="H1522" s="27"/>
      <c r="I1522" s="27"/>
      <c r="J1522" s="81"/>
    </row>
    <row r="1523">
      <c r="A1523" s="89"/>
      <c r="F1523" s="96"/>
      <c r="H1523" s="27"/>
      <c r="I1523" s="27"/>
      <c r="J1523" s="81"/>
    </row>
    <row r="1524">
      <c r="A1524" s="89"/>
      <c r="F1524" s="96"/>
      <c r="H1524" s="27"/>
      <c r="I1524" s="27"/>
      <c r="J1524" s="81"/>
    </row>
    <row r="1525">
      <c r="A1525" s="89"/>
      <c r="F1525" s="96"/>
      <c r="H1525" s="27"/>
      <c r="I1525" s="27"/>
      <c r="J1525" s="81"/>
    </row>
    <row r="1526">
      <c r="A1526" s="89"/>
      <c r="F1526" s="96"/>
      <c r="H1526" s="27"/>
      <c r="I1526" s="27"/>
      <c r="J1526" s="81"/>
    </row>
    <row r="1527">
      <c r="A1527" s="89"/>
      <c r="F1527" s="96"/>
      <c r="H1527" s="27"/>
      <c r="I1527" s="27"/>
      <c r="J1527" s="81"/>
    </row>
    <row r="1528">
      <c r="A1528" s="89"/>
      <c r="F1528" s="96"/>
      <c r="H1528" s="27"/>
      <c r="I1528" s="27"/>
      <c r="J1528" s="81"/>
    </row>
    <row r="1529">
      <c r="A1529" s="89"/>
      <c r="F1529" s="96"/>
      <c r="H1529" s="27"/>
      <c r="I1529" s="27"/>
      <c r="J1529" s="81"/>
    </row>
    <row r="1530">
      <c r="A1530" s="89"/>
      <c r="F1530" s="96"/>
      <c r="H1530" s="27"/>
      <c r="I1530" s="27"/>
      <c r="J1530" s="81"/>
    </row>
    <row r="1531">
      <c r="A1531" s="89"/>
      <c r="F1531" s="96"/>
      <c r="H1531" s="27"/>
      <c r="I1531" s="27"/>
      <c r="J1531" s="81"/>
    </row>
    <row r="1532">
      <c r="A1532" s="89"/>
      <c r="F1532" s="96"/>
      <c r="H1532" s="27"/>
      <c r="I1532" s="27"/>
      <c r="J1532" s="81"/>
    </row>
    <row r="1533">
      <c r="A1533" s="89"/>
      <c r="F1533" s="96"/>
      <c r="H1533" s="27"/>
      <c r="I1533" s="27"/>
      <c r="J1533" s="81"/>
    </row>
    <row r="1534">
      <c r="A1534" s="89"/>
      <c r="F1534" s="96"/>
      <c r="H1534" s="27"/>
      <c r="I1534" s="27"/>
      <c r="J1534" s="81"/>
    </row>
    <row r="1535">
      <c r="A1535" s="89"/>
      <c r="F1535" s="96"/>
      <c r="H1535" s="27"/>
      <c r="I1535" s="27"/>
      <c r="J1535" s="81"/>
    </row>
    <row r="1536">
      <c r="A1536" s="89"/>
      <c r="F1536" s="96"/>
      <c r="H1536" s="27"/>
      <c r="I1536" s="27"/>
      <c r="J1536" s="81"/>
    </row>
    <row r="1537">
      <c r="A1537" s="89"/>
      <c r="F1537" s="96"/>
      <c r="H1537" s="27"/>
      <c r="I1537" s="27"/>
      <c r="J1537" s="81"/>
    </row>
    <row r="1538">
      <c r="A1538" s="89"/>
      <c r="F1538" s="96"/>
      <c r="H1538" s="27"/>
      <c r="I1538" s="27"/>
      <c r="J1538" s="81"/>
    </row>
    <row r="1539">
      <c r="A1539" s="89"/>
      <c r="F1539" s="96"/>
      <c r="H1539" s="27"/>
      <c r="I1539" s="27"/>
      <c r="J1539" s="81"/>
    </row>
    <row r="1540">
      <c r="A1540" s="89"/>
      <c r="F1540" s="96"/>
      <c r="H1540" s="27"/>
      <c r="I1540" s="27"/>
      <c r="J1540" s="81"/>
    </row>
    <row r="1541">
      <c r="A1541" s="89"/>
      <c r="F1541" s="96"/>
      <c r="H1541" s="27"/>
      <c r="I1541" s="27"/>
      <c r="J1541" s="81"/>
    </row>
    <row r="1542">
      <c r="A1542" s="89"/>
      <c r="F1542" s="96"/>
      <c r="H1542" s="27"/>
      <c r="I1542" s="27"/>
      <c r="J1542" s="81"/>
    </row>
    <row r="1543">
      <c r="A1543" s="89"/>
      <c r="F1543" s="96"/>
      <c r="H1543" s="27"/>
      <c r="I1543" s="27"/>
      <c r="J1543" s="81"/>
    </row>
    <row r="1544">
      <c r="A1544" s="89"/>
      <c r="F1544" s="96"/>
      <c r="H1544" s="27"/>
      <c r="I1544" s="27"/>
      <c r="J1544" s="81"/>
    </row>
    <row r="1545">
      <c r="A1545" s="89"/>
      <c r="F1545" s="96"/>
      <c r="H1545" s="27"/>
      <c r="I1545" s="27"/>
      <c r="J1545" s="81"/>
    </row>
    <row r="1546">
      <c r="A1546" s="89"/>
      <c r="F1546" s="96"/>
      <c r="H1546" s="27"/>
      <c r="I1546" s="27"/>
      <c r="J1546" s="81"/>
    </row>
    <row r="1547">
      <c r="A1547" s="89"/>
      <c r="F1547" s="96"/>
      <c r="H1547" s="27"/>
      <c r="I1547" s="27"/>
      <c r="J1547" s="81"/>
    </row>
    <row r="1548">
      <c r="A1548" s="89"/>
      <c r="F1548" s="96"/>
      <c r="H1548" s="27"/>
      <c r="I1548" s="27"/>
      <c r="J1548" s="81"/>
    </row>
    <row r="1549">
      <c r="A1549" s="89"/>
      <c r="F1549" s="96"/>
      <c r="H1549" s="27"/>
      <c r="I1549" s="27"/>
      <c r="J1549" s="81"/>
    </row>
    <row r="1550">
      <c r="A1550" s="89"/>
      <c r="F1550" s="96"/>
      <c r="H1550" s="27"/>
      <c r="I1550" s="27"/>
      <c r="J1550" s="81"/>
    </row>
    <row r="1551">
      <c r="A1551" s="89"/>
      <c r="F1551" s="96"/>
      <c r="H1551" s="27"/>
      <c r="I1551" s="27"/>
      <c r="J1551" s="81"/>
    </row>
    <row r="1552">
      <c r="A1552" s="89"/>
      <c r="F1552" s="96"/>
      <c r="H1552" s="27"/>
      <c r="I1552" s="27"/>
      <c r="J1552" s="81"/>
    </row>
    <row r="1553">
      <c r="A1553" s="89"/>
      <c r="F1553" s="96"/>
      <c r="H1553" s="27"/>
      <c r="I1553" s="27"/>
      <c r="J1553" s="81"/>
    </row>
    <row r="1554">
      <c r="A1554" s="89"/>
      <c r="F1554" s="96"/>
      <c r="H1554" s="27"/>
      <c r="I1554" s="27"/>
      <c r="J1554" s="81"/>
    </row>
    <row r="1555">
      <c r="A1555" s="89"/>
      <c r="F1555" s="96"/>
      <c r="H1555" s="27"/>
      <c r="I1555" s="27"/>
      <c r="J1555" s="81"/>
    </row>
    <row r="1556">
      <c r="A1556" s="89"/>
      <c r="F1556" s="96"/>
      <c r="H1556" s="27"/>
      <c r="I1556" s="27"/>
      <c r="J1556" s="81"/>
    </row>
    <row r="1557">
      <c r="A1557" s="89"/>
      <c r="F1557" s="96"/>
      <c r="H1557" s="27"/>
      <c r="I1557" s="27"/>
      <c r="J1557" s="81"/>
    </row>
    <row r="1558">
      <c r="A1558" s="89"/>
      <c r="F1558" s="96"/>
      <c r="H1558" s="27"/>
      <c r="I1558" s="27"/>
      <c r="J1558" s="81"/>
    </row>
    <row r="1559">
      <c r="A1559" s="89"/>
      <c r="F1559" s="96"/>
      <c r="H1559" s="27"/>
      <c r="I1559" s="27"/>
      <c r="J1559" s="81"/>
    </row>
    <row r="1560">
      <c r="A1560" s="89"/>
      <c r="F1560" s="96"/>
      <c r="H1560" s="27"/>
      <c r="I1560" s="27"/>
      <c r="J1560" s="81"/>
    </row>
    <row r="1561">
      <c r="A1561" s="89"/>
      <c r="F1561" s="96"/>
      <c r="H1561" s="27"/>
      <c r="I1561" s="27"/>
      <c r="J1561" s="81"/>
    </row>
    <row r="1562">
      <c r="A1562" s="89"/>
      <c r="F1562" s="96"/>
      <c r="H1562" s="27"/>
      <c r="I1562" s="27"/>
      <c r="J1562" s="81"/>
    </row>
    <row r="1563">
      <c r="A1563" s="89"/>
      <c r="F1563" s="96"/>
      <c r="H1563" s="27"/>
      <c r="I1563" s="27"/>
      <c r="J1563" s="81"/>
    </row>
    <row r="1564">
      <c r="A1564" s="89"/>
      <c r="F1564" s="96"/>
      <c r="H1564" s="27"/>
      <c r="I1564" s="27"/>
      <c r="J1564" s="81"/>
    </row>
    <row r="1565">
      <c r="A1565" s="89"/>
      <c r="F1565" s="96"/>
      <c r="H1565" s="27"/>
      <c r="I1565" s="27"/>
      <c r="J1565" s="81"/>
    </row>
    <row r="1566">
      <c r="A1566" s="89"/>
      <c r="F1566" s="96"/>
      <c r="H1566" s="27"/>
      <c r="I1566" s="27"/>
      <c r="J1566" s="81"/>
    </row>
    <row r="1567">
      <c r="A1567" s="89"/>
      <c r="F1567" s="96"/>
      <c r="H1567" s="27"/>
      <c r="I1567" s="27"/>
      <c r="J1567" s="81"/>
    </row>
    <row r="1568">
      <c r="A1568" s="89"/>
      <c r="F1568" s="96"/>
      <c r="H1568" s="27"/>
      <c r="I1568" s="27"/>
      <c r="J1568" s="81"/>
    </row>
    <row r="1569">
      <c r="A1569" s="89"/>
      <c r="F1569" s="96"/>
      <c r="H1569" s="27"/>
      <c r="I1569" s="27"/>
      <c r="J1569" s="81"/>
    </row>
    <row r="1570">
      <c r="A1570" s="89"/>
      <c r="F1570" s="96"/>
      <c r="H1570" s="27"/>
      <c r="I1570" s="27"/>
      <c r="J1570" s="81"/>
    </row>
    <row r="1571">
      <c r="A1571" s="89"/>
      <c r="F1571" s="96"/>
      <c r="H1571" s="27"/>
      <c r="I1571" s="27"/>
      <c r="J1571" s="81"/>
    </row>
    <row r="1572">
      <c r="A1572" s="89"/>
      <c r="F1572" s="96"/>
      <c r="H1572" s="27"/>
      <c r="I1572" s="27"/>
      <c r="J1572" s="81"/>
    </row>
    <row r="1573">
      <c r="A1573" s="89"/>
      <c r="F1573" s="96"/>
      <c r="H1573" s="27"/>
      <c r="I1573" s="27"/>
      <c r="J1573" s="81"/>
    </row>
    <row r="1574">
      <c r="A1574" s="89"/>
      <c r="F1574" s="96"/>
      <c r="H1574" s="27"/>
      <c r="I1574" s="27"/>
      <c r="J1574" s="81"/>
    </row>
    <row r="1575">
      <c r="A1575" s="89"/>
      <c r="F1575" s="96"/>
      <c r="H1575" s="27"/>
      <c r="I1575" s="27"/>
      <c r="J1575" s="81"/>
    </row>
    <row r="1576">
      <c r="A1576" s="89"/>
      <c r="F1576" s="96"/>
      <c r="H1576" s="27"/>
      <c r="I1576" s="27"/>
      <c r="J1576" s="81"/>
    </row>
    <row r="1577">
      <c r="A1577" s="89"/>
      <c r="F1577" s="96"/>
      <c r="H1577" s="27"/>
      <c r="I1577" s="27"/>
      <c r="J1577" s="81"/>
    </row>
    <row r="1578">
      <c r="A1578" s="89"/>
      <c r="F1578" s="96"/>
      <c r="H1578" s="27"/>
      <c r="I1578" s="27"/>
      <c r="J1578" s="81"/>
    </row>
    <row r="1579">
      <c r="A1579" s="89"/>
      <c r="F1579" s="96"/>
      <c r="H1579" s="27"/>
      <c r="I1579" s="27"/>
      <c r="J1579" s="81"/>
    </row>
    <row r="1580">
      <c r="A1580" s="89"/>
      <c r="F1580" s="96"/>
      <c r="H1580" s="27"/>
      <c r="I1580" s="27"/>
      <c r="J1580" s="81"/>
    </row>
    <row r="1581">
      <c r="A1581" s="89"/>
      <c r="F1581" s="96"/>
      <c r="H1581" s="27"/>
      <c r="I1581" s="27"/>
      <c r="J1581" s="81"/>
    </row>
    <row r="1582">
      <c r="A1582" s="89"/>
      <c r="F1582" s="96"/>
      <c r="H1582" s="27"/>
      <c r="I1582" s="27"/>
      <c r="J1582" s="81"/>
    </row>
    <row r="1583">
      <c r="A1583" s="89"/>
      <c r="F1583" s="96"/>
      <c r="H1583" s="27"/>
      <c r="I1583" s="27"/>
      <c r="J1583" s="81"/>
    </row>
    <row r="1584">
      <c r="A1584" s="89"/>
      <c r="F1584" s="96"/>
      <c r="H1584" s="27"/>
      <c r="I1584" s="27"/>
      <c r="J1584" s="81"/>
    </row>
    <row r="1585">
      <c r="A1585" s="89"/>
      <c r="F1585" s="96"/>
      <c r="H1585" s="27"/>
      <c r="I1585" s="27"/>
      <c r="J1585" s="81"/>
    </row>
    <row r="1586">
      <c r="A1586" s="89"/>
      <c r="F1586" s="96"/>
      <c r="H1586" s="27"/>
      <c r="I1586" s="27"/>
      <c r="J1586" s="81"/>
    </row>
    <row r="1587">
      <c r="A1587" s="89"/>
      <c r="F1587" s="96"/>
      <c r="H1587" s="27"/>
      <c r="I1587" s="27"/>
      <c r="J1587" s="81"/>
    </row>
    <row r="1588">
      <c r="A1588" s="89"/>
      <c r="F1588" s="96"/>
      <c r="H1588" s="27"/>
      <c r="I1588" s="27"/>
      <c r="J1588" s="81"/>
    </row>
    <row r="1589">
      <c r="A1589" s="89"/>
      <c r="F1589" s="96"/>
      <c r="H1589" s="27"/>
      <c r="I1589" s="27"/>
      <c r="J1589" s="81"/>
    </row>
    <row r="1590">
      <c r="A1590" s="89"/>
      <c r="F1590" s="96"/>
      <c r="H1590" s="27"/>
      <c r="I1590" s="27"/>
      <c r="J1590" s="81"/>
    </row>
    <row r="1591">
      <c r="A1591" s="89"/>
      <c r="F1591" s="96"/>
      <c r="H1591" s="27"/>
      <c r="I1591" s="27"/>
      <c r="J1591" s="81"/>
    </row>
    <row r="1592">
      <c r="A1592" s="89"/>
      <c r="F1592" s="96"/>
      <c r="H1592" s="27"/>
      <c r="I1592" s="27"/>
      <c r="J1592" s="81"/>
    </row>
    <row r="1593">
      <c r="A1593" s="89"/>
      <c r="F1593" s="96"/>
      <c r="H1593" s="27"/>
      <c r="I1593" s="27"/>
      <c r="J1593" s="81"/>
    </row>
    <row r="1594">
      <c r="A1594" s="89"/>
      <c r="F1594" s="96"/>
      <c r="H1594" s="27"/>
      <c r="I1594" s="27"/>
      <c r="J1594" s="81"/>
    </row>
    <row r="1595">
      <c r="A1595" s="89"/>
      <c r="F1595" s="96"/>
      <c r="H1595" s="27"/>
      <c r="I1595" s="27"/>
      <c r="J1595" s="81"/>
    </row>
    <row r="1596">
      <c r="A1596" s="89"/>
      <c r="F1596" s="96"/>
      <c r="H1596" s="27"/>
      <c r="I1596" s="27"/>
      <c r="J1596" s="81"/>
    </row>
    <row r="1597">
      <c r="A1597" s="89"/>
      <c r="F1597" s="96"/>
      <c r="H1597" s="27"/>
      <c r="I1597" s="27"/>
      <c r="J1597" s="81"/>
    </row>
    <row r="1598">
      <c r="A1598" s="89"/>
      <c r="F1598" s="96"/>
      <c r="H1598" s="27"/>
      <c r="I1598" s="27"/>
      <c r="J1598" s="81"/>
    </row>
    <row r="1599">
      <c r="A1599" s="89"/>
      <c r="F1599" s="96"/>
      <c r="H1599" s="27"/>
      <c r="I1599" s="27"/>
      <c r="J1599" s="81"/>
    </row>
    <row r="1600">
      <c r="A1600" s="89"/>
      <c r="F1600" s="96"/>
      <c r="H1600" s="27"/>
      <c r="I1600" s="27"/>
      <c r="J1600" s="81"/>
    </row>
    <row r="1601">
      <c r="A1601" s="89"/>
      <c r="F1601" s="96"/>
      <c r="H1601" s="27"/>
      <c r="I1601" s="27"/>
      <c r="J1601" s="81"/>
    </row>
    <row r="1602">
      <c r="A1602" s="89"/>
      <c r="F1602" s="96"/>
      <c r="H1602" s="27"/>
      <c r="I1602" s="27"/>
      <c r="J1602" s="81"/>
    </row>
    <row r="1603">
      <c r="A1603" s="89"/>
      <c r="F1603" s="96"/>
      <c r="H1603" s="27"/>
      <c r="I1603" s="27"/>
      <c r="J1603" s="81"/>
    </row>
    <row r="1604">
      <c r="A1604" s="89"/>
      <c r="F1604" s="96"/>
      <c r="H1604" s="27"/>
      <c r="I1604" s="27"/>
      <c r="J1604" s="81"/>
    </row>
    <row r="1605">
      <c r="A1605" s="89"/>
      <c r="F1605" s="96"/>
      <c r="H1605" s="27"/>
      <c r="I1605" s="27"/>
      <c r="J1605" s="81"/>
    </row>
    <row r="1606">
      <c r="A1606" s="89"/>
      <c r="F1606" s="96"/>
      <c r="H1606" s="27"/>
      <c r="I1606" s="27"/>
      <c r="J1606" s="81"/>
    </row>
    <row r="1607">
      <c r="A1607" s="89"/>
      <c r="F1607" s="96"/>
      <c r="H1607" s="27"/>
      <c r="I1607" s="27"/>
      <c r="J1607" s="81"/>
    </row>
    <row r="1608">
      <c r="A1608" s="89"/>
      <c r="F1608" s="96"/>
      <c r="H1608" s="27"/>
      <c r="I1608" s="27"/>
      <c r="J1608" s="81"/>
    </row>
    <row r="1609">
      <c r="A1609" s="89"/>
      <c r="F1609" s="96"/>
      <c r="H1609" s="27"/>
      <c r="I1609" s="27"/>
      <c r="J1609" s="81"/>
    </row>
    <row r="1610">
      <c r="A1610" s="89"/>
      <c r="F1610" s="96"/>
      <c r="H1610" s="27"/>
      <c r="I1610" s="27"/>
      <c r="J1610" s="81"/>
    </row>
    <row r="1611">
      <c r="A1611" s="89"/>
      <c r="F1611" s="96"/>
      <c r="H1611" s="27"/>
      <c r="I1611" s="27"/>
      <c r="J1611" s="81"/>
    </row>
    <row r="1612">
      <c r="A1612" s="89"/>
      <c r="F1612" s="96"/>
      <c r="H1612" s="27"/>
      <c r="I1612" s="27"/>
      <c r="J1612" s="81"/>
    </row>
    <row r="1613">
      <c r="A1613" s="89"/>
      <c r="F1613" s="96"/>
      <c r="H1613" s="27"/>
      <c r="I1613" s="27"/>
      <c r="J1613" s="81"/>
    </row>
    <row r="1614">
      <c r="A1614" s="89"/>
      <c r="F1614" s="96"/>
      <c r="H1614" s="27"/>
      <c r="I1614" s="27"/>
      <c r="J1614" s="81"/>
    </row>
    <row r="1615">
      <c r="A1615" s="89"/>
      <c r="F1615" s="96"/>
      <c r="H1615" s="27"/>
      <c r="I1615" s="27"/>
      <c r="J1615" s="81"/>
    </row>
    <row r="1616">
      <c r="A1616" s="89"/>
      <c r="F1616" s="96"/>
      <c r="H1616" s="27"/>
      <c r="I1616" s="27"/>
      <c r="J1616" s="81"/>
    </row>
    <row r="1617">
      <c r="A1617" s="89"/>
      <c r="F1617" s="96"/>
      <c r="H1617" s="27"/>
      <c r="I1617" s="27"/>
      <c r="J1617" s="81"/>
    </row>
    <row r="1618">
      <c r="A1618" s="89"/>
      <c r="F1618" s="96"/>
      <c r="H1618" s="27"/>
      <c r="I1618" s="27"/>
      <c r="J1618" s="81"/>
    </row>
    <row r="1619">
      <c r="A1619" s="89"/>
      <c r="F1619" s="96"/>
      <c r="H1619" s="27"/>
      <c r="I1619" s="27"/>
      <c r="J1619" s="81"/>
    </row>
    <row r="1620">
      <c r="A1620" s="89"/>
      <c r="F1620" s="96"/>
      <c r="H1620" s="27"/>
      <c r="I1620" s="27"/>
      <c r="J1620" s="81"/>
    </row>
    <row r="1621">
      <c r="A1621" s="89"/>
      <c r="F1621" s="96"/>
      <c r="H1621" s="27"/>
      <c r="I1621" s="27"/>
      <c r="J1621" s="81"/>
    </row>
    <row r="1622">
      <c r="A1622" s="89"/>
      <c r="F1622" s="96"/>
      <c r="H1622" s="27"/>
      <c r="I1622" s="27"/>
      <c r="J1622" s="81"/>
    </row>
    <row r="1623">
      <c r="A1623" s="89"/>
      <c r="F1623" s="96"/>
      <c r="H1623" s="27"/>
      <c r="I1623" s="27"/>
      <c r="J1623" s="81"/>
    </row>
    <row r="1624">
      <c r="A1624" s="89"/>
      <c r="F1624" s="96"/>
      <c r="H1624" s="27"/>
      <c r="I1624" s="27"/>
      <c r="J1624" s="81"/>
    </row>
    <row r="1625">
      <c r="A1625" s="89"/>
      <c r="F1625" s="96"/>
      <c r="H1625" s="27"/>
      <c r="I1625" s="27"/>
      <c r="J1625" s="81"/>
    </row>
    <row r="1626">
      <c r="A1626" s="89"/>
      <c r="F1626" s="96"/>
      <c r="H1626" s="27"/>
      <c r="I1626" s="27"/>
      <c r="J1626" s="81"/>
    </row>
    <row r="1627">
      <c r="A1627" s="89"/>
      <c r="F1627" s="96"/>
      <c r="H1627" s="27"/>
      <c r="I1627" s="27"/>
      <c r="J1627" s="81"/>
    </row>
    <row r="1628">
      <c r="A1628" s="89"/>
      <c r="F1628" s="96"/>
      <c r="H1628" s="27"/>
      <c r="I1628" s="27"/>
      <c r="J1628" s="81"/>
    </row>
    <row r="1629">
      <c r="A1629" s="89"/>
      <c r="F1629" s="96"/>
      <c r="H1629" s="27"/>
      <c r="I1629" s="27"/>
      <c r="J1629" s="81"/>
    </row>
    <row r="1630">
      <c r="A1630" s="89"/>
      <c r="F1630" s="96"/>
      <c r="H1630" s="27"/>
      <c r="I1630" s="27"/>
      <c r="J1630" s="81"/>
    </row>
    <row r="1631">
      <c r="A1631" s="89"/>
      <c r="F1631" s="96"/>
      <c r="H1631" s="27"/>
      <c r="I1631" s="27"/>
      <c r="J1631" s="81"/>
    </row>
    <row r="1632">
      <c r="A1632" s="89"/>
      <c r="F1632" s="96"/>
      <c r="H1632" s="27"/>
      <c r="I1632" s="27"/>
      <c r="J1632" s="81"/>
    </row>
    <row r="1633">
      <c r="A1633" s="89"/>
      <c r="F1633" s="96"/>
      <c r="H1633" s="27"/>
      <c r="I1633" s="27"/>
      <c r="J1633" s="81"/>
    </row>
    <row r="1634">
      <c r="A1634" s="89"/>
      <c r="F1634" s="96"/>
      <c r="H1634" s="27"/>
      <c r="I1634" s="27"/>
      <c r="J1634" s="81"/>
    </row>
    <row r="1635">
      <c r="A1635" s="89"/>
      <c r="F1635" s="96"/>
      <c r="H1635" s="27"/>
      <c r="I1635" s="27"/>
      <c r="J1635" s="81"/>
    </row>
    <row r="1636">
      <c r="A1636" s="89"/>
      <c r="F1636" s="96"/>
      <c r="H1636" s="27"/>
      <c r="I1636" s="27"/>
      <c r="J1636" s="81"/>
    </row>
    <row r="1637">
      <c r="A1637" s="89"/>
      <c r="F1637" s="96"/>
      <c r="H1637" s="27"/>
      <c r="I1637" s="27"/>
      <c r="J1637" s="81"/>
    </row>
    <row r="1638">
      <c r="A1638" s="89"/>
      <c r="F1638" s="96"/>
      <c r="H1638" s="27"/>
      <c r="I1638" s="27"/>
      <c r="J1638" s="81"/>
    </row>
    <row r="1639">
      <c r="A1639" s="89"/>
      <c r="F1639" s="96"/>
      <c r="H1639" s="27"/>
      <c r="I1639" s="27"/>
      <c r="J1639" s="81"/>
    </row>
    <row r="1640">
      <c r="A1640" s="89"/>
      <c r="F1640" s="96"/>
      <c r="H1640" s="27"/>
      <c r="I1640" s="27"/>
      <c r="J1640" s="81"/>
    </row>
    <row r="1641">
      <c r="A1641" s="89"/>
      <c r="F1641" s="96"/>
      <c r="H1641" s="27"/>
      <c r="I1641" s="27"/>
      <c r="J1641" s="81"/>
    </row>
    <row r="1642">
      <c r="A1642" s="89"/>
      <c r="F1642" s="96"/>
      <c r="H1642" s="27"/>
      <c r="I1642" s="27"/>
      <c r="J1642" s="81"/>
    </row>
    <row r="1643">
      <c r="A1643" s="89"/>
      <c r="F1643" s="96"/>
      <c r="H1643" s="27"/>
      <c r="I1643" s="27"/>
      <c r="J1643" s="81"/>
    </row>
    <row r="1644">
      <c r="A1644" s="89"/>
      <c r="F1644" s="96"/>
      <c r="H1644" s="27"/>
      <c r="I1644" s="27"/>
      <c r="J1644" s="81"/>
    </row>
    <row r="1645">
      <c r="A1645" s="89"/>
      <c r="F1645" s="96"/>
      <c r="H1645" s="27"/>
      <c r="I1645" s="27"/>
      <c r="J1645" s="81"/>
    </row>
    <row r="1646">
      <c r="A1646" s="89"/>
      <c r="F1646" s="96"/>
      <c r="H1646" s="27"/>
      <c r="I1646" s="27"/>
      <c r="J1646" s="81"/>
    </row>
    <row r="1647">
      <c r="A1647" s="89"/>
      <c r="F1647" s="96"/>
      <c r="H1647" s="27"/>
      <c r="I1647" s="27"/>
      <c r="J1647" s="81"/>
    </row>
    <row r="1648">
      <c r="A1648" s="89"/>
      <c r="F1648" s="96"/>
      <c r="H1648" s="27"/>
      <c r="I1648" s="27"/>
      <c r="J1648" s="81"/>
    </row>
    <row r="1649">
      <c r="A1649" s="89"/>
      <c r="F1649" s="96"/>
      <c r="H1649" s="27"/>
      <c r="I1649" s="27"/>
      <c r="J1649" s="81"/>
    </row>
    <row r="1650">
      <c r="A1650" s="89"/>
      <c r="F1650" s="96"/>
      <c r="H1650" s="27"/>
      <c r="I1650" s="27"/>
      <c r="J1650" s="81"/>
    </row>
    <row r="1651">
      <c r="A1651" s="89"/>
      <c r="F1651" s="96"/>
      <c r="H1651" s="27"/>
      <c r="I1651" s="27"/>
      <c r="J1651" s="81"/>
    </row>
    <row r="1652">
      <c r="A1652" s="89"/>
      <c r="F1652" s="96"/>
      <c r="H1652" s="27"/>
      <c r="I1652" s="27"/>
      <c r="J1652" s="81"/>
    </row>
    <row r="1653">
      <c r="A1653" s="89"/>
      <c r="F1653" s="96"/>
      <c r="H1653" s="27"/>
      <c r="I1653" s="27"/>
      <c r="J1653" s="81"/>
    </row>
    <row r="1654">
      <c r="A1654" s="89"/>
      <c r="F1654" s="96"/>
      <c r="H1654" s="27"/>
      <c r="I1654" s="27"/>
      <c r="J1654" s="81"/>
    </row>
    <row r="1655">
      <c r="A1655" s="89"/>
      <c r="F1655" s="96"/>
      <c r="H1655" s="27"/>
      <c r="I1655" s="27"/>
      <c r="J1655" s="81"/>
    </row>
    <row r="1656">
      <c r="A1656" s="89"/>
      <c r="F1656" s="96"/>
      <c r="H1656" s="27"/>
      <c r="I1656" s="27"/>
      <c r="J1656" s="81"/>
    </row>
    <row r="1657">
      <c r="A1657" s="89"/>
      <c r="F1657" s="96"/>
      <c r="H1657" s="27"/>
      <c r="I1657" s="27"/>
      <c r="J1657" s="81"/>
    </row>
    <row r="1658">
      <c r="A1658" s="89"/>
      <c r="F1658" s="96"/>
      <c r="H1658" s="27"/>
      <c r="I1658" s="27"/>
      <c r="J1658" s="81"/>
    </row>
    <row r="1659">
      <c r="A1659" s="89"/>
      <c r="F1659" s="96"/>
      <c r="H1659" s="27"/>
      <c r="I1659" s="27"/>
      <c r="J1659" s="81"/>
    </row>
    <row r="1660">
      <c r="A1660" s="89"/>
      <c r="F1660" s="96"/>
      <c r="H1660" s="27"/>
      <c r="I1660" s="27"/>
      <c r="J1660" s="81"/>
    </row>
    <row r="1661">
      <c r="A1661" s="89"/>
      <c r="F1661" s="96"/>
      <c r="H1661" s="27"/>
      <c r="I1661" s="27"/>
      <c r="J1661" s="81"/>
    </row>
    <row r="1662">
      <c r="A1662" s="89"/>
      <c r="F1662" s="96"/>
      <c r="H1662" s="27"/>
      <c r="I1662" s="27"/>
      <c r="J1662" s="81"/>
    </row>
    <row r="1663">
      <c r="A1663" s="89"/>
      <c r="F1663" s="96"/>
      <c r="H1663" s="27"/>
      <c r="I1663" s="27"/>
      <c r="J1663" s="81"/>
    </row>
    <row r="1664">
      <c r="A1664" s="89"/>
      <c r="F1664" s="96"/>
      <c r="H1664" s="27"/>
      <c r="I1664" s="27"/>
      <c r="J1664" s="81"/>
    </row>
    <row r="1665">
      <c r="A1665" s="89"/>
      <c r="F1665" s="96"/>
      <c r="H1665" s="27"/>
      <c r="I1665" s="27"/>
      <c r="J1665" s="81"/>
    </row>
    <row r="1666">
      <c r="A1666" s="89"/>
      <c r="F1666" s="96"/>
      <c r="H1666" s="27"/>
      <c r="I1666" s="27"/>
      <c r="J1666" s="81"/>
    </row>
    <row r="1667">
      <c r="A1667" s="89"/>
      <c r="F1667" s="96"/>
      <c r="H1667" s="27"/>
      <c r="I1667" s="27"/>
      <c r="J1667" s="81"/>
    </row>
    <row r="1668">
      <c r="A1668" s="89"/>
      <c r="F1668" s="96"/>
      <c r="H1668" s="27"/>
      <c r="I1668" s="27"/>
      <c r="J1668" s="81"/>
    </row>
    <row r="1669">
      <c r="A1669" s="89"/>
      <c r="F1669" s="96"/>
      <c r="H1669" s="27"/>
      <c r="I1669" s="27"/>
      <c r="J1669" s="81"/>
    </row>
    <row r="1670">
      <c r="A1670" s="89"/>
      <c r="F1670" s="96"/>
      <c r="H1670" s="27"/>
      <c r="I1670" s="27"/>
      <c r="J1670" s="81"/>
    </row>
    <row r="1671">
      <c r="A1671" s="89"/>
      <c r="F1671" s="96"/>
      <c r="H1671" s="27"/>
      <c r="I1671" s="27"/>
      <c r="J1671" s="81"/>
    </row>
    <row r="1672">
      <c r="A1672" s="89"/>
      <c r="F1672" s="96"/>
      <c r="H1672" s="27"/>
      <c r="I1672" s="27"/>
      <c r="J1672" s="81"/>
    </row>
    <row r="1673">
      <c r="A1673" s="89"/>
      <c r="F1673" s="96"/>
      <c r="H1673" s="27"/>
      <c r="I1673" s="27"/>
      <c r="J1673" s="81"/>
    </row>
    <row r="1674">
      <c r="A1674" s="89"/>
      <c r="F1674" s="96"/>
      <c r="H1674" s="27"/>
      <c r="I1674" s="27"/>
      <c r="J1674" s="81"/>
    </row>
    <row r="1675">
      <c r="A1675" s="89"/>
      <c r="F1675" s="96"/>
      <c r="H1675" s="27"/>
      <c r="I1675" s="27"/>
      <c r="J1675" s="81"/>
    </row>
    <row r="1676">
      <c r="A1676" s="89"/>
      <c r="F1676" s="96"/>
      <c r="H1676" s="27"/>
      <c r="I1676" s="27"/>
      <c r="J1676" s="81"/>
    </row>
    <row r="1677">
      <c r="A1677" s="89"/>
      <c r="F1677" s="96"/>
      <c r="H1677" s="27"/>
      <c r="I1677" s="27"/>
      <c r="J1677" s="81"/>
    </row>
    <row r="1678">
      <c r="A1678" s="89"/>
      <c r="F1678" s="96"/>
      <c r="H1678" s="27"/>
      <c r="I1678" s="27"/>
      <c r="J1678" s="81"/>
    </row>
    <row r="1679">
      <c r="A1679" s="89"/>
      <c r="F1679" s="96"/>
      <c r="H1679" s="27"/>
      <c r="I1679" s="27"/>
      <c r="J1679" s="81"/>
    </row>
    <row r="1680">
      <c r="A1680" s="89"/>
      <c r="F1680" s="96"/>
      <c r="H1680" s="27"/>
      <c r="I1680" s="27"/>
      <c r="J1680" s="81"/>
    </row>
    <row r="1681">
      <c r="A1681" s="89"/>
      <c r="F1681" s="96"/>
      <c r="H1681" s="27"/>
      <c r="I1681" s="27"/>
      <c r="J1681" s="81"/>
    </row>
    <row r="1682">
      <c r="A1682" s="89"/>
      <c r="F1682" s="96"/>
      <c r="H1682" s="27"/>
      <c r="I1682" s="27"/>
      <c r="J1682" s="81"/>
    </row>
    <row r="1683">
      <c r="A1683" s="89"/>
      <c r="F1683" s="96"/>
      <c r="H1683" s="27"/>
      <c r="I1683" s="27"/>
      <c r="J1683" s="81"/>
    </row>
    <row r="1684">
      <c r="A1684" s="89"/>
      <c r="F1684" s="96"/>
      <c r="H1684" s="27"/>
      <c r="I1684" s="27"/>
      <c r="J1684" s="81"/>
    </row>
    <row r="1685">
      <c r="A1685" s="89"/>
      <c r="F1685" s="96"/>
      <c r="H1685" s="27"/>
      <c r="I1685" s="27"/>
      <c r="J1685" s="81"/>
    </row>
    <row r="1686">
      <c r="A1686" s="89"/>
      <c r="F1686" s="96"/>
      <c r="H1686" s="27"/>
      <c r="I1686" s="27"/>
      <c r="J1686" s="81"/>
    </row>
    <row r="1687">
      <c r="A1687" s="89"/>
      <c r="F1687" s="96"/>
      <c r="H1687" s="27"/>
      <c r="I1687" s="27"/>
      <c r="J1687" s="81"/>
    </row>
    <row r="1688">
      <c r="A1688" s="89"/>
      <c r="F1688" s="96"/>
      <c r="H1688" s="27"/>
      <c r="I1688" s="27"/>
      <c r="J1688" s="81"/>
    </row>
    <row r="1689">
      <c r="A1689" s="89"/>
      <c r="F1689" s="96"/>
      <c r="H1689" s="27"/>
      <c r="I1689" s="27"/>
      <c r="J1689" s="81"/>
    </row>
    <row r="1690">
      <c r="A1690" s="89"/>
      <c r="F1690" s="96"/>
      <c r="H1690" s="27"/>
      <c r="I1690" s="27"/>
      <c r="J1690" s="81"/>
    </row>
    <row r="1691">
      <c r="A1691" s="89"/>
      <c r="F1691" s="96"/>
      <c r="H1691" s="27"/>
      <c r="I1691" s="27"/>
      <c r="J1691" s="81"/>
    </row>
    <row r="1692">
      <c r="A1692" s="89"/>
      <c r="F1692" s="96"/>
      <c r="H1692" s="27"/>
      <c r="I1692" s="27"/>
      <c r="J1692" s="81"/>
    </row>
    <row r="1693">
      <c r="A1693" s="89"/>
      <c r="F1693" s="96"/>
      <c r="H1693" s="27"/>
      <c r="I1693" s="27"/>
      <c r="J1693" s="81"/>
    </row>
    <row r="1694">
      <c r="A1694" s="89"/>
      <c r="F1694" s="96"/>
      <c r="H1694" s="27"/>
      <c r="I1694" s="27"/>
      <c r="J1694" s="81"/>
    </row>
    <row r="1695">
      <c r="A1695" s="89"/>
      <c r="F1695" s="96"/>
      <c r="H1695" s="27"/>
      <c r="I1695" s="27"/>
      <c r="J1695" s="81"/>
    </row>
    <row r="1696">
      <c r="A1696" s="89"/>
      <c r="F1696" s="96"/>
      <c r="H1696" s="27"/>
      <c r="I1696" s="27"/>
      <c r="J1696" s="81"/>
    </row>
    <row r="1697">
      <c r="A1697" s="89"/>
      <c r="F1697" s="96"/>
      <c r="H1697" s="27"/>
      <c r="I1697" s="27"/>
      <c r="J1697" s="81"/>
    </row>
    <row r="1698">
      <c r="A1698" s="89"/>
      <c r="F1698" s="96"/>
      <c r="H1698" s="27"/>
      <c r="I1698" s="27"/>
      <c r="J1698" s="81"/>
    </row>
    <row r="1699">
      <c r="A1699" s="89"/>
      <c r="F1699" s="96"/>
      <c r="H1699" s="27"/>
      <c r="I1699" s="27"/>
      <c r="J1699" s="81"/>
    </row>
    <row r="1700">
      <c r="A1700" s="89"/>
      <c r="F1700" s="96"/>
      <c r="H1700" s="27"/>
      <c r="I1700" s="27"/>
      <c r="J1700" s="81"/>
    </row>
    <row r="1701">
      <c r="A1701" s="89"/>
      <c r="F1701" s="96"/>
      <c r="H1701" s="27"/>
      <c r="I1701" s="27"/>
      <c r="J1701" s="81"/>
    </row>
    <row r="1702">
      <c r="A1702" s="89"/>
      <c r="F1702" s="96"/>
      <c r="H1702" s="27"/>
      <c r="I1702" s="27"/>
      <c r="J1702" s="81"/>
    </row>
    <row r="1703">
      <c r="A1703" s="89"/>
      <c r="F1703" s="96"/>
      <c r="H1703" s="27"/>
      <c r="I1703" s="27"/>
      <c r="J1703" s="81"/>
    </row>
    <row r="1704">
      <c r="A1704" s="89"/>
      <c r="F1704" s="96"/>
      <c r="H1704" s="27"/>
      <c r="I1704" s="27"/>
      <c r="J1704" s="81"/>
    </row>
    <row r="1705">
      <c r="A1705" s="89"/>
      <c r="F1705" s="96"/>
      <c r="H1705" s="27"/>
      <c r="I1705" s="27"/>
      <c r="J1705" s="81"/>
    </row>
    <row r="1706">
      <c r="A1706" s="89"/>
      <c r="F1706" s="96"/>
      <c r="H1706" s="27"/>
      <c r="I1706" s="27"/>
      <c r="J1706" s="81"/>
    </row>
    <row r="1707">
      <c r="A1707" s="89"/>
      <c r="F1707" s="96"/>
      <c r="H1707" s="27"/>
      <c r="I1707" s="27"/>
      <c r="J1707" s="81"/>
    </row>
    <row r="1708">
      <c r="A1708" s="89"/>
      <c r="F1708" s="96"/>
      <c r="H1708" s="27"/>
      <c r="I1708" s="27"/>
      <c r="J1708" s="81"/>
    </row>
    <row r="1709">
      <c r="A1709" s="89"/>
      <c r="F1709" s="96"/>
      <c r="H1709" s="27"/>
      <c r="I1709" s="27"/>
      <c r="J1709" s="81"/>
    </row>
    <row r="1710">
      <c r="A1710" s="89"/>
      <c r="F1710" s="96"/>
      <c r="H1710" s="27"/>
      <c r="I1710" s="27"/>
      <c r="J1710" s="81"/>
    </row>
    <row r="1711">
      <c r="A1711" s="89"/>
      <c r="F1711" s="96"/>
      <c r="H1711" s="27"/>
      <c r="I1711" s="27"/>
      <c r="J1711" s="81"/>
    </row>
    <row r="1712">
      <c r="A1712" s="89"/>
      <c r="F1712" s="96"/>
      <c r="H1712" s="27"/>
      <c r="I1712" s="27"/>
      <c r="J1712" s="81"/>
    </row>
    <row r="1713">
      <c r="A1713" s="89"/>
      <c r="F1713" s="96"/>
      <c r="H1713" s="27"/>
      <c r="I1713" s="27"/>
      <c r="J1713" s="81"/>
    </row>
    <row r="1714">
      <c r="A1714" s="89"/>
      <c r="F1714" s="96"/>
      <c r="H1714" s="27"/>
      <c r="I1714" s="27"/>
      <c r="J1714" s="81"/>
    </row>
    <row r="1715">
      <c r="A1715" s="89"/>
      <c r="F1715" s="96"/>
      <c r="H1715" s="27"/>
      <c r="I1715" s="27"/>
      <c r="J1715" s="81"/>
    </row>
    <row r="1716">
      <c r="A1716" s="89"/>
      <c r="F1716" s="96"/>
      <c r="H1716" s="27"/>
      <c r="I1716" s="27"/>
      <c r="J1716" s="81"/>
    </row>
    <row r="1717">
      <c r="A1717" s="89"/>
      <c r="F1717" s="96"/>
      <c r="H1717" s="27"/>
      <c r="I1717" s="27"/>
      <c r="J1717" s="81"/>
    </row>
    <row r="1718">
      <c r="A1718" s="89"/>
      <c r="F1718" s="96"/>
      <c r="H1718" s="27"/>
      <c r="I1718" s="27"/>
      <c r="J1718" s="81"/>
    </row>
    <row r="1719">
      <c r="A1719" s="89"/>
      <c r="F1719" s="96"/>
      <c r="H1719" s="27"/>
      <c r="I1719" s="27"/>
      <c r="J1719" s="81"/>
    </row>
    <row r="1720">
      <c r="A1720" s="89"/>
      <c r="F1720" s="96"/>
      <c r="H1720" s="27"/>
      <c r="I1720" s="27"/>
      <c r="J1720" s="81"/>
    </row>
    <row r="1721">
      <c r="A1721" s="89"/>
      <c r="F1721" s="96"/>
      <c r="H1721" s="27"/>
      <c r="I1721" s="27"/>
      <c r="J1721" s="81"/>
    </row>
    <row r="1722">
      <c r="A1722" s="89"/>
      <c r="F1722" s="96"/>
      <c r="H1722" s="27"/>
      <c r="I1722" s="27"/>
      <c r="J1722" s="81"/>
    </row>
    <row r="1723">
      <c r="A1723" s="89"/>
      <c r="F1723" s="96"/>
      <c r="H1723" s="27"/>
      <c r="I1723" s="27"/>
      <c r="J1723" s="81"/>
    </row>
    <row r="1724">
      <c r="A1724" s="89"/>
      <c r="F1724" s="96"/>
      <c r="H1724" s="27"/>
      <c r="I1724" s="27"/>
      <c r="J1724" s="81"/>
    </row>
    <row r="1725">
      <c r="A1725" s="89"/>
      <c r="F1725" s="96"/>
      <c r="H1725" s="27"/>
      <c r="I1725" s="27"/>
      <c r="J1725" s="81"/>
    </row>
    <row r="1726">
      <c r="A1726" s="89"/>
      <c r="F1726" s="96"/>
      <c r="H1726" s="27"/>
      <c r="I1726" s="27"/>
      <c r="J1726" s="81"/>
    </row>
    <row r="1727">
      <c r="A1727" s="89"/>
      <c r="F1727" s="96"/>
      <c r="H1727" s="27"/>
      <c r="I1727" s="27"/>
      <c r="J1727" s="81"/>
    </row>
    <row r="1728">
      <c r="A1728" s="89"/>
      <c r="F1728" s="96"/>
      <c r="H1728" s="27"/>
      <c r="I1728" s="27"/>
      <c r="J1728" s="81"/>
    </row>
    <row r="1729">
      <c r="A1729" s="89"/>
      <c r="F1729" s="96"/>
      <c r="H1729" s="27"/>
      <c r="I1729" s="27"/>
      <c r="J1729" s="81"/>
    </row>
    <row r="1730">
      <c r="A1730" s="89"/>
      <c r="F1730" s="96"/>
      <c r="H1730" s="27"/>
      <c r="I1730" s="27"/>
      <c r="J1730" s="81"/>
    </row>
    <row r="1731">
      <c r="A1731" s="89"/>
      <c r="F1731" s="96"/>
      <c r="H1731" s="27"/>
      <c r="I1731" s="27"/>
      <c r="J1731" s="81"/>
    </row>
    <row r="1732">
      <c r="A1732" s="89"/>
      <c r="F1732" s="96"/>
      <c r="H1732" s="27"/>
      <c r="I1732" s="27"/>
      <c r="J1732" s="81"/>
    </row>
    <row r="1733">
      <c r="A1733" s="89"/>
      <c r="F1733" s="96"/>
      <c r="H1733" s="27"/>
      <c r="I1733" s="27"/>
      <c r="J1733" s="81"/>
    </row>
    <row r="1734">
      <c r="A1734" s="89"/>
      <c r="F1734" s="96"/>
      <c r="H1734" s="27"/>
      <c r="I1734" s="27"/>
      <c r="J1734" s="81"/>
    </row>
    <row r="1735">
      <c r="A1735" s="89"/>
      <c r="F1735" s="96"/>
      <c r="H1735" s="27"/>
      <c r="I1735" s="27"/>
      <c r="J1735" s="81"/>
    </row>
    <row r="1736">
      <c r="A1736" s="89"/>
      <c r="F1736" s="96"/>
      <c r="H1736" s="27"/>
      <c r="I1736" s="27"/>
      <c r="J1736" s="81"/>
    </row>
    <row r="1737">
      <c r="A1737" s="89"/>
      <c r="F1737" s="96"/>
      <c r="H1737" s="27"/>
      <c r="I1737" s="27"/>
      <c r="J1737" s="81"/>
    </row>
    <row r="1738">
      <c r="A1738" s="89"/>
      <c r="F1738" s="96"/>
      <c r="H1738" s="27"/>
      <c r="I1738" s="27"/>
      <c r="J1738" s="81"/>
    </row>
    <row r="1739">
      <c r="A1739" s="89"/>
      <c r="F1739" s="96"/>
      <c r="H1739" s="27"/>
      <c r="I1739" s="27"/>
      <c r="J1739" s="81"/>
    </row>
    <row r="1740">
      <c r="A1740" s="89"/>
      <c r="F1740" s="96"/>
      <c r="H1740" s="27"/>
      <c r="I1740" s="27"/>
      <c r="J1740" s="81"/>
    </row>
    <row r="1741">
      <c r="A1741" s="89"/>
      <c r="F1741" s="96"/>
      <c r="H1741" s="27"/>
      <c r="I1741" s="27"/>
      <c r="J1741" s="81"/>
    </row>
    <row r="1742">
      <c r="A1742" s="89"/>
      <c r="F1742" s="96"/>
      <c r="H1742" s="27"/>
      <c r="I1742" s="27"/>
      <c r="J1742" s="81"/>
    </row>
    <row r="1743">
      <c r="A1743" s="89"/>
      <c r="F1743" s="96"/>
      <c r="H1743" s="27"/>
      <c r="I1743" s="27"/>
      <c r="J1743" s="81"/>
    </row>
    <row r="1744">
      <c r="A1744" s="89"/>
      <c r="F1744" s="96"/>
      <c r="H1744" s="27"/>
      <c r="I1744" s="27"/>
      <c r="J1744" s="81"/>
    </row>
    <row r="1745">
      <c r="A1745" s="89"/>
      <c r="F1745" s="96"/>
      <c r="H1745" s="27"/>
      <c r="I1745" s="27"/>
      <c r="J1745" s="81"/>
    </row>
    <row r="1746">
      <c r="A1746" s="89"/>
      <c r="F1746" s="96"/>
      <c r="H1746" s="27"/>
      <c r="I1746" s="27"/>
      <c r="J1746" s="81"/>
    </row>
    <row r="1747">
      <c r="A1747" s="89"/>
      <c r="F1747" s="96"/>
      <c r="H1747" s="27"/>
      <c r="I1747" s="27"/>
      <c r="J1747" s="81"/>
    </row>
    <row r="1748">
      <c r="A1748" s="89"/>
      <c r="F1748" s="96"/>
      <c r="H1748" s="27"/>
      <c r="I1748" s="27"/>
      <c r="J1748" s="81"/>
    </row>
    <row r="1749">
      <c r="A1749" s="89"/>
      <c r="F1749" s="96"/>
      <c r="H1749" s="27"/>
      <c r="I1749" s="27"/>
      <c r="J1749" s="81"/>
    </row>
    <row r="1750">
      <c r="A1750" s="89"/>
      <c r="F1750" s="96"/>
      <c r="H1750" s="27"/>
      <c r="I1750" s="27"/>
      <c r="J1750" s="81"/>
    </row>
    <row r="1751">
      <c r="A1751" s="89"/>
      <c r="F1751" s="96"/>
      <c r="H1751" s="27"/>
      <c r="I1751" s="27"/>
      <c r="J1751" s="81"/>
    </row>
    <row r="1752">
      <c r="A1752" s="89"/>
      <c r="F1752" s="96"/>
      <c r="H1752" s="27"/>
      <c r="I1752" s="27"/>
      <c r="J1752" s="81"/>
    </row>
    <row r="1753">
      <c r="A1753" s="89"/>
      <c r="F1753" s="96"/>
      <c r="H1753" s="27"/>
      <c r="I1753" s="27"/>
      <c r="J1753" s="81"/>
    </row>
    <row r="1754">
      <c r="A1754" s="89"/>
      <c r="F1754" s="96"/>
      <c r="H1754" s="27"/>
      <c r="I1754" s="27"/>
      <c r="J1754" s="81"/>
    </row>
    <row r="1755">
      <c r="A1755" s="89"/>
      <c r="F1755" s="96"/>
      <c r="H1755" s="27"/>
      <c r="I1755" s="27"/>
      <c r="J1755" s="81"/>
    </row>
    <row r="1756">
      <c r="A1756" s="89"/>
      <c r="F1756" s="96"/>
      <c r="H1756" s="27"/>
      <c r="I1756" s="27"/>
      <c r="J1756" s="81"/>
    </row>
    <row r="1757">
      <c r="A1757" s="89"/>
      <c r="F1757" s="96"/>
      <c r="H1757" s="27"/>
      <c r="I1757" s="27"/>
      <c r="J1757" s="81"/>
    </row>
    <row r="1758">
      <c r="A1758" s="89"/>
      <c r="F1758" s="96"/>
      <c r="H1758" s="27"/>
      <c r="I1758" s="27"/>
      <c r="J1758" s="81"/>
    </row>
    <row r="1759">
      <c r="A1759" s="89"/>
      <c r="F1759" s="96"/>
      <c r="H1759" s="27"/>
      <c r="I1759" s="27"/>
      <c r="J1759" s="81"/>
    </row>
    <row r="1760">
      <c r="A1760" s="89"/>
      <c r="F1760" s="96"/>
      <c r="H1760" s="27"/>
      <c r="I1760" s="27"/>
      <c r="J1760" s="81"/>
    </row>
    <row r="1761">
      <c r="A1761" s="89"/>
      <c r="F1761" s="96"/>
      <c r="H1761" s="27"/>
      <c r="I1761" s="27"/>
      <c r="J1761" s="81"/>
    </row>
    <row r="1762">
      <c r="A1762" s="89"/>
      <c r="F1762" s="96"/>
      <c r="H1762" s="27"/>
      <c r="I1762" s="27"/>
      <c r="J1762" s="81"/>
    </row>
    <row r="1763">
      <c r="A1763" s="89"/>
      <c r="F1763" s="96"/>
      <c r="H1763" s="27"/>
      <c r="I1763" s="27"/>
      <c r="J1763" s="81"/>
    </row>
    <row r="1764">
      <c r="A1764" s="89"/>
      <c r="F1764" s="96"/>
      <c r="H1764" s="27"/>
      <c r="I1764" s="27"/>
      <c r="J1764" s="81"/>
    </row>
    <row r="1765">
      <c r="A1765" s="89"/>
      <c r="F1765" s="96"/>
      <c r="H1765" s="27"/>
      <c r="I1765" s="27"/>
      <c r="J1765" s="81"/>
    </row>
    <row r="1766">
      <c r="A1766" s="89"/>
      <c r="F1766" s="96"/>
      <c r="H1766" s="27"/>
      <c r="I1766" s="27"/>
      <c r="J1766" s="81"/>
    </row>
    <row r="1767">
      <c r="A1767" s="89"/>
      <c r="F1767" s="96"/>
      <c r="H1767" s="27"/>
      <c r="I1767" s="27"/>
      <c r="J1767" s="81"/>
    </row>
    <row r="1768">
      <c r="A1768" s="89"/>
      <c r="F1768" s="96"/>
      <c r="H1768" s="27"/>
      <c r="I1768" s="27"/>
      <c r="J1768" s="81"/>
    </row>
    <row r="1769">
      <c r="A1769" s="89"/>
      <c r="F1769" s="96"/>
      <c r="H1769" s="27"/>
      <c r="I1769" s="27"/>
      <c r="J1769" s="81"/>
    </row>
    <row r="1770">
      <c r="A1770" s="89"/>
      <c r="F1770" s="96"/>
      <c r="H1770" s="27"/>
      <c r="I1770" s="27"/>
      <c r="J1770" s="81"/>
    </row>
    <row r="1771">
      <c r="A1771" s="89"/>
      <c r="F1771" s="96"/>
      <c r="H1771" s="27"/>
      <c r="I1771" s="27"/>
      <c r="J1771" s="81"/>
    </row>
    <row r="1772">
      <c r="A1772" s="89"/>
      <c r="F1772" s="96"/>
      <c r="H1772" s="27"/>
      <c r="I1772" s="27"/>
      <c r="J1772" s="81"/>
    </row>
    <row r="1773">
      <c r="A1773" s="89"/>
      <c r="F1773" s="96"/>
      <c r="H1773" s="27"/>
      <c r="I1773" s="27"/>
      <c r="J1773" s="81"/>
    </row>
    <row r="1774">
      <c r="A1774" s="89"/>
      <c r="F1774" s="96"/>
      <c r="H1774" s="27"/>
      <c r="I1774" s="27"/>
      <c r="J1774" s="81"/>
    </row>
    <row r="1775">
      <c r="A1775" s="89"/>
      <c r="F1775" s="96"/>
      <c r="H1775" s="27"/>
      <c r="I1775" s="27"/>
      <c r="J1775" s="81"/>
    </row>
    <row r="1776">
      <c r="A1776" s="89"/>
      <c r="F1776" s="96"/>
      <c r="H1776" s="27"/>
      <c r="I1776" s="27"/>
      <c r="J1776" s="81"/>
    </row>
    <row r="1777">
      <c r="A1777" s="89"/>
      <c r="F1777" s="96"/>
      <c r="H1777" s="27"/>
      <c r="I1777" s="27"/>
      <c r="J1777" s="81"/>
    </row>
    <row r="1778">
      <c r="A1778" s="89"/>
      <c r="F1778" s="96"/>
      <c r="H1778" s="27"/>
      <c r="I1778" s="27"/>
      <c r="J1778" s="81"/>
    </row>
    <row r="1779">
      <c r="A1779" s="89"/>
      <c r="F1779" s="96"/>
      <c r="H1779" s="27"/>
      <c r="I1779" s="27"/>
      <c r="J1779" s="81"/>
    </row>
    <row r="1780">
      <c r="A1780" s="89"/>
      <c r="F1780" s="96"/>
      <c r="H1780" s="27"/>
      <c r="I1780" s="27"/>
      <c r="J1780" s="81"/>
    </row>
    <row r="1781">
      <c r="A1781" s="89"/>
      <c r="F1781" s="96"/>
      <c r="H1781" s="27"/>
      <c r="I1781" s="27"/>
      <c r="J1781" s="81"/>
    </row>
    <row r="1782">
      <c r="A1782" s="89"/>
      <c r="F1782" s="96"/>
      <c r="H1782" s="27"/>
      <c r="I1782" s="27"/>
      <c r="J1782" s="81"/>
    </row>
    <row r="1783">
      <c r="A1783" s="89"/>
      <c r="F1783" s="96"/>
      <c r="H1783" s="27"/>
      <c r="I1783" s="27"/>
      <c r="J1783" s="81"/>
    </row>
    <row r="1784">
      <c r="A1784" s="89"/>
      <c r="F1784" s="96"/>
      <c r="H1784" s="27"/>
      <c r="I1784" s="27"/>
      <c r="J1784" s="81"/>
    </row>
    <row r="1785">
      <c r="A1785" s="89"/>
      <c r="F1785" s="96"/>
      <c r="H1785" s="27"/>
      <c r="I1785" s="27"/>
      <c r="J1785" s="81"/>
    </row>
    <row r="1786">
      <c r="A1786" s="89"/>
      <c r="F1786" s="96"/>
      <c r="H1786" s="27"/>
      <c r="I1786" s="27"/>
      <c r="J1786" s="81"/>
    </row>
    <row r="1787">
      <c r="A1787" s="89"/>
      <c r="F1787" s="96"/>
      <c r="H1787" s="27"/>
      <c r="I1787" s="27"/>
      <c r="J1787" s="81"/>
    </row>
    <row r="1788">
      <c r="A1788" s="89"/>
      <c r="F1788" s="96"/>
      <c r="H1788" s="27"/>
      <c r="I1788" s="27"/>
      <c r="J1788" s="81"/>
    </row>
    <row r="1789">
      <c r="A1789" s="89"/>
      <c r="F1789" s="96"/>
      <c r="H1789" s="27"/>
      <c r="I1789" s="27"/>
      <c r="J1789" s="81"/>
    </row>
    <row r="1790">
      <c r="A1790" s="89"/>
      <c r="F1790" s="96"/>
      <c r="H1790" s="27"/>
      <c r="I1790" s="27"/>
      <c r="J1790" s="81"/>
    </row>
    <row r="1791">
      <c r="A1791" s="89"/>
      <c r="F1791" s="96"/>
      <c r="H1791" s="27"/>
      <c r="I1791" s="27"/>
      <c r="J1791" s="81"/>
    </row>
    <row r="1792">
      <c r="A1792" s="89"/>
      <c r="F1792" s="96"/>
      <c r="H1792" s="27"/>
      <c r="I1792" s="27"/>
      <c r="J1792" s="81"/>
    </row>
    <row r="1793">
      <c r="A1793" s="89"/>
      <c r="F1793" s="96"/>
      <c r="H1793" s="27"/>
      <c r="I1793" s="27"/>
      <c r="J1793" s="81"/>
    </row>
    <row r="1794">
      <c r="A1794" s="89"/>
      <c r="F1794" s="96"/>
      <c r="H1794" s="27"/>
      <c r="I1794" s="27"/>
      <c r="J1794" s="81"/>
    </row>
    <row r="1795">
      <c r="A1795" s="89"/>
      <c r="F1795" s="96"/>
      <c r="H1795" s="27"/>
      <c r="I1795" s="27"/>
      <c r="J1795" s="81"/>
    </row>
    <row r="1796">
      <c r="A1796" s="89"/>
      <c r="F1796" s="96"/>
      <c r="H1796" s="27"/>
      <c r="I1796" s="27"/>
      <c r="J1796" s="81"/>
    </row>
    <row r="1797">
      <c r="A1797" s="89"/>
      <c r="F1797" s="96"/>
      <c r="H1797" s="27"/>
      <c r="I1797" s="27"/>
      <c r="J1797" s="81"/>
    </row>
    <row r="1798">
      <c r="A1798" s="89"/>
      <c r="F1798" s="96"/>
      <c r="H1798" s="27"/>
      <c r="I1798" s="27"/>
      <c r="J1798" s="81"/>
    </row>
    <row r="1799">
      <c r="A1799" s="89"/>
      <c r="F1799" s="96"/>
      <c r="H1799" s="27"/>
      <c r="I1799" s="27"/>
      <c r="J1799" s="81"/>
    </row>
    <row r="1800">
      <c r="A1800" s="89"/>
      <c r="F1800" s="96"/>
      <c r="H1800" s="27"/>
      <c r="I1800" s="27"/>
      <c r="J1800" s="81"/>
    </row>
    <row r="1801">
      <c r="A1801" s="89"/>
      <c r="F1801" s="96"/>
      <c r="H1801" s="27"/>
      <c r="I1801" s="27"/>
      <c r="J1801" s="81"/>
    </row>
    <row r="1802">
      <c r="A1802" s="89"/>
      <c r="F1802" s="96"/>
      <c r="H1802" s="27"/>
      <c r="I1802" s="27"/>
      <c r="J1802" s="81"/>
    </row>
    <row r="1803">
      <c r="A1803" s="89"/>
      <c r="F1803" s="96"/>
      <c r="H1803" s="27"/>
      <c r="I1803" s="27"/>
      <c r="J1803" s="81"/>
    </row>
    <row r="1804">
      <c r="A1804" s="89"/>
      <c r="F1804" s="96"/>
      <c r="H1804" s="27"/>
      <c r="I1804" s="27"/>
      <c r="J1804" s="81"/>
    </row>
    <row r="1805">
      <c r="A1805" s="89"/>
      <c r="F1805" s="96"/>
      <c r="H1805" s="27"/>
      <c r="I1805" s="27"/>
      <c r="J1805" s="81"/>
    </row>
    <row r="1806">
      <c r="A1806" s="89"/>
      <c r="F1806" s="96"/>
      <c r="H1806" s="27"/>
      <c r="I1806" s="27"/>
      <c r="J1806" s="81"/>
    </row>
    <row r="1807">
      <c r="A1807" s="89"/>
      <c r="F1807" s="96"/>
      <c r="H1807" s="27"/>
      <c r="I1807" s="27"/>
      <c r="J1807" s="81"/>
    </row>
    <row r="1808">
      <c r="A1808" s="89"/>
      <c r="F1808" s="96"/>
      <c r="H1808" s="27"/>
      <c r="I1808" s="27"/>
      <c r="J1808" s="81"/>
    </row>
    <row r="1809">
      <c r="A1809" s="89"/>
      <c r="F1809" s="96"/>
      <c r="H1809" s="27"/>
      <c r="I1809" s="27"/>
      <c r="J1809" s="81"/>
    </row>
    <row r="1810">
      <c r="A1810" s="89"/>
      <c r="F1810" s="96"/>
      <c r="H1810" s="27"/>
      <c r="I1810" s="27"/>
      <c r="J1810" s="81"/>
    </row>
    <row r="1811">
      <c r="A1811" s="89"/>
      <c r="F1811" s="96"/>
      <c r="H1811" s="27"/>
      <c r="I1811" s="27"/>
      <c r="J1811" s="81"/>
    </row>
    <row r="1812">
      <c r="A1812" s="89"/>
      <c r="F1812" s="96"/>
      <c r="H1812" s="27"/>
      <c r="I1812" s="27"/>
      <c r="J1812" s="81"/>
    </row>
    <row r="1813">
      <c r="A1813" s="89"/>
      <c r="F1813" s="96"/>
      <c r="H1813" s="27"/>
      <c r="I1813" s="27"/>
      <c r="J1813" s="81"/>
    </row>
    <row r="1814">
      <c r="A1814" s="89"/>
      <c r="F1814" s="96"/>
      <c r="H1814" s="27"/>
      <c r="I1814" s="27"/>
      <c r="J1814" s="81"/>
    </row>
    <row r="1815">
      <c r="A1815" s="89"/>
      <c r="F1815" s="96"/>
      <c r="H1815" s="27"/>
      <c r="I1815" s="27"/>
      <c r="J1815" s="81"/>
    </row>
    <row r="1816">
      <c r="A1816" s="89"/>
      <c r="F1816" s="96"/>
      <c r="H1816" s="27"/>
      <c r="I1816" s="27"/>
      <c r="J1816" s="81"/>
    </row>
    <row r="1817">
      <c r="A1817" s="89"/>
      <c r="F1817" s="96"/>
      <c r="H1817" s="27"/>
      <c r="I1817" s="27"/>
      <c r="J1817" s="81"/>
    </row>
    <row r="1818">
      <c r="A1818" s="89"/>
      <c r="F1818" s="96"/>
      <c r="H1818" s="27"/>
      <c r="I1818" s="27"/>
      <c r="J1818" s="81"/>
    </row>
    <row r="1819">
      <c r="A1819" s="89"/>
      <c r="F1819" s="96"/>
      <c r="H1819" s="27"/>
      <c r="I1819" s="27"/>
      <c r="J1819" s="81"/>
    </row>
    <row r="1820">
      <c r="A1820" s="89"/>
      <c r="F1820" s="96"/>
      <c r="H1820" s="27"/>
      <c r="I1820" s="27"/>
      <c r="J1820" s="81"/>
    </row>
    <row r="1821">
      <c r="A1821" s="89"/>
      <c r="F1821" s="96"/>
      <c r="H1821" s="27"/>
      <c r="I1821" s="27"/>
      <c r="J1821" s="81"/>
    </row>
    <row r="1822">
      <c r="A1822" s="89"/>
      <c r="F1822" s="96"/>
      <c r="H1822" s="27"/>
      <c r="I1822" s="27"/>
      <c r="J1822" s="81"/>
    </row>
    <row r="1823">
      <c r="A1823" s="89"/>
      <c r="F1823" s="96"/>
      <c r="H1823" s="27"/>
      <c r="I1823" s="27"/>
      <c r="J1823" s="81"/>
    </row>
    <row r="1824">
      <c r="A1824" s="89"/>
      <c r="F1824" s="96"/>
      <c r="H1824" s="27"/>
      <c r="I1824" s="27"/>
      <c r="J1824" s="81"/>
    </row>
    <row r="1825">
      <c r="A1825" s="89"/>
      <c r="F1825" s="96"/>
      <c r="H1825" s="27"/>
      <c r="I1825" s="27"/>
      <c r="J1825" s="81"/>
    </row>
    <row r="1826">
      <c r="A1826" s="89"/>
      <c r="F1826" s="96"/>
      <c r="H1826" s="27"/>
      <c r="I1826" s="27"/>
      <c r="J1826" s="81"/>
    </row>
    <row r="1827">
      <c r="A1827" s="89"/>
      <c r="F1827" s="96"/>
      <c r="H1827" s="27"/>
      <c r="I1827" s="27"/>
      <c r="J1827" s="81"/>
    </row>
    <row r="1828">
      <c r="A1828" s="89"/>
      <c r="F1828" s="96"/>
      <c r="H1828" s="27"/>
      <c r="I1828" s="27"/>
      <c r="J1828" s="81"/>
    </row>
    <row r="1829">
      <c r="A1829" s="89"/>
      <c r="F1829" s="96"/>
      <c r="H1829" s="27"/>
      <c r="I1829" s="27"/>
      <c r="J1829" s="81"/>
    </row>
    <row r="1830">
      <c r="A1830" s="89"/>
      <c r="F1830" s="96"/>
      <c r="H1830" s="27"/>
      <c r="I1830" s="27"/>
      <c r="J1830" s="81"/>
    </row>
    <row r="1831">
      <c r="A1831" s="89"/>
      <c r="F1831" s="96"/>
      <c r="H1831" s="27"/>
      <c r="I1831" s="27"/>
      <c r="J1831" s="81"/>
    </row>
    <row r="1832">
      <c r="A1832" s="89"/>
      <c r="F1832" s="96"/>
      <c r="H1832" s="27"/>
      <c r="I1832" s="27"/>
      <c r="J1832" s="81"/>
    </row>
    <row r="1833">
      <c r="A1833" s="89"/>
      <c r="F1833" s="96"/>
      <c r="H1833" s="27"/>
      <c r="I1833" s="27"/>
      <c r="J1833" s="81"/>
    </row>
    <row r="1834">
      <c r="A1834" s="89"/>
      <c r="F1834" s="96"/>
      <c r="H1834" s="27"/>
      <c r="I1834" s="27"/>
      <c r="J1834" s="81"/>
    </row>
    <row r="1835">
      <c r="A1835" s="89"/>
      <c r="F1835" s="96"/>
      <c r="H1835" s="27"/>
      <c r="I1835" s="27"/>
      <c r="J1835" s="81"/>
    </row>
    <row r="1836">
      <c r="A1836" s="89"/>
      <c r="F1836" s="96"/>
      <c r="H1836" s="27"/>
      <c r="I1836" s="27"/>
      <c r="J1836" s="81"/>
    </row>
    <row r="1837">
      <c r="A1837" s="89"/>
      <c r="F1837" s="96"/>
      <c r="H1837" s="27"/>
      <c r="I1837" s="27"/>
      <c r="J1837" s="81"/>
    </row>
    <row r="1838">
      <c r="A1838" s="89"/>
      <c r="F1838" s="96"/>
      <c r="H1838" s="27"/>
      <c r="I1838" s="27"/>
      <c r="J1838" s="81"/>
    </row>
    <row r="1839">
      <c r="A1839" s="89"/>
      <c r="F1839" s="96"/>
      <c r="H1839" s="27"/>
      <c r="I1839" s="27"/>
      <c r="J1839" s="81"/>
    </row>
    <row r="1840">
      <c r="A1840" s="89"/>
      <c r="F1840" s="96"/>
      <c r="H1840" s="27"/>
      <c r="I1840" s="27"/>
      <c r="J1840" s="81"/>
    </row>
    <row r="1841">
      <c r="A1841" s="89"/>
      <c r="F1841" s="96"/>
      <c r="H1841" s="27"/>
      <c r="I1841" s="27"/>
      <c r="J1841" s="81"/>
    </row>
    <row r="1842">
      <c r="A1842" s="89"/>
      <c r="F1842" s="96"/>
      <c r="H1842" s="27"/>
      <c r="I1842" s="27"/>
      <c r="J1842" s="81"/>
    </row>
    <row r="1843">
      <c r="A1843" s="89"/>
      <c r="F1843" s="96"/>
      <c r="H1843" s="27"/>
      <c r="I1843" s="27"/>
      <c r="J1843" s="81"/>
    </row>
    <row r="1844">
      <c r="A1844" s="89"/>
      <c r="F1844" s="96"/>
      <c r="H1844" s="27"/>
      <c r="I1844" s="27"/>
      <c r="J1844" s="81"/>
    </row>
    <row r="1845">
      <c r="A1845" s="89"/>
      <c r="F1845" s="96"/>
      <c r="H1845" s="27"/>
      <c r="I1845" s="27"/>
      <c r="J1845" s="81"/>
    </row>
    <row r="1846">
      <c r="A1846" s="89"/>
      <c r="F1846" s="96"/>
      <c r="H1846" s="27"/>
      <c r="I1846" s="27"/>
      <c r="J1846" s="81"/>
    </row>
    <row r="1847">
      <c r="A1847" s="89"/>
      <c r="F1847" s="96"/>
      <c r="H1847" s="27"/>
      <c r="I1847" s="27"/>
      <c r="J1847" s="81"/>
    </row>
    <row r="1848">
      <c r="A1848" s="89"/>
      <c r="F1848" s="96"/>
      <c r="H1848" s="27"/>
      <c r="I1848" s="27"/>
      <c r="J1848" s="81"/>
    </row>
    <row r="1849">
      <c r="A1849" s="89"/>
      <c r="F1849" s="96"/>
      <c r="H1849" s="27"/>
      <c r="I1849" s="27"/>
      <c r="J1849" s="81"/>
    </row>
    <row r="1850">
      <c r="A1850" s="89"/>
      <c r="F1850" s="96"/>
      <c r="H1850" s="27"/>
      <c r="I1850" s="27"/>
      <c r="J1850" s="81"/>
    </row>
    <row r="1851">
      <c r="A1851" s="89"/>
      <c r="F1851" s="96"/>
      <c r="H1851" s="27"/>
      <c r="I1851" s="27"/>
      <c r="J1851" s="81"/>
    </row>
    <row r="1852">
      <c r="A1852" s="89"/>
      <c r="F1852" s="96"/>
      <c r="H1852" s="27"/>
      <c r="I1852" s="27"/>
      <c r="J1852" s="81"/>
    </row>
    <row r="1853">
      <c r="A1853" s="89"/>
      <c r="F1853" s="96"/>
      <c r="H1853" s="27"/>
      <c r="I1853" s="27"/>
      <c r="J1853" s="81"/>
    </row>
    <row r="1854">
      <c r="A1854" s="89"/>
      <c r="F1854" s="96"/>
      <c r="H1854" s="27"/>
      <c r="I1854" s="27"/>
      <c r="J1854" s="81"/>
    </row>
    <row r="1855">
      <c r="A1855" s="89"/>
      <c r="F1855" s="96"/>
      <c r="H1855" s="27"/>
      <c r="I1855" s="27"/>
      <c r="J1855" s="81"/>
    </row>
    <row r="1856">
      <c r="A1856" s="89"/>
      <c r="F1856" s="96"/>
      <c r="H1856" s="27"/>
      <c r="I1856" s="27"/>
      <c r="J1856" s="81"/>
    </row>
    <row r="1857">
      <c r="A1857" s="89"/>
      <c r="F1857" s="96"/>
      <c r="H1857" s="27"/>
      <c r="I1857" s="27"/>
      <c r="J1857" s="81"/>
    </row>
    <row r="1858">
      <c r="A1858" s="89"/>
      <c r="F1858" s="96"/>
      <c r="H1858" s="27"/>
      <c r="I1858" s="27"/>
      <c r="J1858" s="81"/>
    </row>
    <row r="1859">
      <c r="A1859" s="89"/>
      <c r="F1859" s="96"/>
      <c r="H1859" s="27"/>
      <c r="I1859" s="27"/>
      <c r="J1859" s="81"/>
    </row>
    <row r="1860">
      <c r="A1860" s="89"/>
      <c r="F1860" s="96"/>
      <c r="H1860" s="27"/>
      <c r="I1860" s="27"/>
      <c r="J1860" s="81"/>
    </row>
    <row r="1861">
      <c r="A1861" s="89"/>
      <c r="F1861" s="96"/>
      <c r="H1861" s="27"/>
      <c r="I1861" s="27"/>
      <c r="J1861" s="81"/>
    </row>
    <row r="1862">
      <c r="A1862" s="89"/>
      <c r="F1862" s="96"/>
      <c r="H1862" s="27"/>
      <c r="I1862" s="27"/>
      <c r="J1862" s="81"/>
    </row>
    <row r="1863">
      <c r="A1863" s="89"/>
      <c r="F1863" s="96"/>
      <c r="H1863" s="27"/>
      <c r="I1863" s="27"/>
      <c r="J1863" s="81"/>
    </row>
    <row r="1864">
      <c r="A1864" s="89"/>
      <c r="F1864" s="96"/>
      <c r="H1864" s="27"/>
      <c r="I1864" s="27"/>
      <c r="J1864" s="81"/>
    </row>
    <row r="1865">
      <c r="A1865" s="89"/>
      <c r="F1865" s="96"/>
      <c r="H1865" s="27"/>
      <c r="I1865" s="27"/>
      <c r="J1865" s="81"/>
    </row>
    <row r="1866">
      <c r="A1866" s="89"/>
      <c r="F1866" s="96"/>
      <c r="H1866" s="27"/>
      <c r="I1866" s="27"/>
      <c r="J1866" s="81"/>
    </row>
    <row r="1867">
      <c r="A1867" s="89"/>
      <c r="F1867" s="96"/>
      <c r="H1867" s="27"/>
      <c r="I1867" s="27"/>
      <c r="J1867" s="81"/>
    </row>
    <row r="1868">
      <c r="A1868" s="89"/>
      <c r="F1868" s="96"/>
      <c r="H1868" s="27"/>
      <c r="I1868" s="27"/>
      <c r="J1868" s="81"/>
    </row>
    <row r="1869">
      <c r="A1869" s="89"/>
      <c r="F1869" s="96"/>
      <c r="H1869" s="27"/>
      <c r="I1869" s="27"/>
      <c r="J1869" s="81"/>
    </row>
    <row r="1870">
      <c r="A1870" s="89"/>
      <c r="F1870" s="96"/>
      <c r="H1870" s="27"/>
      <c r="I1870" s="27"/>
      <c r="J1870" s="81"/>
    </row>
    <row r="1871">
      <c r="A1871" s="89"/>
      <c r="F1871" s="96"/>
      <c r="H1871" s="27"/>
      <c r="I1871" s="27"/>
      <c r="J1871" s="81"/>
    </row>
    <row r="1872">
      <c r="A1872" s="89"/>
      <c r="F1872" s="96"/>
      <c r="H1872" s="27"/>
      <c r="I1872" s="27"/>
      <c r="J1872" s="81"/>
    </row>
    <row r="1873">
      <c r="A1873" s="89"/>
      <c r="F1873" s="96"/>
      <c r="H1873" s="27"/>
      <c r="I1873" s="27"/>
      <c r="J1873" s="81"/>
    </row>
    <row r="1874">
      <c r="A1874" s="89"/>
      <c r="F1874" s="96"/>
      <c r="H1874" s="27"/>
      <c r="I1874" s="27"/>
      <c r="J1874" s="81"/>
    </row>
    <row r="1875">
      <c r="A1875" s="89"/>
      <c r="F1875" s="96"/>
      <c r="H1875" s="27"/>
      <c r="I1875" s="27"/>
      <c r="J1875" s="81"/>
    </row>
    <row r="1876">
      <c r="A1876" s="89"/>
      <c r="F1876" s="96"/>
      <c r="H1876" s="27"/>
      <c r="I1876" s="27"/>
      <c r="J1876" s="81"/>
    </row>
    <row r="1877">
      <c r="A1877" s="89"/>
      <c r="F1877" s="96"/>
      <c r="H1877" s="27"/>
      <c r="I1877" s="27"/>
      <c r="J1877" s="81"/>
    </row>
    <row r="1878">
      <c r="A1878" s="89"/>
      <c r="F1878" s="96"/>
      <c r="H1878" s="27"/>
      <c r="I1878" s="27"/>
      <c r="J1878" s="81"/>
    </row>
    <row r="1879">
      <c r="A1879" s="89"/>
      <c r="F1879" s="96"/>
      <c r="H1879" s="27"/>
      <c r="I1879" s="27"/>
      <c r="J1879" s="81"/>
    </row>
    <row r="1880">
      <c r="A1880" s="89"/>
      <c r="F1880" s="96"/>
      <c r="H1880" s="27"/>
      <c r="I1880" s="27"/>
      <c r="J1880" s="81"/>
    </row>
    <row r="1881">
      <c r="A1881" s="89"/>
      <c r="F1881" s="96"/>
      <c r="H1881" s="27"/>
      <c r="I1881" s="27"/>
      <c r="J1881" s="81"/>
    </row>
    <row r="1882">
      <c r="A1882" s="89"/>
      <c r="F1882" s="96"/>
      <c r="H1882" s="27"/>
      <c r="I1882" s="27"/>
      <c r="J1882" s="81"/>
    </row>
    <row r="1883">
      <c r="A1883" s="89"/>
      <c r="F1883" s="96"/>
      <c r="H1883" s="27"/>
      <c r="I1883" s="27"/>
      <c r="J1883" s="81"/>
    </row>
    <row r="1884">
      <c r="A1884" s="89"/>
      <c r="F1884" s="96"/>
      <c r="H1884" s="27"/>
      <c r="I1884" s="27"/>
      <c r="J1884" s="81"/>
    </row>
    <row r="1885">
      <c r="A1885" s="89"/>
      <c r="F1885" s="96"/>
      <c r="H1885" s="27"/>
      <c r="I1885" s="27"/>
      <c r="J1885" s="81"/>
    </row>
    <row r="1886">
      <c r="A1886" s="89"/>
      <c r="F1886" s="96"/>
      <c r="H1886" s="27"/>
      <c r="I1886" s="27"/>
      <c r="J1886" s="81"/>
    </row>
    <row r="1887">
      <c r="A1887" s="89"/>
      <c r="F1887" s="96"/>
      <c r="H1887" s="27"/>
      <c r="I1887" s="27"/>
      <c r="J1887" s="81"/>
    </row>
    <row r="1888">
      <c r="A1888" s="89"/>
      <c r="F1888" s="96"/>
      <c r="H1888" s="27"/>
      <c r="I1888" s="27"/>
      <c r="J1888" s="81"/>
    </row>
    <row r="1889">
      <c r="A1889" s="89"/>
      <c r="F1889" s="96"/>
      <c r="H1889" s="27"/>
      <c r="I1889" s="27"/>
      <c r="J1889" s="81"/>
    </row>
    <row r="1890">
      <c r="A1890" s="89"/>
      <c r="F1890" s="96"/>
      <c r="H1890" s="27"/>
      <c r="I1890" s="27"/>
      <c r="J1890" s="81"/>
    </row>
    <row r="1891">
      <c r="A1891" s="89"/>
      <c r="F1891" s="96"/>
      <c r="H1891" s="27"/>
      <c r="I1891" s="27"/>
      <c r="J1891" s="81"/>
    </row>
    <row r="1892">
      <c r="A1892" s="89"/>
      <c r="F1892" s="96"/>
      <c r="H1892" s="27"/>
      <c r="I1892" s="27"/>
      <c r="J1892" s="81"/>
    </row>
    <row r="1893">
      <c r="A1893" s="89"/>
      <c r="F1893" s="96"/>
      <c r="H1893" s="27"/>
      <c r="I1893" s="27"/>
      <c r="J1893" s="81"/>
    </row>
    <row r="1894" ht="16.5" customHeight="1">
      <c r="A1894" s="89"/>
      <c r="F1894" s="96"/>
      <c r="H1894" s="27"/>
      <c r="I1894" s="27"/>
      <c r="J1894" s="81"/>
    </row>
    <row r="1895">
      <c r="A1895" s="89"/>
      <c r="F1895" s="96"/>
      <c r="H1895" s="27"/>
      <c r="I1895" s="27"/>
      <c r="J1895" s="81"/>
    </row>
    <row r="1896">
      <c r="A1896" s="89"/>
      <c r="F1896" s="96"/>
      <c r="H1896" s="27"/>
      <c r="I1896" s="27"/>
      <c r="J1896" s="81"/>
    </row>
    <row r="1897">
      <c r="A1897" s="89"/>
      <c r="F1897" s="96"/>
      <c r="H1897" s="27"/>
      <c r="I1897" s="27"/>
      <c r="J1897" s="81"/>
    </row>
    <row r="1898">
      <c r="A1898" s="89"/>
      <c r="F1898" s="96"/>
      <c r="H1898" s="27"/>
      <c r="I1898" s="27"/>
      <c r="J1898" s="81"/>
    </row>
    <row r="1899">
      <c r="A1899" s="89"/>
      <c r="F1899" s="96"/>
      <c r="H1899" s="27"/>
      <c r="I1899" s="27"/>
      <c r="J1899" s="81"/>
    </row>
    <row r="1900">
      <c r="A1900" s="89"/>
      <c r="F1900" s="96"/>
      <c r="H1900" s="27"/>
      <c r="I1900" s="27"/>
      <c r="J1900" s="81"/>
    </row>
    <row r="1901">
      <c r="A1901" s="89"/>
      <c r="F1901" s="96"/>
      <c r="H1901" s="27"/>
      <c r="I1901" s="27"/>
      <c r="J1901" s="81"/>
    </row>
    <row r="1902">
      <c r="A1902" s="89"/>
      <c r="F1902" s="96"/>
      <c r="H1902" s="27"/>
      <c r="I1902" s="27"/>
      <c r="J1902" s="81"/>
    </row>
    <row r="1903">
      <c r="A1903" s="89"/>
      <c r="F1903" s="96"/>
      <c r="H1903" s="27"/>
      <c r="I1903" s="27"/>
      <c r="J1903" s="81"/>
    </row>
    <row r="1904">
      <c r="A1904" s="89"/>
      <c r="F1904" s="96"/>
      <c r="H1904" s="27"/>
      <c r="I1904" s="27"/>
      <c r="J1904" s="81"/>
    </row>
    <row r="1905">
      <c r="A1905" s="89"/>
      <c r="F1905" s="96"/>
      <c r="H1905" s="27"/>
      <c r="I1905" s="27"/>
      <c r="J1905" s="81"/>
    </row>
    <row r="1906">
      <c r="A1906" s="89"/>
      <c r="F1906" s="96"/>
      <c r="H1906" s="27"/>
      <c r="I1906" s="27"/>
      <c r="J1906" s="81"/>
    </row>
    <row r="1907">
      <c r="A1907" s="89"/>
      <c r="F1907" s="96"/>
      <c r="H1907" s="27"/>
      <c r="I1907" s="27"/>
      <c r="J1907" s="81"/>
    </row>
    <row r="1908">
      <c r="A1908" s="89"/>
      <c r="F1908" s="96"/>
      <c r="H1908" s="27"/>
      <c r="I1908" s="27"/>
      <c r="J1908" s="81"/>
    </row>
    <row r="1909">
      <c r="A1909" s="89"/>
      <c r="F1909" s="96"/>
      <c r="H1909" s="27"/>
      <c r="I1909" s="27"/>
      <c r="J1909" s="81"/>
    </row>
    <row r="1910">
      <c r="A1910" s="89"/>
      <c r="F1910" s="96"/>
      <c r="H1910" s="27"/>
      <c r="I1910" s="27"/>
      <c r="J1910" s="81"/>
    </row>
    <row r="1911">
      <c r="A1911" s="89"/>
      <c r="F1911" s="96"/>
      <c r="H1911" s="27"/>
      <c r="I1911" s="27"/>
      <c r="J1911" s="81"/>
    </row>
    <row r="1912">
      <c r="A1912" s="89"/>
      <c r="F1912" s="96"/>
      <c r="H1912" s="27"/>
      <c r="I1912" s="27"/>
      <c r="J1912" s="81"/>
    </row>
    <row r="1913">
      <c r="A1913" s="89"/>
      <c r="F1913" s="96"/>
      <c r="H1913" s="27"/>
      <c r="I1913" s="27"/>
      <c r="J1913" s="81"/>
    </row>
    <row r="1914">
      <c r="A1914" s="89"/>
      <c r="F1914" s="96"/>
      <c r="H1914" s="27"/>
      <c r="I1914" s="27"/>
      <c r="J1914" s="81"/>
    </row>
    <row r="1915">
      <c r="A1915" s="89"/>
      <c r="F1915" s="96"/>
      <c r="H1915" s="27"/>
      <c r="I1915" s="27"/>
      <c r="J1915" s="81"/>
    </row>
    <row r="1916">
      <c r="A1916" s="89"/>
      <c r="F1916" s="96"/>
      <c r="H1916" s="27"/>
      <c r="I1916" s="27"/>
      <c r="J1916" s="81"/>
    </row>
    <row r="1917">
      <c r="A1917" s="89"/>
      <c r="F1917" s="96"/>
      <c r="H1917" s="27"/>
      <c r="I1917" s="27"/>
      <c r="J1917" s="81"/>
    </row>
    <row r="1918">
      <c r="A1918" s="89"/>
      <c r="F1918" s="96"/>
      <c r="H1918" s="27"/>
      <c r="I1918" s="27"/>
      <c r="J1918" s="81"/>
    </row>
    <row r="1919">
      <c r="A1919" s="89"/>
      <c r="F1919" s="96"/>
      <c r="H1919" s="27"/>
      <c r="I1919" s="27"/>
      <c r="J1919" s="81"/>
    </row>
    <row r="1920">
      <c r="A1920" s="89"/>
      <c r="F1920" s="96"/>
      <c r="H1920" s="27"/>
      <c r="I1920" s="27"/>
      <c r="J1920" s="81"/>
    </row>
    <row r="1921">
      <c r="A1921" s="89"/>
      <c r="F1921" s="96"/>
      <c r="H1921" s="27"/>
      <c r="I1921" s="27"/>
      <c r="J1921" s="81"/>
    </row>
    <row r="1922">
      <c r="A1922" s="89"/>
      <c r="F1922" s="96"/>
      <c r="H1922" s="27"/>
      <c r="I1922" s="27"/>
      <c r="J1922" s="81"/>
    </row>
    <row r="1923">
      <c r="A1923" s="89"/>
      <c r="F1923" s="96"/>
      <c r="H1923" s="27"/>
      <c r="I1923" s="27"/>
      <c r="J1923" s="81"/>
    </row>
    <row r="1924">
      <c r="A1924" s="89"/>
      <c r="F1924" s="96"/>
      <c r="H1924" s="27"/>
      <c r="I1924" s="27"/>
      <c r="J1924" s="81"/>
    </row>
    <row r="1925">
      <c r="A1925" s="89"/>
      <c r="F1925" s="96"/>
      <c r="H1925" s="27"/>
      <c r="I1925" s="27"/>
      <c r="J1925" s="81"/>
    </row>
    <row r="1926">
      <c r="A1926" s="89"/>
      <c r="F1926" s="96"/>
      <c r="H1926" s="27"/>
      <c r="I1926" s="27"/>
      <c r="J1926" s="81"/>
    </row>
    <row r="1927">
      <c r="A1927" s="89"/>
      <c r="F1927" s="96"/>
      <c r="H1927" s="27"/>
      <c r="I1927" s="27"/>
      <c r="J1927" s="81"/>
    </row>
    <row r="1928">
      <c r="A1928" s="89"/>
      <c r="F1928" s="96"/>
      <c r="H1928" s="27"/>
      <c r="I1928" s="27"/>
      <c r="J1928" s="81"/>
    </row>
    <row r="1929">
      <c r="A1929" s="89"/>
      <c r="F1929" s="96"/>
      <c r="H1929" s="27"/>
      <c r="I1929" s="27"/>
      <c r="J1929" s="81"/>
    </row>
    <row r="1930">
      <c r="A1930" s="89"/>
      <c r="F1930" s="96"/>
      <c r="H1930" s="27"/>
      <c r="I1930" s="27"/>
      <c r="J1930" s="81"/>
    </row>
    <row r="1931">
      <c r="A1931" s="89"/>
      <c r="F1931" s="96"/>
      <c r="H1931" s="27"/>
      <c r="I1931" s="27"/>
      <c r="J1931" s="81"/>
    </row>
    <row r="1932">
      <c r="A1932" s="89"/>
      <c r="F1932" s="96"/>
      <c r="H1932" s="27"/>
      <c r="I1932" s="27"/>
      <c r="J1932" s="81"/>
    </row>
    <row r="1933">
      <c r="A1933" s="89"/>
      <c r="F1933" s="96"/>
      <c r="H1933" s="27"/>
      <c r="I1933" s="27"/>
      <c r="J1933" s="81"/>
    </row>
    <row r="1934">
      <c r="A1934" s="89"/>
      <c r="F1934" s="96"/>
      <c r="H1934" s="27"/>
      <c r="I1934" s="27"/>
      <c r="J1934" s="81"/>
    </row>
    <row r="1935">
      <c r="A1935" s="89"/>
      <c r="F1935" s="96"/>
      <c r="H1935" s="27"/>
      <c r="I1935" s="27"/>
      <c r="J1935" s="81"/>
    </row>
    <row r="1936">
      <c r="A1936" s="89"/>
      <c r="F1936" s="96"/>
      <c r="H1936" s="27"/>
      <c r="I1936" s="27"/>
      <c r="J1936" s="81"/>
    </row>
    <row r="1937">
      <c r="A1937" s="89"/>
      <c r="F1937" s="96"/>
      <c r="H1937" s="27"/>
      <c r="I1937" s="27"/>
      <c r="J1937" s="81"/>
    </row>
    <row r="1938">
      <c r="A1938" s="89"/>
      <c r="F1938" s="96"/>
      <c r="H1938" s="27"/>
      <c r="I1938" s="27"/>
      <c r="J1938" s="81"/>
    </row>
    <row r="1939">
      <c r="A1939" s="89"/>
      <c r="F1939" s="96"/>
      <c r="H1939" s="27"/>
      <c r="I1939" s="27"/>
      <c r="J1939" s="81"/>
    </row>
    <row r="1940">
      <c r="A1940" s="89"/>
      <c r="F1940" s="96"/>
      <c r="H1940" s="27"/>
      <c r="I1940" s="27"/>
      <c r="J1940" s="81"/>
    </row>
    <row r="1941">
      <c r="A1941" s="89"/>
      <c r="F1941" s="96"/>
      <c r="H1941" s="27"/>
      <c r="I1941" s="27"/>
      <c r="J1941" s="81"/>
    </row>
    <row r="1942">
      <c r="A1942" s="89"/>
      <c r="F1942" s="96"/>
      <c r="H1942" s="27"/>
      <c r="I1942" s="27"/>
      <c r="J1942" s="81"/>
    </row>
    <row r="1943">
      <c r="A1943" s="89"/>
      <c r="F1943" s="96"/>
      <c r="H1943" s="27"/>
      <c r="I1943" s="27"/>
      <c r="J1943" s="81"/>
    </row>
    <row r="1944">
      <c r="A1944" s="89"/>
      <c r="F1944" s="96"/>
      <c r="H1944" s="27"/>
      <c r="I1944" s="27"/>
      <c r="J1944" s="81"/>
    </row>
    <row r="1945">
      <c r="A1945" s="89"/>
      <c r="F1945" s="96"/>
      <c r="H1945" s="27"/>
      <c r="I1945" s="27"/>
      <c r="J1945" s="81"/>
    </row>
    <row r="1946">
      <c r="A1946" s="89"/>
      <c r="F1946" s="96"/>
      <c r="H1946" s="27"/>
      <c r="I1946" s="27"/>
      <c r="J1946" s="81"/>
    </row>
    <row r="1947">
      <c r="A1947" s="89"/>
      <c r="F1947" s="96"/>
      <c r="H1947" s="27"/>
      <c r="I1947" s="27"/>
      <c r="J1947" s="81"/>
    </row>
    <row r="1948">
      <c r="A1948" s="89"/>
      <c r="F1948" s="96"/>
      <c r="H1948" s="27"/>
      <c r="I1948" s="27"/>
      <c r="J1948" s="81"/>
    </row>
    <row r="1949">
      <c r="A1949" s="89"/>
      <c r="F1949" s="96"/>
      <c r="H1949" s="27"/>
      <c r="I1949" s="27"/>
      <c r="J1949" s="81"/>
    </row>
    <row r="1950">
      <c r="A1950" s="89"/>
      <c r="F1950" s="96"/>
      <c r="H1950" s="27"/>
      <c r="I1950" s="27"/>
      <c r="J1950" s="81"/>
    </row>
    <row r="1951">
      <c r="A1951" s="89"/>
      <c r="F1951" s="96"/>
      <c r="H1951" s="27"/>
      <c r="I1951" s="27"/>
      <c r="J1951" s="81"/>
    </row>
    <row r="1952">
      <c r="A1952" s="89"/>
      <c r="F1952" s="96"/>
      <c r="H1952" s="27"/>
      <c r="I1952" s="27"/>
      <c r="J1952" s="81"/>
    </row>
    <row r="1953">
      <c r="A1953" s="89"/>
      <c r="F1953" s="96"/>
      <c r="H1953" s="27"/>
      <c r="I1953" s="27"/>
      <c r="J1953" s="81"/>
    </row>
    <row r="1954">
      <c r="A1954" s="89"/>
      <c r="F1954" s="96"/>
      <c r="H1954" s="27"/>
      <c r="I1954" s="27"/>
      <c r="J1954" s="81"/>
    </row>
    <row r="1955">
      <c r="A1955" s="89"/>
      <c r="F1955" s="96"/>
      <c r="H1955" s="27"/>
      <c r="I1955" s="27"/>
      <c r="J1955" s="81"/>
    </row>
    <row r="1956">
      <c r="A1956" s="89"/>
      <c r="F1956" s="96"/>
      <c r="H1956" s="27"/>
      <c r="I1956" s="27"/>
      <c r="J1956" s="81"/>
    </row>
    <row r="1957">
      <c r="A1957" s="89"/>
      <c r="F1957" s="96"/>
      <c r="H1957" s="27"/>
      <c r="I1957" s="27"/>
      <c r="J1957" s="81"/>
    </row>
    <row r="1958">
      <c r="A1958" s="89"/>
      <c r="F1958" s="96"/>
      <c r="H1958" s="27"/>
      <c r="I1958" s="27"/>
      <c r="J1958" s="81"/>
    </row>
    <row r="1959">
      <c r="A1959" s="89"/>
      <c r="F1959" s="96"/>
      <c r="H1959" s="27"/>
      <c r="I1959" s="27"/>
      <c r="J1959" s="81"/>
    </row>
    <row r="1960">
      <c r="A1960" s="89"/>
      <c r="F1960" s="96"/>
      <c r="H1960" s="27"/>
      <c r="I1960" s="27"/>
      <c r="J1960" s="81"/>
    </row>
    <row r="1961">
      <c r="A1961" s="89"/>
      <c r="F1961" s="96"/>
      <c r="H1961" s="27"/>
      <c r="I1961" s="27"/>
      <c r="J1961" s="81"/>
    </row>
    <row r="1962">
      <c r="A1962" s="89"/>
      <c r="F1962" s="96"/>
      <c r="H1962" s="27"/>
      <c r="I1962" s="27"/>
      <c r="J1962" s="81"/>
    </row>
    <row r="1963">
      <c r="A1963" s="89"/>
      <c r="F1963" s="96"/>
      <c r="H1963" s="27"/>
      <c r="I1963" s="27"/>
      <c r="J1963" s="81"/>
    </row>
    <row r="1964">
      <c r="A1964" s="89"/>
      <c r="F1964" s="96"/>
      <c r="H1964" s="27"/>
      <c r="I1964" s="27"/>
      <c r="J1964" s="81"/>
    </row>
    <row r="1965">
      <c r="A1965" s="89"/>
      <c r="F1965" s="96"/>
      <c r="H1965" s="27"/>
      <c r="I1965" s="27"/>
      <c r="J1965" s="81"/>
    </row>
    <row r="1966">
      <c r="A1966" s="89"/>
      <c r="F1966" s="96"/>
      <c r="H1966" s="27"/>
      <c r="I1966" s="27"/>
      <c r="J1966" s="81"/>
    </row>
    <row r="1967">
      <c r="A1967" s="89"/>
      <c r="F1967" s="96"/>
      <c r="H1967" s="27"/>
      <c r="I1967" s="27"/>
      <c r="J1967" s="81"/>
    </row>
    <row r="1968">
      <c r="A1968" s="89"/>
      <c r="F1968" s="96"/>
      <c r="H1968" s="27"/>
      <c r="I1968" s="27"/>
      <c r="J1968" s="81"/>
    </row>
    <row r="1969">
      <c r="A1969" s="89"/>
      <c r="F1969" s="96"/>
      <c r="H1969" s="27"/>
      <c r="I1969" s="27"/>
      <c r="J1969" s="81"/>
    </row>
    <row r="1970">
      <c r="A1970" s="89"/>
      <c r="F1970" s="96"/>
      <c r="H1970" s="27"/>
      <c r="I1970" s="27"/>
      <c r="J1970" s="81"/>
    </row>
    <row r="1971">
      <c r="A1971" s="89"/>
      <c r="F1971" s="96"/>
      <c r="H1971" s="27"/>
      <c r="I1971" s="27"/>
      <c r="J1971" s="81"/>
    </row>
    <row r="1972">
      <c r="A1972" s="89"/>
      <c r="F1972" s="96"/>
      <c r="H1972" s="27"/>
      <c r="I1972" s="27"/>
      <c r="J1972" s="81"/>
    </row>
    <row r="1973">
      <c r="A1973" s="89"/>
      <c r="F1973" s="96"/>
      <c r="H1973" s="27"/>
      <c r="I1973" s="27"/>
      <c r="J1973" s="81"/>
    </row>
    <row r="1974">
      <c r="A1974" s="89"/>
      <c r="F1974" s="96"/>
      <c r="H1974" s="27"/>
      <c r="I1974" s="27"/>
      <c r="J1974" s="81"/>
    </row>
    <row r="1975">
      <c r="A1975" s="89"/>
      <c r="F1975" s="96"/>
      <c r="H1975" s="27"/>
      <c r="I1975" s="27"/>
      <c r="J1975" s="81"/>
    </row>
    <row r="1976">
      <c r="A1976" s="89"/>
      <c r="F1976" s="96"/>
      <c r="H1976" s="27"/>
      <c r="I1976" s="27"/>
      <c r="J1976" s="81"/>
    </row>
    <row r="1977">
      <c r="A1977" s="89"/>
      <c r="F1977" s="96"/>
      <c r="H1977" s="27"/>
      <c r="I1977" s="27"/>
      <c r="J1977" s="81"/>
    </row>
    <row r="1978">
      <c r="A1978" s="89"/>
      <c r="F1978" s="96"/>
      <c r="H1978" s="27"/>
      <c r="I1978" s="27"/>
      <c r="J1978" s="81"/>
    </row>
    <row r="1979">
      <c r="A1979" s="89"/>
      <c r="F1979" s="96"/>
      <c r="H1979" s="27"/>
      <c r="I1979" s="27"/>
      <c r="J1979" s="81"/>
    </row>
    <row r="1980">
      <c r="A1980" s="89"/>
      <c r="F1980" s="96"/>
      <c r="H1980" s="27"/>
      <c r="I1980" s="27"/>
      <c r="J1980" s="81"/>
    </row>
    <row r="1981">
      <c r="A1981" s="89"/>
      <c r="F1981" s="96"/>
      <c r="H1981" s="27"/>
      <c r="I1981" s="27"/>
      <c r="J1981" s="81"/>
    </row>
    <row r="1982">
      <c r="A1982" s="89"/>
      <c r="F1982" s="96"/>
      <c r="H1982" s="27"/>
      <c r="I1982" s="27"/>
      <c r="J1982" s="81"/>
    </row>
    <row r="1983">
      <c r="A1983" s="89"/>
      <c r="F1983" s="96"/>
      <c r="H1983" s="27"/>
      <c r="I1983" s="27"/>
      <c r="J1983" s="81"/>
    </row>
    <row r="1984">
      <c r="A1984" s="89"/>
      <c r="F1984" s="96"/>
      <c r="H1984" s="27"/>
      <c r="I1984" s="27"/>
      <c r="J1984" s="81"/>
    </row>
    <row r="1985">
      <c r="A1985" s="89"/>
      <c r="F1985" s="96"/>
      <c r="H1985" s="27"/>
      <c r="I1985" s="27"/>
      <c r="J1985" s="81"/>
    </row>
    <row r="1986">
      <c r="A1986" s="89"/>
      <c r="F1986" s="96"/>
      <c r="H1986" s="27"/>
      <c r="I1986" s="27"/>
      <c r="J1986" s="81"/>
    </row>
    <row r="1987">
      <c r="A1987" s="89"/>
      <c r="F1987" s="96"/>
      <c r="H1987" s="27"/>
      <c r="I1987" s="27"/>
      <c r="J1987" s="81"/>
    </row>
    <row r="1988">
      <c r="A1988" s="89"/>
      <c r="F1988" s="96"/>
      <c r="H1988" s="27"/>
      <c r="I1988" s="27"/>
      <c r="J1988" s="81"/>
    </row>
    <row r="1989">
      <c r="A1989" s="89"/>
      <c r="F1989" s="96"/>
      <c r="H1989" s="27"/>
      <c r="I1989" s="27"/>
      <c r="J1989" s="81"/>
    </row>
    <row r="1990">
      <c r="A1990" s="89"/>
      <c r="F1990" s="96"/>
      <c r="H1990" s="27"/>
      <c r="I1990" s="27"/>
      <c r="J1990" s="81"/>
    </row>
    <row r="1991">
      <c r="A1991" s="89"/>
      <c r="F1991" s="96"/>
      <c r="H1991" s="27"/>
      <c r="I1991" s="27"/>
      <c r="J1991" s="81"/>
    </row>
    <row r="1992">
      <c r="A1992" s="89"/>
      <c r="F1992" s="96"/>
      <c r="H1992" s="27"/>
      <c r="I1992" s="27"/>
      <c r="J1992" s="81"/>
    </row>
    <row r="1993">
      <c r="A1993" s="89"/>
      <c r="F1993" s="96"/>
      <c r="H1993" s="27"/>
      <c r="I1993" s="27"/>
      <c r="J1993" s="81"/>
    </row>
    <row r="1994">
      <c r="A1994" s="89"/>
      <c r="F1994" s="96"/>
      <c r="H1994" s="27"/>
      <c r="I1994" s="27"/>
      <c r="J1994" s="81"/>
    </row>
    <row r="1995">
      <c r="A1995" s="89"/>
      <c r="F1995" s="96"/>
      <c r="H1995" s="27"/>
      <c r="I1995" s="27"/>
      <c r="J1995" s="81"/>
    </row>
    <row r="1996">
      <c r="A1996" s="89"/>
      <c r="F1996" s="96"/>
      <c r="H1996" s="27"/>
      <c r="I1996" s="27"/>
      <c r="J1996" s="81"/>
    </row>
    <row r="1997">
      <c r="A1997" s="89"/>
      <c r="F1997" s="96"/>
      <c r="H1997" s="27"/>
      <c r="I1997" s="27"/>
      <c r="J1997" s="81"/>
    </row>
    <row r="1998">
      <c r="A1998" s="89"/>
      <c r="F1998" s="96"/>
      <c r="H1998" s="27"/>
      <c r="I1998" s="27"/>
      <c r="J1998" s="81"/>
    </row>
    <row r="1999">
      <c r="A1999" s="89"/>
      <c r="F1999" s="96"/>
      <c r="H1999" s="27"/>
      <c r="I1999" s="27"/>
      <c r="J1999" s="81"/>
    </row>
    <row r="2000">
      <c r="A2000" s="89"/>
      <c r="F2000" s="96"/>
      <c r="H2000" s="27"/>
      <c r="I2000" s="27"/>
      <c r="J2000" s="81"/>
    </row>
    <row r="2001">
      <c r="A2001" s="89"/>
      <c r="F2001" s="96"/>
      <c r="H2001" s="27"/>
      <c r="I2001" s="27"/>
      <c r="J2001" s="81"/>
    </row>
    <row r="2002">
      <c r="A2002" s="89"/>
      <c r="F2002" s="96"/>
      <c r="H2002" s="27"/>
      <c r="I2002" s="27"/>
      <c r="J2002" s="81"/>
    </row>
    <row r="2003">
      <c r="A2003" s="89"/>
      <c r="F2003" s="96"/>
      <c r="H2003" s="27"/>
      <c r="I2003" s="27"/>
      <c r="J2003" s="81"/>
    </row>
    <row r="2004">
      <c r="A2004" s="89"/>
      <c r="F2004" s="96"/>
      <c r="H2004" s="27"/>
      <c r="I2004" s="27"/>
      <c r="J2004" s="81"/>
    </row>
    <row r="2005">
      <c r="A2005" s="89"/>
      <c r="F2005" s="96"/>
      <c r="H2005" s="27"/>
      <c r="I2005" s="27"/>
      <c r="J2005" s="81"/>
    </row>
    <row r="2006">
      <c r="A2006" s="89"/>
      <c r="F2006" s="96"/>
      <c r="H2006" s="27"/>
      <c r="I2006" s="27"/>
      <c r="J2006" s="81"/>
    </row>
    <row r="2007">
      <c r="A2007" s="89"/>
      <c r="F2007" s="96"/>
      <c r="H2007" s="27"/>
      <c r="I2007" s="27"/>
      <c r="J2007" s="81"/>
    </row>
    <row r="2008">
      <c r="A2008" s="89"/>
      <c r="F2008" s="96"/>
      <c r="H2008" s="27"/>
      <c r="I2008" s="27"/>
      <c r="J2008" s="81"/>
    </row>
    <row r="2009">
      <c r="A2009" s="89"/>
      <c r="F2009" s="96"/>
      <c r="H2009" s="27"/>
      <c r="I2009" s="27"/>
      <c r="J2009" s="81"/>
    </row>
    <row r="2010">
      <c r="A2010" s="89"/>
      <c r="F2010" s="96"/>
      <c r="H2010" s="27"/>
      <c r="I2010" s="27"/>
      <c r="J2010" s="81"/>
    </row>
    <row r="2011">
      <c r="A2011" s="89"/>
      <c r="F2011" s="96"/>
      <c r="H2011" s="27"/>
      <c r="I2011" s="27"/>
      <c r="J2011" s="81"/>
    </row>
    <row r="2012">
      <c r="A2012" s="89"/>
      <c r="F2012" s="96"/>
      <c r="H2012" s="27"/>
      <c r="I2012" s="27"/>
      <c r="J2012" s="81"/>
    </row>
    <row r="2013">
      <c r="A2013" s="89"/>
      <c r="F2013" s="96"/>
      <c r="H2013" s="27"/>
      <c r="I2013" s="27"/>
      <c r="J2013" s="81"/>
    </row>
    <row r="2014">
      <c r="A2014" s="89"/>
      <c r="F2014" s="96"/>
      <c r="H2014" s="27"/>
      <c r="I2014" s="27"/>
      <c r="J2014" s="81"/>
    </row>
    <row r="2015">
      <c r="A2015" s="89"/>
      <c r="F2015" s="96"/>
      <c r="H2015" s="27"/>
      <c r="I2015" s="27"/>
      <c r="J2015" s="81"/>
    </row>
    <row r="2016">
      <c r="A2016" s="89"/>
      <c r="F2016" s="96"/>
      <c r="H2016" s="27"/>
      <c r="I2016" s="27"/>
      <c r="J2016" s="81"/>
    </row>
    <row r="2017">
      <c r="A2017" s="89"/>
      <c r="F2017" s="96"/>
      <c r="H2017" s="27"/>
      <c r="I2017" s="27"/>
      <c r="J2017" s="81"/>
    </row>
    <row r="2018">
      <c r="A2018" s="89"/>
      <c r="F2018" s="96"/>
      <c r="H2018" s="27"/>
      <c r="I2018" s="27"/>
      <c r="J2018" s="81"/>
    </row>
    <row r="2019">
      <c r="A2019" s="89"/>
      <c r="F2019" s="96"/>
      <c r="H2019" s="27"/>
      <c r="I2019" s="27"/>
      <c r="J2019" s="81"/>
    </row>
    <row r="2020">
      <c r="A2020" s="89"/>
      <c r="F2020" s="96"/>
      <c r="H2020" s="27"/>
      <c r="I2020" s="27"/>
      <c r="J2020" s="81"/>
    </row>
    <row r="2021">
      <c r="A2021" s="89"/>
      <c r="F2021" s="96"/>
      <c r="H2021" s="27"/>
      <c r="I2021" s="27"/>
      <c r="J2021" s="81"/>
    </row>
    <row r="2022">
      <c r="A2022" s="89"/>
      <c r="F2022" s="96"/>
      <c r="H2022" s="27"/>
      <c r="I2022" s="27"/>
      <c r="J2022" s="81"/>
    </row>
    <row r="2023">
      <c r="A2023" s="89"/>
      <c r="F2023" s="96"/>
      <c r="H2023" s="27"/>
      <c r="I2023" s="27"/>
      <c r="J2023" s="81"/>
    </row>
    <row r="2024">
      <c r="A2024" s="89"/>
      <c r="F2024" s="96"/>
      <c r="H2024" s="27"/>
      <c r="I2024" s="27"/>
      <c r="J2024" s="81"/>
    </row>
    <row r="2025">
      <c r="A2025" s="89"/>
      <c r="F2025" s="96"/>
      <c r="H2025" s="27"/>
      <c r="I2025" s="27"/>
      <c r="J2025" s="81"/>
    </row>
    <row r="2026">
      <c r="A2026" s="89"/>
      <c r="F2026" s="96"/>
      <c r="H2026" s="27"/>
      <c r="I2026" s="27"/>
      <c r="J2026" s="81"/>
    </row>
    <row r="2027">
      <c r="A2027" s="89"/>
      <c r="F2027" s="96"/>
      <c r="H2027" s="27"/>
      <c r="I2027" s="27"/>
      <c r="J2027" s="81"/>
    </row>
    <row r="2028">
      <c r="A2028" s="89"/>
      <c r="F2028" s="96"/>
      <c r="H2028" s="27"/>
      <c r="I2028" s="27"/>
      <c r="J2028" s="81"/>
    </row>
    <row r="2029">
      <c r="A2029" s="89"/>
      <c r="F2029" s="96"/>
      <c r="H2029" s="27"/>
      <c r="I2029" s="27"/>
      <c r="J2029" s="81"/>
    </row>
    <row r="2030">
      <c r="A2030" s="89"/>
      <c r="F2030" s="96"/>
      <c r="H2030" s="27"/>
      <c r="I2030" s="27"/>
      <c r="J2030" s="81"/>
    </row>
    <row r="2031">
      <c r="A2031" s="89"/>
      <c r="F2031" s="96"/>
      <c r="H2031" s="27"/>
      <c r="I2031" s="27"/>
      <c r="J2031" s="81"/>
    </row>
    <row r="2032">
      <c r="A2032" s="89"/>
      <c r="F2032" s="96"/>
      <c r="H2032" s="27"/>
      <c r="I2032" s="27"/>
      <c r="J2032" s="81"/>
    </row>
    <row r="2033">
      <c r="A2033" s="89"/>
      <c r="F2033" s="96"/>
      <c r="H2033" s="27"/>
      <c r="I2033" s="27"/>
      <c r="J2033" s="81"/>
    </row>
    <row r="2034">
      <c r="A2034" s="89"/>
      <c r="F2034" s="96"/>
      <c r="H2034" s="27"/>
      <c r="I2034" s="27"/>
      <c r="J2034" s="81"/>
    </row>
    <row r="2035">
      <c r="A2035" s="89"/>
      <c r="F2035" s="96"/>
      <c r="H2035" s="27"/>
      <c r="I2035" s="27"/>
      <c r="J2035" s="81"/>
    </row>
    <row r="2036">
      <c r="A2036" s="89"/>
      <c r="F2036" s="96"/>
      <c r="H2036" s="27"/>
      <c r="I2036" s="27"/>
      <c r="J2036" s="81"/>
    </row>
    <row r="2037">
      <c r="A2037" s="89"/>
      <c r="F2037" s="96"/>
      <c r="H2037" s="27"/>
      <c r="I2037" s="27"/>
      <c r="J2037" s="81"/>
    </row>
    <row r="2038">
      <c r="A2038" s="89"/>
      <c r="F2038" s="96"/>
      <c r="H2038" s="27"/>
      <c r="I2038" s="27"/>
      <c r="J2038" s="81"/>
    </row>
    <row r="2039">
      <c r="A2039" s="89"/>
      <c r="F2039" s="96"/>
      <c r="H2039" s="27"/>
      <c r="I2039" s="27"/>
      <c r="J2039" s="81"/>
    </row>
    <row r="2040">
      <c r="A2040" s="89"/>
      <c r="F2040" s="96"/>
      <c r="H2040" s="27"/>
      <c r="I2040" s="27"/>
      <c r="J2040" s="81"/>
    </row>
    <row r="2041">
      <c r="A2041" s="89"/>
      <c r="F2041" s="96"/>
      <c r="H2041" s="27"/>
      <c r="I2041" s="27"/>
      <c r="J2041" s="81"/>
    </row>
    <row r="2042">
      <c r="A2042" s="89"/>
      <c r="F2042" s="96"/>
      <c r="H2042" s="27"/>
      <c r="I2042" s="27"/>
      <c r="J2042" s="81"/>
    </row>
    <row r="2043">
      <c r="A2043" s="89"/>
      <c r="F2043" s="96"/>
      <c r="H2043" s="27"/>
      <c r="I2043" s="27"/>
      <c r="J2043" s="81"/>
    </row>
    <row r="2044">
      <c r="A2044" s="89"/>
      <c r="F2044" s="96"/>
      <c r="H2044" s="27"/>
      <c r="I2044" s="27"/>
      <c r="J2044" s="81"/>
    </row>
    <row r="2045">
      <c r="A2045" s="89"/>
      <c r="F2045" s="96"/>
      <c r="H2045" s="27"/>
      <c r="I2045" s="27"/>
      <c r="J2045" s="81"/>
    </row>
    <row r="2046">
      <c r="A2046" s="89"/>
      <c r="F2046" s="96"/>
      <c r="H2046" s="27"/>
      <c r="I2046" s="27"/>
      <c r="J2046" s="81"/>
    </row>
    <row r="2047">
      <c r="A2047" s="89"/>
      <c r="F2047" s="96"/>
      <c r="H2047" s="27"/>
      <c r="I2047" s="27"/>
      <c r="J2047" s="81"/>
    </row>
    <row r="2048">
      <c r="A2048" s="89"/>
      <c r="F2048" s="96"/>
      <c r="H2048" s="27"/>
      <c r="I2048" s="27"/>
      <c r="J2048" s="81"/>
    </row>
    <row r="2049">
      <c r="A2049" s="89"/>
      <c r="F2049" s="96"/>
      <c r="H2049" s="27"/>
      <c r="I2049" s="27"/>
      <c r="J2049" s="81"/>
    </row>
    <row r="2050">
      <c r="A2050" s="89"/>
      <c r="F2050" s="96"/>
      <c r="H2050" s="27"/>
      <c r="I2050" s="27"/>
      <c r="J2050" s="81"/>
    </row>
    <row r="2051">
      <c r="A2051" s="89"/>
      <c r="F2051" s="96"/>
      <c r="H2051" s="27"/>
      <c r="I2051" s="27"/>
      <c r="J2051" s="81"/>
    </row>
    <row r="2052">
      <c r="A2052" s="89"/>
      <c r="F2052" s="96"/>
      <c r="H2052" s="27"/>
      <c r="I2052" s="27"/>
      <c r="J2052" s="81"/>
    </row>
    <row r="2053">
      <c r="A2053" s="89"/>
      <c r="F2053" s="96"/>
      <c r="H2053" s="27"/>
      <c r="I2053" s="27"/>
      <c r="J2053" s="81"/>
    </row>
    <row r="2054">
      <c r="A2054" s="89"/>
      <c r="F2054" s="96"/>
      <c r="H2054" s="27"/>
      <c r="I2054" s="27"/>
      <c r="J2054" s="81"/>
    </row>
    <row r="2055">
      <c r="A2055" s="89"/>
      <c r="F2055" s="96"/>
      <c r="H2055" s="27"/>
      <c r="I2055" s="27"/>
      <c r="J2055" s="81"/>
    </row>
    <row r="2056">
      <c r="A2056" s="89"/>
      <c r="F2056" s="96"/>
      <c r="H2056" s="27"/>
      <c r="I2056" s="27"/>
      <c r="J2056" s="81"/>
    </row>
    <row r="2057">
      <c r="A2057" s="89"/>
      <c r="F2057" s="96"/>
      <c r="H2057" s="27"/>
      <c r="I2057" s="27"/>
      <c r="J2057" s="81"/>
    </row>
    <row r="2058">
      <c r="A2058" s="89"/>
      <c r="F2058" s="96"/>
      <c r="H2058" s="27"/>
      <c r="I2058" s="27"/>
      <c r="J2058" s="81"/>
    </row>
    <row r="2059">
      <c r="A2059" s="89"/>
      <c r="F2059" s="96"/>
      <c r="H2059" s="27"/>
      <c r="I2059" s="27"/>
      <c r="J2059" s="81"/>
    </row>
    <row r="2060">
      <c r="A2060" s="89"/>
      <c r="F2060" s="96"/>
      <c r="H2060" s="27"/>
      <c r="I2060" s="27"/>
      <c r="J2060" s="81"/>
    </row>
    <row r="2061">
      <c r="A2061" s="89"/>
      <c r="F2061" s="96"/>
      <c r="H2061" s="27"/>
      <c r="I2061" s="27"/>
      <c r="J2061" s="81"/>
    </row>
    <row r="2062">
      <c r="A2062" s="89"/>
      <c r="F2062" s="96"/>
      <c r="H2062" s="27"/>
      <c r="I2062" s="27"/>
      <c r="J2062" s="81"/>
    </row>
    <row r="2063">
      <c r="A2063" s="89"/>
      <c r="F2063" s="96"/>
      <c r="H2063" s="27"/>
      <c r="I2063" s="27"/>
      <c r="J2063" s="81"/>
    </row>
    <row r="2064">
      <c r="A2064" s="89"/>
      <c r="F2064" s="96"/>
      <c r="H2064" s="27"/>
      <c r="I2064" s="27"/>
      <c r="J2064" s="81"/>
    </row>
    <row r="2065">
      <c r="A2065" s="89"/>
      <c r="F2065" s="96"/>
      <c r="H2065" s="27"/>
      <c r="I2065" s="27"/>
      <c r="J2065" s="81"/>
    </row>
    <row r="2066">
      <c r="A2066" s="89"/>
      <c r="F2066" s="96"/>
      <c r="H2066" s="27"/>
      <c r="I2066" s="27"/>
      <c r="J2066" s="81"/>
    </row>
    <row r="2067">
      <c r="A2067" s="89"/>
      <c r="F2067" s="96"/>
      <c r="H2067" s="27"/>
      <c r="I2067" s="27"/>
      <c r="J2067" s="81"/>
    </row>
    <row r="2068">
      <c r="A2068" s="89"/>
      <c r="F2068" s="96"/>
      <c r="H2068" s="27"/>
      <c r="I2068" s="27"/>
      <c r="J2068" s="81"/>
    </row>
    <row r="2069">
      <c r="A2069" s="89"/>
      <c r="F2069" s="96"/>
      <c r="H2069" s="27"/>
      <c r="I2069" s="27"/>
      <c r="J2069" s="81"/>
    </row>
    <row r="2070">
      <c r="A2070" s="89"/>
      <c r="F2070" s="96"/>
      <c r="H2070" s="27"/>
      <c r="I2070" s="27"/>
      <c r="J2070" s="81"/>
    </row>
    <row r="2071">
      <c r="A2071" s="89"/>
      <c r="F2071" s="96"/>
      <c r="H2071" s="27"/>
      <c r="I2071" s="27"/>
      <c r="J2071" s="81"/>
    </row>
    <row r="2072">
      <c r="A2072" s="89"/>
      <c r="F2072" s="96"/>
      <c r="H2072" s="27"/>
      <c r="I2072" s="27"/>
      <c r="J2072" s="81"/>
    </row>
    <row r="2073">
      <c r="A2073" s="89"/>
      <c r="F2073" s="96"/>
      <c r="H2073" s="27"/>
      <c r="I2073" s="27"/>
      <c r="J2073" s="81"/>
    </row>
    <row r="2074">
      <c r="A2074" s="89"/>
      <c r="F2074" s="96"/>
      <c r="H2074" s="27"/>
      <c r="I2074" s="27"/>
      <c r="J2074" s="81"/>
    </row>
    <row r="2075">
      <c r="A2075" s="89"/>
      <c r="F2075" s="96"/>
      <c r="H2075" s="27"/>
      <c r="I2075" s="27"/>
      <c r="J2075" s="81"/>
    </row>
    <row r="2076">
      <c r="A2076" s="89"/>
      <c r="F2076" s="96"/>
      <c r="H2076" s="27"/>
      <c r="I2076" s="27"/>
      <c r="J2076" s="81"/>
    </row>
    <row r="2077">
      <c r="A2077" s="89"/>
      <c r="F2077" s="96"/>
      <c r="H2077" s="27"/>
      <c r="I2077" s="27"/>
      <c r="J2077" s="81"/>
    </row>
    <row r="2078">
      <c r="A2078" s="89"/>
      <c r="F2078" s="96"/>
      <c r="H2078" s="27"/>
      <c r="I2078" s="27"/>
      <c r="J2078" s="81"/>
    </row>
    <row r="2079">
      <c r="A2079" s="89"/>
      <c r="F2079" s="96"/>
      <c r="H2079" s="27"/>
      <c r="I2079" s="27"/>
      <c r="J2079" s="81"/>
    </row>
    <row r="2080">
      <c r="A2080" s="89"/>
      <c r="F2080" s="96"/>
      <c r="H2080" s="27"/>
      <c r="I2080" s="27"/>
      <c r="J2080" s="81"/>
    </row>
    <row r="2081">
      <c r="A2081" s="89"/>
      <c r="F2081" s="96"/>
      <c r="H2081" s="27"/>
      <c r="I2081" s="27"/>
      <c r="J2081" s="81"/>
    </row>
    <row r="2082">
      <c r="A2082" s="89"/>
      <c r="F2082" s="96"/>
      <c r="H2082" s="27"/>
      <c r="I2082" s="27"/>
      <c r="J2082" s="81"/>
    </row>
    <row r="2083">
      <c r="A2083" s="89"/>
      <c r="F2083" s="96"/>
      <c r="H2083" s="27"/>
      <c r="I2083" s="27"/>
      <c r="J2083" s="81"/>
    </row>
    <row r="2084">
      <c r="A2084" s="89"/>
      <c r="F2084" s="96"/>
      <c r="H2084" s="27"/>
      <c r="I2084" s="27"/>
      <c r="J2084" s="81"/>
    </row>
    <row r="2085">
      <c r="A2085" s="89"/>
      <c r="F2085" s="96"/>
      <c r="H2085" s="27"/>
      <c r="I2085" s="27"/>
      <c r="J2085" s="81"/>
    </row>
    <row r="2086">
      <c r="A2086" s="89"/>
      <c r="F2086" s="96"/>
      <c r="H2086" s="27"/>
      <c r="I2086" s="27"/>
      <c r="J2086" s="81"/>
    </row>
    <row r="2087">
      <c r="A2087" s="89"/>
      <c r="F2087" s="96"/>
      <c r="H2087" s="27"/>
      <c r="I2087" s="27"/>
      <c r="J2087" s="81"/>
    </row>
    <row r="2088">
      <c r="A2088" s="89"/>
      <c r="F2088" s="96"/>
      <c r="H2088" s="27"/>
      <c r="I2088" s="27"/>
      <c r="J2088" s="81"/>
    </row>
    <row r="2089">
      <c r="A2089" s="89"/>
      <c r="F2089" s="96"/>
      <c r="H2089" s="27"/>
      <c r="I2089" s="27"/>
      <c r="J2089" s="81"/>
    </row>
    <row r="2090">
      <c r="A2090" s="89"/>
      <c r="F2090" s="96"/>
      <c r="H2090" s="27"/>
      <c r="I2090" s="27"/>
      <c r="J2090" s="81"/>
    </row>
    <row r="2091">
      <c r="A2091" s="89"/>
      <c r="F2091" s="96"/>
      <c r="H2091" s="27"/>
      <c r="I2091" s="27"/>
      <c r="J2091" s="81"/>
    </row>
    <row r="2092">
      <c r="A2092" s="89"/>
      <c r="F2092" s="96"/>
      <c r="H2092" s="27"/>
      <c r="I2092" s="27"/>
      <c r="J2092" s="81"/>
    </row>
    <row r="2093">
      <c r="A2093" s="89"/>
      <c r="F2093" s="96"/>
      <c r="H2093" s="27"/>
      <c r="I2093" s="27"/>
      <c r="J2093" s="81"/>
    </row>
    <row r="2094">
      <c r="A2094" s="89"/>
      <c r="F2094" s="96"/>
      <c r="H2094" s="27"/>
      <c r="I2094" s="27"/>
      <c r="J2094" s="81"/>
    </row>
    <row r="2095">
      <c r="A2095" s="89"/>
      <c r="F2095" s="96"/>
      <c r="H2095" s="27"/>
      <c r="I2095" s="27"/>
      <c r="J2095" s="81"/>
    </row>
    <row r="2096">
      <c r="A2096" s="89"/>
      <c r="F2096" s="96"/>
      <c r="H2096" s="27"/>
      <c r="I2096" s="27"/>
      <c r="J2096" s="81"/>
    </row>
    <row r="2097">
      <c r="A2097" s="89"/>
      <c r="F2097" s="96"/>
      <c r="H2097" s="27"/>
      <c r="I2097" s="27"/>
      <c r="J2097" s="81"/>
    </row>
    <row r="2098">
      <c r="A2098" s="89"/>
      <c r="F2098" s="96"/>
      <c r="H2098" s="27"/>
      <c r="I2098" s="27"/>
      <c r="J2098" s="81"/>
    </row>
    <row r="2099">
      <c r="A2099" s="89"/>
      <c r="F2099" s="96"/>
      <c r="H2099" s="27"/>
      <c r="I2099" s="27"/>
      <c r="J2099" s="81"/>
    </row>
    <row r="2100">
      <c r="A2100" s="89"/>
      <c r="F2100" s="96"/>
      <c r="H2100" s="27"/>
      <c r="I2100" s="27"/>
      <c r="J2100" s="81"/>
    </row>
    <row r="2101">
      <c r="A2101" s="89"/>
      <c r="F2101" s="96"/>
      <c r="H2101" s="27"/>
      <c r="I2101" s="27"/>
      <c r="J2101" s="81"/>
    </row>
    <row r="2102">
      <c r="A2102" s="89"/>
      <c r="F2102" s="96"/>
      <c r="H2102" s="27"/>
      <c r="I2102" s="27"/>
      <c r="J2102" s="81"/>
    </row>
    <row r="2103">
      <c r="A2103" s="89"/>
      <c r="F2103" s="96"/>
      <c r="H2103" s="27"/>
      <c r="I2103" s="27"/>
      <c r="J2103" s="81"/>
    </row>
    <row r="2104">
      <c r="A2104" s="89"/>
      <c r="F2104" s="96"/>
      <c r="H2104" s="27"/>
      <c r="I2104" s="27"/>
      <c r="J2104" s="81"/>
    </row>
    <row r="2105">
      <c r="A2105" s="89"/>
      <c r="F2105" s="96"/>
      <c r="H2105" s="27"/>
      <c r="I2105" s="27"/>
      <c r="J2105" s="81"/>
    </row>
    <row r="2106">
      <c r="A2106" s="89"/>
      <c r="F2106" s="96"/>
      <c r="H2106" s="27"/>
      <c r="I2106" s="27"/>
      <c r="J2106" s="81"/>
    </row>
    <row r="2107">
      <c r="A2107" s="89"/>
      <c r="F2107" s="96"/>
      <c r="H2107" s="27"/>
      <c r="I2107" s="27"/>
      <c r="J2107" s="81"/>
    </row>
    <row r="2108">
      <c r="A2108" s="89"/>
      <c r="F2108" s="96"/>
      <c r="H2108" s="27"/>
      <c r="I2108" s="27"/>
      <c r="J2108" s="81"/>
    </row>
    <row r="2109">
      <c r="A2109" s="89"/>
      <c r="F2109" s="96"/>
      <c r="H2109" s="27"/>
      <c r="I2109" s="27"/>
      <c r="J2109" s="81"/>
    </row>
    <row r="2110">
      <c r="A2110" s="89"/>
      <c r="F2110" s="96"/>
      <c r="H2110" s="27"/>
      <c r="I2110" s="27"/>
      <c r="J2110" s="81"/>
    </row>
    <row r="2111">
      <c r="A2111" s="89"/>
      <c r="F2111" s="96"/>
      <c r="H2111" s="27"/>
      <c r="I2111" s="27"/>
      <c r="J2111" s="81"/>
    </row>
    <row r="2112">
      <c r="A2112" s="89"/>
      <c r="F2112" s="96"/>
      <c r="H2112" s="27"/>
      <c r="I2112" s="27"/>
      <c r="J2112" s="81"/>
    </row>
    <row r="2113">
      <c r="A2113" s="89"/>
      <c r="F2113" s="96"/>
      <c r="H2113" s="27"/>
      <c r="I2113" s="27"/>
      <c r="J2113" s="81"/>
    </row>
    <row r="2114">
      <c r="A2114" s="89"/>
      <c r="F2114" s="96"/>
      <c r="H2114" s="27"/>
      <c r="I2114" s="27"/>
      <c r="J2114" s="81"/>
    </row>
    <row r="2115">
      <c r="A2115" s="89"/>
      <c r="F2115" s="96"/>
      <c r="H2115" s="27"/>
      <c r="I2115" s="27"/>
      <c r="J2115" s="81"/>
    </row>
    <row r="2116">
      <c r="A2116" s="89"/>
      <c r="F2116" s="96"/>
      <c r="H2116" s="27"/>
      <c r="I2116" s="27"/>
      <c r="J2116" s="81"/>
    </row>
    <row r="2117">
      <c r="A2117" s="89"/>
      <c r="F2117" s="96"/>
      <c r="H2117" s="27"/>
      <c r="I2117" s="27"/>
      <c r="J2117" s="81"/>
    </row>
    <row r="2118">
      <c r="A2118" s="89"/>
      <c r="F2118" s="96"/>
      <c r="H2118" s="27"/>
      <c r="I2118" s="27"/>
      <c r="J2118" s="81"/>
    </row>
    <row r="2119">
      <c r="A2119" s="89"/>
      <c r="F2119" s="96"/>
      <c r="H2119" s="27"/>
      <c r="I2119" s="27"/>
      <c r="J2119" s="81"/>
    </row>
    <row r="2120">
      <c r="A2120" s="89"/>
      <c r="F2120" s="96"/>
      <c r="H2120" s="27"/>
      <c r="I2120" s="27"/>
      <c r="J2120" s="81"/>
    </row>
    <row r="2121">
      <c r="A2121" s="89"/>
      <c r="F2121" s="96"/>
      <c r="H2121" s="27"/>
      <c r="I2121" s="27"/>
      <c r="J2121" s="81"/>
    </row>
    <row r="2122">
      <c r="A2122" s="89"/>
      <c r="F2122" s="96"/>
      <c r="H2122" s="27"/>
      <c r="I2122" s="27"/>
      <c r="J2122" s="81"/>
    </row>
    <row r="2123">
      <c r="A2123" s="89"/>
      <c r="F2123" s="96"/>
      <c r="H2123" s="27"/>
      <c r="I2123" s="27"/>
      <c r="J2123" s="81"/>
    </row>
    <row r="2124">
      <c r="A2124" s="89"/>
      <c r="F2124" s="96"/>
      <c r="H2124" s="27"/>
      <c r="I2124" s="27"/>
      <c r="J2124" s="81"/>
    </row>
    <row r="2125">
      <c r="A2125" s="89"/>
      <c r="F2125" s="96"/>
      <c r="H2125" s="27"/>
      <c r="I2125" s="27"/>
      <c r="J2125" s="81"/>
    </row>
    <row r="2126">
      <c r="A2126" s="89"/>
      <c r="F2126" s="96"/>
      <c r="H2126" s="27"/>
      <c r="I2126" s="27"/>
      <c r="J2126" s="81"/>
    </row>
    <row r="2127">
      <c r="A2127" s="89"/>
      <c r="F2127" s="96"/>
      <c r="H2127" s="27"/>
      <c r="I2127" s="27"/>
      <c r="J2127" s="81"/>
    </row>
    <row r="2128">
      <c r="A2128" s="89"/>
      <c r="F2128" s="96"/>
      <c r="H2128" s="27"/>
      <c r="I2128" s="27"/>
      <c r="J2128" s="81"/>
    </row>
    <row r="2129">
      <c r="A2129" s="89"/>
      <c r="F2129" s="96"/>
      <c r="H2129" s="27"/>
      <c r="I2129" s="27"/>
      <c r="J2129" s="81"/>
    </row>
    <row r="2130">
      <c r="A2130" s="89"/>
      <c r="F2130" s="96"/>
      <c r="H2130" s="27"/>
      <c r="I2130" s="27"/>
      <c r="J2130" s="81"/>
    </row>
    <row r="2131">
      <c r="A2131" s="89"/>
      <c r="F2131" s="96"/>
      <c r="H2131" s="27"/>
      <c r="I2131" s="27"/>
      <c r="J2131" s="81"/>
    </row>
    <row r="2132">
      <c r="A2132" s="89"/>
      <c r="F2132" s="96"/>
      <c r="H2132" s="27"/>
      <c r="I2132" s="27"/>
      <c r="J2132" s="81"/>
    </row>
    <row r="2133">
      <c r="A2133" s="89"/>
      <c r="F2133" s="96"/>
      <c r="H2133" s="27"/>
      <c r="I2133" s="27"/>
      <c r="J2133" s="81"/>
    </row>
    <row r="2134">
      <c r="A2134" s="89"/>
      <c r="F2134" s="96"/>
      <c r="H2134" s="27"/>
      <c r="I2134" s="27"/>
      <c r="J2134" s="81"/>
    </row>
    <row r="2135">
      <c r="A2135" s="89"/>
      <c r="F2135" s="96"/>
      <c r="H2135" s="27"/>
      <c r="I2135" s="27"/>
      <c r="J2135" s="81"/>
    </row>
    <row r="2136">
      <c r="A2136" s="89"/>
      <c r="F2136" s="96"/>
      <c r="H2136" s="27"/>
      <c r="I2136" s="27"/>
      <c r="J2136" s="81"/>
    </row>
    <row r="2137">
      <c r="A2137" s="89"/>
      <c r="F2137" s="96"/>
      <c r="H2137" s="27"/>
      <c r="I2137" s="27"/>
      <c r="J2137" s="81"/>
    </row>
    <row r="2138">
      <c r="A2138" s="89"/>
      <c r="F2138" s="96"/>
      <c r="H2138" s="27"/>
      <c r="I2138" s="27"/>
      <c r="J2138" s="81"/>
    </row>
    <row r="2139">
      <c r="A2139" s="89"/>
      <c r="F2139" s="96"/>
      <c r="H2139" s="27"/>
      <c r="I2139" s="27"/>
      <c r="J2139" s="81"/>
    </row>
    <row r="2140">
      <c r="A2140" s="89"/>
      <c r="F2140" s="96"/>
      <c r="H2140" s="27"/>
      <c r="I2140" s="27"/>
      <c r="J2140" s="81"/>
    </row>
    <row r="2141">
      <c r="A2141" s="89"/>
      <c r="F2141" s="96"/>
      <c r="H2141" s="27"/>
      <c r="I2141" s="27"/>
      <c r="J2141" s="81"/>
    </row>
    <row r="2142">
      <c r="A2142" s="89"/>
      <c r="F2142" s="96"/>
      <c r="H2142" s="27"/>
      <c r="I2142" s="27"/>
      <c r="J2142" s="81"/>
    </row>
    <row r="2143">
      <c r="A2143" s="89"/>
      <c r="F2143" s="96"/>
      <c r="H2143" s="27"/>
      <c r="I2143" s="27"/>
      <c r="J2143" s="81"/>
    </row>
    <row r="2144">
      <c r="A2144" s="89"/>
      <c r="F2144" s="96"/>
      <c r="H2144" s="27"/>
      <c r="I2144" s="27"/>
      <c r="J2144" s="81"/>
    </row>
    <row r="2145">
      <c r="A2145" s="89"/>
      <c r="F2145" s="96"/>
      <c r="H2145" s="27"/>
      <c r="I2145" s="27"/>
      <c r="J2145" s="81"/>
    </row>
    <row r="2146">
      <c r="A2146" s="89"/>
      <c r="F2146" s="96"/>
      <c r="H2146" s="27"/>
      <c r="I2146" s="27"/>
      <c r="J2146" s="81"/>
    </row>
    <row r="2147">
      <c r="A2147" s="89"/>
      <c r="F2147" s="96"/>
      <c r="H2147" s="27"/>
      <c r="I2147" s="27"/>
      <c r="J2147" s="81"/>
    </row>
    <row r="2148">
      <c r="A2148" s="89"/>
      <c r="F2148" s="96"/>
      <c r="H2148" s="27"/>
      <c r="I2148" s="27"/>
      <c r="J2148" s="81"/>
    </row>
    <row r="2149">
      <c r="A2149" s="89"/>
      <c r="F2149" s="96"/>
      <c r="H2149" s="27"/>
      <c r="I2149" s="27"/>
      <c r="J2149" s="81"/>
    </row>
    <row r="2150">
      <c r="A2150" s="89"/>
      <c r="F2150" s="96"/>
      <c r="H2150" s="27"/>
      <c r="I2150" s="27"/>
      <c r="J2150" s="81"/>
    </row>
    <row r="2151">
      <c r="A2151" s="89"/>
      <c r="F2151" s="96"/>
      <c r="H2151" s="27"/>
      <c r="I2151" s="27"/>
      <c r="J2151" s="81"/>
    </row>
    <row r="2152">
      <c r="A2152" s="89"/>
      <c r="F2152" s="96"/>
      <c r="H2152" s="27"/>
      <c r="I2152" s="27"/>
      <c r="J2152" s="81"/>
    </row>
    <row r="2153">
      <c r="A2153" s="89"/>
      <c r="F2153" s="96"/>
      <c r="H2153" s="27"/>
      <c r="I2153" s="27"/>
      <c r="J2153" s="81"/>
    </row>
    <row r="2154">
      <c r="A2154" s="89"/>
      <c r="F2154" s="96"/>
      <c r="H2154" s="27"/>
      <c r="I2154" s="27"/>
      <c r="J2154" s="81"/>
    </row>
    <row r="2155">
      <c r="A2155" s="89"/>
      <c r="F2155" s="96"/>
      <c r="H2155" s="27"/>
      <c r="I2155" s="27"/>
      <c r="J2155" s="81"/>
    </row>
    <row r="2156">
      <c r="A2156" s="89"/>
      <c r="F2156" s="96"/>
      <c r="H2156" s="27"/>
      <c r="I2156" s="27"/>
      <c r="J2156" s="81"/>
    </row>
    <row r="2157">
      <c r="A2157" s="89"/>
      <c r="F2157" s="96"/>
      <c r="H2157" s="27"/>
      <c r="I2157" s="27"/>
      <c r="J2157" s="81"/>
    </row>
    <row r="2158">
      <c r="A2158" s="89"/>
      <c r="F2158" s="96"/>
      <c r="H2158" s="27"/>
      <c r="I2158" s="27"/>
      <c r="J2158" s="81"/>
    </row>
    <row r="2159">
      <c r="A2159" s="89"/>
      <c r="F2159" s="96"/>
      <c r="H2159" s="27"/>
      <c r="I2159" s="27"/>
      <c r="J2159" s="81"/>
    </row>
    <row r="2160">
      <c r="A2160" s="89"/>
      <c r="F2160" s="96"/>
      <c r="H2160" s="27"/>
      <c r="I2160" s="27"/>
      <c r="J2160" s="81"/>
    </row>
    <row r="2161">
      <c r="A2161" s="89"/>
      <c r="F2161" s="96"/>
      <c r="H2161" s="27"/>
      <c r="I2161" s="27"/>
      <c r="J2161" s="81"/>
    </row>
    <row r="2162">
      <c r="A2162" s="89"/>
      <c r="F2162" s="96"/>
      <c r="H2162" s="27"/>
      <c r="I2162" s="27"/>
      <c r="J2162" s="81"/>
    </row>
    <row r="2163">
      <c r="A2163" s="89"/>
      <c r="F2163" s="96"/>
      <c r="H2163" s="27"/>
      <c r="I2163" s="27"/>
      <c r="J2163" s="81"/>
    </row>
    <row r="2164">
      <c r="A2164" s="89"/>
      <c r="F2164" s="96"/>
      <c r="H2164" s="27"/>
      <c r="I2164" s="27"/>
      <c r="J2164" s="81"/>
    </row>
    <row r="2165">
      <c r="A2165" s="89"/>
      <c r="F2165" s="96"/>
      <c r="H2165" s="27"/>
      <c r="I2165" s="27"/>
      <c r="J2165" s="81"/>
    </row>
    <row r="2166">
      <c r="A2166" s="89"/>
      <c r="F2166" s="96"/>
      <c r="H2166" s="27"/>
      <c r="I2166" s="27"/>
      <c r="J2166" s="81"/>
    </row>
    <row r="2167">
      <c r="A2167" s="89"/>
      <c r="F2167" s="96"/>
      <c r="H2167" s="27"/>
      <c r="I2167" s="27"/>
      <c r="J2167" s="81"/>
    </row>
    <row r="2168">
      <c r="A2168" s="89"/>
      <c r="F2168" s="96"/>
      <c r="H2168" s="27"/>
      <c r="I2168" s="27"/>
      <c r="J2168" s="81"/>
    </row>
    <row r="2169">
      <c r="A2169" s="89"/>
      <c r="F2169" s="96"/>
      <c r="H2169" s="27"/>
      <c r="I2169" s="27"/>
      <c r="J2169" s="81"/>
    </row>
    <row r="2170">
      <c r="A2170" s="89"/>
      <c r="F2170" s="96"/>
      <c r="H2170" s="27"/>
      <c r="I2170" s="27"/>
      <c r="J2170" s="81"/>
    </row>
    <row r="2171">
      <c r="A2171" s="89"/>
      <c r="F2171" s="96"/>
      <c r="H2171" s="27"/>
      <c r="I2171" s="27"/>
      <c r="J2171" s="81"/>
    </row>
    <row r="2172">
      <c r="A2172" s="89"/>
      <c r="F2172" s="96"/>
      <c r="H2172" s="27"/>
      <c r="I2172" s="27"/>
      <c r="J2172" s="81"/>
    </row>
    <row r="2173">
      <c r="A2173" s="89"/>
      <c r="F2173" s="96"/>
      <c r="H2173" s="27"/>
      <c r="I2173" s="27"/>
      <c r="J2173" s="81"/>
    </row>
    <row r="2174">
      <c r="A2174" s="89"/>
      <c r="F2174" s="96"/>
      <c r="H2174" s="27"/>
      <c r="I2174" s="27"/>
      <c r="J2174" s="81"/>
    </row>
    <row r="2175">
      <c r="A2175" s="89"/>
      <c r="F2175" s="96"/>
      <c r="H2175" s="27"/>
      <c r="I2175" s="27"/>
      <c r="J2175" s="81"/>
    </row>
    <row r="2176">
      <c r="A2176" s="89"/>
      <c r="F2176" s="96"/>
      <c r="H2176" s="27"/>
      <c r="I2176" s="27"/>
      <c r="J2176" s="81"/>
    </row>
    <row r="2177">
      <c r="A2177" s="89"/>
      <c r="F2177" s="96"/>
      <c r="H2177" s="27"/>
      <c r="I2177" s="27"/>
      <c r="J2177" s="81"/>
    </row>
    <row r="2178">
      <c r="A2178" s="89"/>
      <c r="F2178" s="96"/>
      <c r="H2178" s="27"/>
      <c r="I2178" s="27"/>
      <c r="J2178" s="81"/>
    </row>
    <row r="2179">
      <c r="A2179" s="89"/>
      <c r="F2179" s="96"/>
      <c r="H2179" s="27"/>
      <c r="I2179" s="27"/>
      <c r="J2179" s="81"/>
    </row>
    <row r="2180">
      <c r="A2180" s="89"/>
      <c r="F2180" s="96"/>
      <c r="H2180" s="27"/>
      <c r="I2180" s="27"/>
      <c r="J2180" s="81"/>
    </row>
    <row r="2181">
      <c r="A2181" s="89"/>
      <c r="F2181" s="96"/>
      <c r="H2181" s="27"/>
      <c r="I2181" s="27"/>
      <c r="J2181" s="81"/>
    </row>
    <row r="2182">
      <c r="A2182" s="89"/>
      <c r="F2182" s="96"/>
      <c r="H2182" s="27"/>
      <c r="I2182" s="27"/>
      <c r="J2182" s="81"/>
    </row>
    <row r="2183">
      <c r="A2183" s="89"/>
      <c r="F2183" s="96"/>
      <c r="H2183" s="27"/>
      <c r="I2183" s="27"/>
      <c r="J2183" s="81"/>
    </row>
    <row r="2184">
      <c r="A2184" s="89"/>
      <c r="F2184" s="96"/>
      <c r="H2184" s="27"/>
      <c r="I2184" s="27"/>
      <c r="J2184" s="81"/>
    </row>
    <row r="2185">
      <c r="A2185" s="89"/>
      <c r="F2185" s="96"/>
      <c r="H2185" s="27"/>
      <c r="I2185" s="27"/>
      <c r="J2185" s="81"/>
    </row>
    <row r="2186">
      <c r="A2186" s="89"/>
      <c r="F2186" s="96"/>
      <c r="H2186" s="27"/>
      <c r="I2186" s="27"/>
      <c r="J2186" s="81"/>
    </row>
    <row r="2187">
      <c r="A2187" s="89"/>
      <c r="F2187" s="96"/>
      <c r="H2187" s="27"/>
      <c r="I2187" s="27"/>
      <c r="J2187" s="81"/>
    </row>
    <row r="2188">
      <c r="A2188" s="89"/>
      <c r="F2188" s="96"/>
      <c r="H2188" s="27"/>
      <c r="I2188" s="27"/>
      <c r="J2188" s="81"/>
    </row>
    <row r="2189">
      <c r="A2189" s="89"/>
      <c r="F2189" s="96"/>
      <c r="H2189" s="27"/>
      <c r="I2189" s="27"/>
      <c r="J2189" s="81"/>
    </row>
    <row r="2190">
      <c r="A2190" s="89"/>
      <c r="F2190" s="96"/>
      <c r="H2190" s="27"/>
      <c r="I2190" s="27"/>
      <c r="J2190" s="81"/>
    </row>
    <row r="2191">
      <c r="A2191" s="89"/>
      <c r="F2191" s="96"/>
      <c r="H2191" s="27"/>
      <c r="I2191" s="27"/>
      <c r="J2191" s="81"/>
    </row>
    <row r="2192">
      <c r="A2192" s="89"/>
      <c r="F2192" s="96"/>
      <c r="H2192" s="27"/>
      <c r="I2192" s="27"/>
      <c r="J2192" s="81"/>
    </row>
    <row r="2193">
      <c r="A2193" s="89"/>
      <c r="F2193" s="96"/>
      <c r="H2193" s="27"/>
      <c r="I2193" s="27"/>
      <c r="J2193" s="81"/>
    </row>
    <row r="2194">
      <c r="A2194" s="89"/>
      <c r="F2194" s="96"/>
      <c r="H2194" s="27"/>
      <c r="I2194" s="27"/>
      <c r="J2194" s="81"/>
    </row>
    <row r="2195">
      <c r="A2195" s="89"/>
      <c r="F2195" s="96"/>
      <c r="H2195" s="27"/>
      <c r="I2195" s="27"/>
      <c r="J2195" s="81"/>
    </row>
    <row r="2196">
      <c r="A2196" s="89"/>
      <c r="F2196" s="96"/>
      <c r="H2196" s="27"/>
      <c r="I2196" s="27"/>
      <c r="J2196" s="81"/>
    </row>
    <row r="2197">
      <c r="A2197" s="89"/>
      <c r="F2197" s="96"/>
      <c r="H2197" s="27"/>
      <c r="I2197" s="27"/>
      <c r="J2197" s="81"/>
    </row>
    <row r="2198">
      <c r="A2198" s="89"/>
      <c r="F2198" s="96"/>
      <c r="H2198" s="27"/>
      <c r="I2198" s="27"/>
      <c r="J2198" s="81"/>
    </row>
    <row r="2199">
      <c r="A2199" s="89"/>
      <c r="F2199" s="96"/>
      <c r="H2199" s="27"/>
      <c r="I2199" s="27"/>
      <c r="J2199" s="81"/>
    </row>
    <row r="2200">
      <c r="A2200" s="89"/>
      <c r="F2200" s="96"/>
      <c r="H2200" s="27"/>
      <c r="I2200" s="27"/>
      <c r="J2200" s="81"/>
    </row>
    <row r="2201">
      <c r="A2201" s="89"/>
      <c r="F2201" s="96"/>
      <c r="H2201" s="27"/>
      <c r="I2201" s="27"/>
      <c r="J2201" s="81"/>
    </row>
    <row r="2202">
      <c r="A2202" s="89"/>
      <c r="F2202" s="96"/>
      <c r="H2202" s="27"/>
      <c r="I2202" s="27"/>
      <c r="J2202" s="81"/>
    </row>
    <row r="2203">
      <c r="A2203" s="89"/>
      <c r="F2203" s="96"/>
      <c r="H2203" s="27"/>
      <c r="I2203" s="27"/>
      <c r="J2203" s="81"/>
    </row>
    <row r="2204">
      <c r="A2204" s="89"/>
      <c r="F2204" s="96"/>
      <c r="H2204" s="27"/>
      <c r="I2204" s="27"/>
      <c r="J2204" s="81"/>
    </row>
    <row r="2205">
      <c r="A2205" s="89"/>
      <c r="F2205" s="96"/>
      <c r="H2205" s="27"/>
      <c r="I2205" s="27"/>
      <c r="J2205" s="81"/>
    </row>
    <row r="2206">
      <c r="A2206" s="89"/>
      <c r="F2206" s="96"/>
      <c r="H2206" s="27"/>
      <c r="I2206" s="27"/>
      <c r="J2206" s="81"/>
    </row>
    <row r="2207">
      <c r="A2207" s="89"/>
      <c r="F2207" s="96"/>
      <c r="H2207" s="27"/>
      <c r="I2207" s="27"/>
      <c r="J2207" s="81"/>
    </row>
    <row r="2208">
      <c r="A2208" s="89"/>
      <c r="F2208" s="96"/>
      <c r="H2208" s="27"/>
      <c r="I2208" s="27"/>
      <c r="J2208" s="81"/>
    </row>
    <row r="2209">
      <c r="A2209" s="89"/>
      <c r="F2209" s="96"/>
      <c r="H2209" s="27"/>
      <c r="I2209" s="27"/>
      <c r="J2209" s="81"/>
    </row>
    <row r="2210">
      <c r="A2210" s="89"/>
      <c r="F2210" s="96"/>
      <c r="H2210" s="27"/>
      <c r="I2210" s="27"/>
      <c r="J2210" s="81"/>
    </row>
    <row r="2211">
      <c r="A2211" s="89"/>
      <c r="F2211" s="96"/>
      <c r="H2211" s="27"/>
      <c r="I2211" s="27"/>
      <c r="J2211" s="81"/>
    </row>
    <row r="2212">
      <c r="A2212" s="89"/>
      <c r="F2212" s="96"/>
      <c r="H2212" s="27"/>
      <c r="I2212" s="27"/>
      <c r="J2212" s="81"/>
    </row>
    <row r="2213">
      <c r="A2213" s="89"/>
      <c r="F2213" s="96"/>
      <c r="H2213" s="27"/>
      <c r="I2213" s="27"/>
      <c r="J2213" s="81"/>
    </row>
    <row r="2214">
      <c r="A2214" s="89"/>
      <c r="F2214" s="96"/>
      <c r="H2214" s="27"/>
      <c r="I2214" s="27"/>
      <c r="J2214" s="81"/>
    </row>
    <row r="2215">
      <c r="A2215" s="89"/>
      <c r="F2215" s="96"/>
      <c r="H2215" s="27"/>
      <c r="I2215" s="27"/>
      <c r="J2215" s="81"/>
    </row>
    <row r="2216">
      <c r="A2216" s="89"/>
      <c r="F2216" s="96"/>
      <c r="H2216" s="27"/>
      <c r="I2216" s="27"/>
      <c r="J2216" s="81"/>
    </row>
    <row r="2217">
      <c r="A2217" s="89"/>
      <c r="F2217" s="96"/>
      <c r="H2217" s="27"/>
      <c r="I2217" s="27"/>
      <c r="J2217" s="81"/>
    </row>
    <row r="2218">
      <c r="A2218" s="89"/>
      <c r="F2218" s="96"/>
      <c r="H2218" s="27"/>
      <c r="I2218" s="27"/>
      <c r="J2218" s="81"/>
    </row>
    <row r="2219">
      <c r="A2219" s="89"/>
      <c r="F2219" s="96"/>
      <c r="H2219" s="27"/>
      <c r="I2219" s="27"/>
      <c r="J2219" s="81"/>
    </row>
    <row r="2220">
      <c r="A2220" s="89"/>
      <c r="F2220" s="96"/>
      <c r="H2220" s="27"/>
      <c r="I2220" s="27"/>
      <c r="J2220" s="81"/>
    </row>
    <row r="2221">
      <c r="A2221" s="89"/>
      <c r="F2221" s="96"/>
      <c r="H2221" s="27"/>
      <c r="I2221" s="27"/>
      <c r="J2221" s="81"/>
    </row>
    <row r="2222">
      <c r="A2222" s="89"/>
      <c r="F2222" s="96"/>
      <c r="H2222" s="27"/>
      <c r="I2222" s="27"/>
      <c r="J2222" s="81"/>
    </row>
    <row r="2223">
      <c r="A2223" s="89"/>
      <c r="F2223" s="96"/>
      <c r="H2223" s="27"/>
      <c r="I2223" s="27"/>
      <c r="J2223" s="81"/>
    </row>
    <row r="2224">
      <c r="A2224" s="89"/>
      <c r="F2224" s="96"/>
      <c r="H2224" s="27"/>
      <c r="I2224" s="27"/>
      <c r="J2224" s="81"/>
    </row>
    <row r="2225">
      <c r="A2225" s="89"/>
      <c r="F2225" s="96"/>
      <c r="H2225" s="27"/>
      <c r="I2225" s="27"/>
      <c r="J2225" s="81"/>
    </row>
    <row r="2226">
      <c r="A2226" s="89"/>
      <c r="F2226" s="96"/>
      <c r="H2226" s="27"/>
      <c r="I2226" s="27"/>
      <c r="J2226" s="81"/>
    </row>
    <row r="2227">
      <c r="A2227" s="89"/>
      <c r="F2227" s="96"/>
      <c r="H2227" s="27"/>
      <c r="I2227" s="27"/>
      <c r="J2227" s="81"/>
    </row>
    <row r="2228">
      <c r="A2228" s="89"/>
      <c r="F2228" s="96"/>
      <c r="H2228" s="27"/>
      <c r="I2228" s="27"/>
      <c r="J2228" s="81"/>
    </row>
    <row r="2229">
      <c r="A2229" s="89"/>
      <c r="F2229" s="96"/>
      <c r="H2229" s="27"/>
      <c r="I2229" s="27"/>
      <c r="J2229" s="81"/>
    </row>
    <row r="2230">
      <c r="A2230" s="89"/>
      <c r="F2230" s="96"/>
      <c r="H2230" s="27"/>
      <c r="I2230" s="27"/>
      <c r="J2230" s="81"/>
    </row>
    <row r="2231">
      <c r="A2231" s="89"/>
      <c r="F2231" s="96"/>
      <c r="H2231" s="27"/>
      <c r="I2231" s="27"/>
      <c r="J2231" s="81"/>
    </row>
    <row r="2232">
      <c r="A2232" s="89"/>
      <c r="F2232" s="96"/>
      <c r="H2232" s="27"/>
      <c r="I2232" s="27"/>
      <c r="J2232" s="81"/>
    </row>
    <row r="2233">
      <c r="A2233" s="89"/>
      <c r="F2233" s="96"/>
      <c r="H2233" s="27"/>
      <c r="I2233" s="27"/>
      <c r="J2233" s="81"/>
    </row>
    <row r="2234">
      <c r="A2234" s="89"/>
      <c r="F2234" s="96"/>
      <c r="H2234" s="27"/>
      <c r="I2234" s="27"/>
      <c r="J2234" s="81"/>
    </row>
    <row r="2235">
      <c r="A2235" s="89"/>
      <c r="F2235" s="96"/>
      <c r="H2235" s="27"/>
      <c r="I2235" s="27"/>
      <c r="J2235" s="81"/>
    </row>
    <row r="2236">
      <c r="A2236" s="89"/>
      <c r="F2236" s="96"/>
      <c r="H2236" s="27"/>
      <c r="I2236" s="27"/>
      <c r="J2236" s="81"/>
    </row>
    <row r="2237">
      <c r="A2237" s="89"/>
      <c r="F2237" s="96"/>
      <c r="H2237" s="27"/>
      <c r="I2237" s="27"/>
      <c r="J2237" s="81"/>
    </row>
    <row r="2238">
      <c r="A2238" s="89"/>
      <c r="F2238" s="96"/>
      <c r="H2238" s="27"/>
      <c r="I2238" s="27"/>
      <c r="J2238" s="81"/>
    </row>
    <row r="2239">
      <c r="A2239" s="89"/>
      <c r="F2239" s="96"/>
      <c r="H2239" s="27"/>
      <c r="I2239" s="27"/>
      <c r="J2239" s="81"/>
    </row>
    <row r="2240">
      <c r="A2240" s="89"/>
      <c r="F2240" s="96"/>
      <c r="H2240" s="27"/>
      <c r="I2240" s="27"/>
      <c r="J2240" s="81"/>
    </row>
    <row r="2241">
      <c r="A2241" s="89"/>
      <c r="F2241" s="96"/>
      <c r="H2241" s="27"/>
      <c r="I2241" s="27"/>
      <c r="J2241" s="81"/>
    </row>
    <row r="2242">
      <c r="A2242" s="89"/>
      <c r="F2242" s="96"/>
      <c r="H2242" s="27"/>
      <c r="I2242" s="27"/>
      <c r="J2242" s="81"/>
    </row>
    <row r="2243">
      <c r="A2243" s="89"/>
      <c r="F2243" s="96"/>
      <c r="H2243" s="27"/>
      <c r="I2243" s="27"/>
      <c r="J2243" s="81"/>
    </row>
    <row r="2244">
      <c r="A2244" s="89"/>
      <c r="F2244" s="96"/>
      <c r="H2244" s="27"/>
      <c r="I2244" s="27"/>
      <c r="J2244" s="81"/>
    </row>
    <row r="2245">
      <c r="A2245" s="89"/>
      <c r="F2245" s="96"/>
      <c r="H2245" s="27"/>
      <c r="I2245" s="27"/>
      <c r="J2245" s="81"/>
    </row>
    <row r="2246">
      <c r="A2246" s="89"/>
      <c r="F2246" s="96"/>
      <c r="H2246" s="27"/>
      <c r="I2246" s="27"/>
      <c r="J2246" s="81"/>
    </row>
    <row r="2247">
      <c r="A2247" s="89"/>
      <c r="F2247" s="96"/>
      <c r="H2247" s="27"/>
      <c r="I2247" s="27"/>
      <c r="J2247" s="81"/>
    </row>
    <row r="2248">
      <c r="A2248" s="89"/>
      <c r="F2248" s="96"/>
      <c r="H2248" s="27"/>
      <c r="I2248" s="27"/>
      <c r="J2248" s="81"/>
    </row>
    <row r="2249">
      <c r="A2249" s="89"/>
      <c r="F2249" s="96"/>
      <c r="H2249" s="27"/>
      <c r="I2249" s="27"/>
      <c r="J2249" s="81"/>
    </row>
    <row r="2250">
      <c r="A2250" s="89"/>
      <c r="F2250" s="96"/>
      <c r="H2250" s="27"/>
      <c r="I2250" s="27"/>
      <c r="J2250" s="81"/>
    </row>
    <row r="2251">
      <c r="A2251" s="89"/>
      <c r="F2251" s="96"/>
      <c r="H2251" s="27"/>
      <c r="I2251" s="27"/>
      <c r="J2251" s="81"/>
    </row>
    <row r="2252">
      <c r="A2252" s="89"/>
      <c r="F2252" s="96"/>
      <c r="H2252" s="27"/>
      <c r="I2252" s="27"/>
      <c r="J2252" s="81"/>
    </row>
    <row r="2253">
      <c r="A2253" s="89"/>
      <c r="F2253" s="96"/>
      <c r="H2253" s="27"/>
      <c r="I2253" s="27"/>
      <c r="J2253" s="81"/>
    </row>
    <row r="2254">
      <c r="A2254" s="89"/>
      <c r="F2254" s="96"/>
      <c r="H2254" s="27"/>
      <c r="I2254" s="27"/>
      <c r="J2254" s="81"/>
    </row>
    <row r="2255">
      <c r="A2255" s="89"/>
      <c r="F2255" s="96"/>
      <c r="H2255" s="27"/>
      <c r="I2255" s="27"/>
      <c r="J2255" s="81"/>
    </row>
    <row r="2256">
      <c r="A2256" s="89"/>
      <c r="F2256" s="96"/>
      <c r="H2256" s="27"/>
      <c r="I2256" s="27"/>
      <c r="J2256" s="81"/>
    </row>
    <row r="2257">
      <c r="A2257" s="89"/>
      <c r="F2257" s="96"/>
      <c r="H2257" s="27"/>
      <c r="I2257" s="27"/>
      <c r="J2257" s="81"/>
    </row>
    <row r="2258">
      <c r="A2258" s="89"/>
      <c r="F2258" s="96"/>
      <c r="H2258" s="27"/>
      <c r="I2258" s="27"/>
      <c r="J2258" s="81"/>
    </row>
    <row r="2259">
      <c r="A2259" s="89"/>
      <c r="F2259" s="96"/>
      <c r="H2259" s="27"/>
      <c r="I2259" s="27"/>
      <c r="J2259" s="81"/>
    </row>
    <row r="2260">
      <c r="A2260" s="89"/>
      <c r="F2260" s="96"/>
      <c r="H2260" s="27"/>
      <c r="I2260" s="27"/>
      <c r="J2260" s="81"/>
    </row>
    <row r="2261">
      <c r="A2261" s="89"/>
      <c r="F2261" s="96"/>
      <c r="H2261" s="27"/>
      <c r="I2261" s="27"/>
      <c r="J2261" s="81"/>
    </row>
    <row r="2262">
      <c r="A2262" s="89"/>
      <c r="F2262" s="96"/>
      <c r="H2262" s="27"/>
      <c r="I2262" s="27"/>
      <c r="J2262" s="81"/>
    </row>
    <row r="2263">
      <c r="A2263" s="89"/>
      <c r="F2263" s="96"/>
      <c r="H2263" s="27"/>
      <c r="I2263" s="27"/>
      <c r="J2263" s="81"/>
    </row>
    <row r="2264">
      <c r="A2264" s="89"/>
      <c r="F2264" s="96"/>
      <c r="H2264" s="27"/>
      <c r="I2264" s="27"/>
      <c r="J2264" s="81"/>
    </row>
    <row r="2265">
      <c r="A2265" s="89"/>
      <c r="F2265" s="96"/>
      <c r="H2265" s="27"/>
      <c r="I2265" s="27"/>
      <c r="J2265" s="81"/>
    </row>
    <row r="2266">
      <c r="A2266" s="89"/>
      <c r="F2266" s="96"/>
      <c r="H2266" s="27"/>
      <c r="I2266" s="27"/>
      <c r="J2266" s="81"/>
    </row>
    <row r="2267">
      <c r="A2267" s="89"/>
      <c r="F2267" s="96"/>
      <c r="H2267" s="27"/>
      <c r="I2267" s="27"/>
      <c r="J2267" s="81"/>
    </row>
    <row r="2268">
      <c r="A2268" s="89"/>
      <c r="F2268" s="96"/>
      <c r="H2268" s="27"/>
      <c r="I2268" s="27"/>
      <c r="J2268" s="81"/>
    </row>
    <row r="2269">
      <c r="A2269" s="89"/>
      <c r="F2269" s="96"/>
      <c r="H2269" s="27"/>
      <c r="I2269" s="27"/>
      <c r="J2269" s="81"/>
    </row>
    <row r="2270">
      <c r="A2270" s="89"/>
      <c r="F2270" s="96"/>
      <c r="H2270" s="27"/>
      <c r="I2270" s="27"/>
      <c r="J2270" s="81"/>
    </row>
    <row r="2271">
      <c r="A2271" s="89"/>
      <c r="F2271" s="96"/>
      <c r="H2271" s="27"/>
      <c r="I2271" s="27"/>
      <c r="J2271" s="81"/>
    </row>
    <row r="2272">
      <c r="A2272" s="89"/>
      <c r="F2272" s="96"/>
      <c r="H2272" s="27"/>
      <c r="I2272" s="27"/>
      <c r="J2272" s="81"/>
    </row>
    <row r="2273">
      <c r="A2273" s="89"/>
      <c r="F2273" s="96"/>
      <c r="H2273" s="27"/>
      <c r="I2273" s="27"/>
      <c r="J2273" s="81"/>
    </row>
    <row r="2274">
      <c r="A2274" s="89"/>
      <c r="F2274" s="96"/>
      <c r="H2274" s="27"/>
      <c r="I2274" s="27"/>
      <c r="J2274" s="81"/>
    </row>
    <row r="2275">
      <c r="A2275" s="89"/>
      <c r="F2275" s="96"/>
      <c r="H2275" s="27"/>
      <c r="I2275" s="27"/>
      <c r="J2275" s="81"/>
    </row>
    <row r="2276">
      <c r="A2276" s="89"/>
      <c r="F2276" s="96"/>
      <c r="H2276" s="27"/>
      <c r="I2276" s="27"/>
      <c r="J2276" s="81"/>
    </row>
    <row r="2277">
      <c r="A2277" s="89"/>
      <c r="F2277" s="96"/>
      <c r="H2277" s="27"/>
      <c r="I2277" s="27"/>
      <c r="J2277" s="81"/>
    </row>
    <row r="2278">
      <c r="A2278" s="89"/>
      <c r="F2278" s="96"/>
      <c r="H2278" s="27"/>
      <c r="I2278" s="27"/>
      <c r="J2278" s="81"/>
    </row>
    <row r="2279">
      <c r="A2279" s="89"/>
      <c r="F2279" s="96"/>
      <c r="H2279" s="27"/>
      <c r="I2279" s="27"/>
      <c r="J2279" s="81"/>
    </row>
    <row r="2280">
      <c r="A2280" s="89"/>
      <c r="F2280" s="96"/>
      <c r="H2280" s="27"/>
      <c r="I2280" s="27"/>
      <c r="J2280" s="81"/>
    </row>
    <row r="2281">
      <c r="A2281" s="89"/>
      <c r="F2281" s="96"/>
      <c r="H2281" s="27"/>
      <c r="I2281" s="27"/>
      <c r="J2281" s="81"/>
    </row>
    <row r="2282">
      <c r="A2282" s="89"/>
      <c r="F2282" s="96"/>
      <c r="H2282" s="27"/>
      <c r="I2282" s="27"/>
      <c r="J2282" s="81"/>
    </row>
    <row r="2283">
      <c r="A2283" s="89"/>
      <c r="F2283" s="96"/>
      <c r="H2283" s="27"/>
      <c r="I2283" s="27"/>
      <c r="J2283" s="81"/>
    </row>
    <row r="2284">
      <c r="A2284" s="89"/>
      <c r="F2284" s="96"/>
      <c r="H2284" s="27"/>
      <c r="I2284" s="27"/>
      <c r="J2284" s="81"/>
    </row>
    <row r="2285">
      <c r="A2285" s="89"/>
      <c r="F2285" s="96"/>
      <c r="H2285" s="27"/>
      <c r="I2285" s="27"/>
      <c r="J2285" s="81"/>
    </row>
    <row r="2286">
      <c r="A2286" s="89"/>
      <c r="F2286" s="96"/>
      <c r="H2286" s="27"/>
      <c r="I2286" s="27"/>
      <c r="J2286" s="81"/>
    </row>
    <row r="2287">
      <c r="A2287" s="89"/>
      <c r="F2287" s="96"/>
      <c r="H2287" s="27"/>
      <c r="I2287" s="27"/>
      <c r="J2287" s="81"/>
    </row>
    <row r="2288">
      <c r="A2288" s="89"/>
      <c r="F2288" s="96"/>
      <c r="H2288" s="27"/>
      <c r="I2288" s="27"/>
      <c r="J2288" s="81"/>
    </row>
    <row r="2289">
      <c r="A2289" s="89"/>
      <c r="F2289" s="96"/>
      <c r="H2289" s="27"/>
      <c r="I2289" s="27"/>
      <c r="J2289" s="81"/>
    </row>
    <row r="2290">
      <c r="A2290" s="89"/>
      <c r="F2290" s="96"/>
      <c r="H2290" s="27"/>
      <c r="I2290" s="27"/>
      <c r="J2290" s="81"/>
    </row>
    <row r="2291">
      <c r="A2291" s="89"/>
      <c r="F2291" s="96"/>
      <c r="H2291" s="27"/>
      <c r="I2291" s="27"/>
      <c r="J2291" s="81"/>
    </row>
    <row r="2292">
      <c r="A2292" s="89"/>
      <c r="F2292" s="96"/>
      <c r="H2292" s="27"/>
      <c r="I2292" s="27"/>
      <c r="J2292" s="81"/>
    </row>
    <row r="2293">
      <c r="A2293" s="89"/>
      <c r="F2293" s="96"/>
      <c r="H2293" s="27"/>
      <c r="I2293" s="27"/>
      <c r="J2293" s="81"/>
    </row>
    <row r="2294">
      <c r="A2294" s="89"/>
      <c r="F2294" s="96"/>
      <c r="H2294" s="27"/>
      <c r="I2294" s="27"/>
      <c r="J2294" s="81"/>
    </row>
    <row r="2295">
      <c r="A2295" s="89"/>
      <c r="F2295" s="96"/>
      <c r="H2295" s="27"/>
      <c r="I2295" s="27"/>
      <c r="J2295" s="81"/>
    </row>
    <row r="2296">
      <c r="A2296" s="89"/>
      <c r="F2296" s="96"/>
      <c r="H2296" s="27"/>
      <c r="I2296" s="27"/>
      <c r="J2296" s="81"/>
    </row>
    <row r="2297">
      <c r="A2297" s="89"/>
      <c r="F2297" s="96"/>
      <c r="H2297" s="27"/>
      <c r="I2297" s="27"/>
      <c r="J2297" s="81"/>
    </row>
    <row r="2298">
      <c r="A2298" s="89"/>
      <c r="F2298" s="96"/>
      <c r="H2298" s="27"/>
      <c r="I2298" s="27"/>
      <c r="J2298" s="81"/>
    </row>
    <row r="2299">
      <c r="A2299" s="89"/>
      <c r="F2299" s="96"/>
      <c r="H2299" s="27"/>
      <c r="I2299" s="27"/>
      <c r="J2299" s="81"/>
    </row>
    <row r="2300">
      <c r="A2300" s="89"/>
      <c r="F2300" s="96"/>
      <c r="H2300" s="27"/>
      <c r="I2300" s="27"/>
      <c r="J2300" s="81"/>
    </row>
    <row r="2301">
      <c r="A2301" s="89"/>
      <c r="F2301" s="96"/>
      <c r="H2301" s="27"/>
      <c r="I2301" s="27"/>
      <c r="J2301" s="81"/>
    </row>
    <row r="2302">
      <c r="A2302" s="89"/>
      <c r="F2302" s="96"/>
      <c r="H2302" s="27"/>
      <c r="I2302" s="27"/>
      <c r="J2302" s="81"/>
    </row>
    <row r="2303">
      <c r="A2303" s="89"/>
      <c r="F2303" s="96"/>
      <c r="H2303" s="27"/>
      <c r="I2303" s="27"/>
      <c r="J2303" s="81"/>
    </row>
    <row r="2304">
      <c r="A2304" s="89"/>
      <c r="F2304" s="96"/>
      <c r="H2304" s="27"/>
      <c r="I2304" s="27"/>
      <c r="J2304" s="81"/>
    </row>
    <row r="2305">
      <c r="A2305" s="89"/>
      <c r="F2305" s="96"/>
      <c r="H2305" s="27"/>
      <c r="I2305" s="27"/>
      <c r="J2305" s="81"/>
    </row>
    <row r="2306">
      <c r="A2306" s="89"/>
      <c r="F2306" s="96"/>
      <c r="H2306" s="27"/>
      <c r="I2306" s="27"/>
      <c r="J2306" s="81"/>
    </row>
    <row r="2307">
      <c r="A2307" s="89"/>
      <c r="F2307" s="96"/>
      <c r="H2307" s="27"/>
      <c r="I2307" s="27"/>
      <c r="J2307" s="81"/>
    </row>
    <row r="2308">
      <c r="A2308" s="89"/>
      <c r="F2308" s="96"/>
      <c r="H2308" s="27"/>
      <c r="I2308" s="27"/>
      <c r="J2308" s="81"/>
    </row>
    <row r="2309">
      <c r="A2309" s="89"/>
      <c r="F2309" s="96"/>
      <c r="H2309" s="27"/>
      <c r="I2309" s="27"/>
      <c r="J2309" s="81"/>
    </row>
    <row r="2310">
      <c r="A2310" s="89"/>
      <c r="F2310" s="96"/>
      <c r="H2310" s="27"/>
      <c r="I2310" s="27"/>
      <c r="J2310" s="81"/>
    </row>
    <row r="2311">
      <c r="A2311" s="89"/>
      <c r="F2311" s="96"/>
      <c r="H2311" s="27"/>
      <c r="I2311" s="27"/>
      <c r="J2311" s="81"/>
    </row>
    <row r="2312">
      <c r="A2312" s="89"/>
      <c r="F2312" s="96"/>
      <c r="H2312" s="27"/>
      <c r="I2312" s="27"/>
      <c r="J2312" s="81"/>
    </row>
    <row r="2313">
      <c r="A2313" s="89"/>
      <c r="F2313" s="96"/>
      <c r="H2313" s="27"/>
      <c r="I2313" s="27"/>
      <c r="J2313" s="81"/>
    </row>
    <row r="2314">
      <c r="A2314" s="89"/>
      <c r="F2314" s="96"/>
      <c r="H2314" s="27"/>
      <c r="I2314" s="27"/>
      <c r="J2314" s="81"/>
    </row>
    <row r="2315">
      <c r="A2315" s="89"/>
      <c r="F2315" s="96"/>
      <c r="H2315" s="27"/>
      <c r="I2315" s="27"/>
      <c r="J2315" s="81"/>
    </row>
    <row r="2316">
      <c r="A2316" s="89"/>
      <c r="F2316" s="96"/>
      <c r="H2316" s="27"/>
      <c r="I2316" s="27"/>
      <c r="J2316" s="81"/>
    </row>
    <row r="2317">
      <c r="A2317" s="89"/>
      <c r="F2317" s="96"/>
      <c r="H2317" s="27"/>
      <c r="I2317" s="27"/>
      <c r="J2317" s="81"/>
    </row>
    <row r="2318">
      <c r="A2318" s="89"/>
      <c r="F2318" s="96"/>
      <c r="H2318" s="27"/>
      <c r="I2318" s="27"/>
      <c r="J2318" s="81"/>
    </row>
    <row r="2319">
      <c r="A2319" s="89"/>
      <c r="F2319" s="96"/>
      <c r="H2319" s="27"/>
      <c r="I2319" s="27"/>
      <c r="J2319" s="81"/>
    </row>
    <row r="2320">
      <c r="A2320" s="89"/>
      <c r="F2320" s="96"/>
      <c r="H2320" s="27"/>
      <c r="I2320" s="27"/>
      <c r="J2320" s="81"/>
    </row>
    <row r="2321">
      <c r="A2321" s="89"/>
      <c r="F2321" s="96"/>
      <c r="H2321" s="27"/>
      <c r="I2321" s="27"/>
      <c r="J2321" s="81"/>
    </row>
    <row r="2322">
      <c r="A2322" s="89"/>
      <c r="F2322" s="96"/>
      <c r="H2322" s="27"/>
      <c r="I2322" s="27"/>
      <c r="J2322" s="81"/>
    </row>
    <row r="2323">
      <c r="A2323" s="89"/>
      <c r="F2323" s="96"/>
      <c r="H2323" s="27"/>
      <c r="I2323" s="27"/>
      <c r="J2323" s="81"/>
    </row>
    <row r="2324">
      <c r="A2324" s="89"/>
      <c r="F2324" s="96"/>
      <c r="H2324" s="27"/>
      <c r="I2324" s="27"/>
      <c r="J2324" s="81"/>
    </row>
    <row r="2325">
      <c r="A2325" s="89"/>
      <c r="F2325" s="96"/>
      <c r="H2325" s="27"/>
      <c r="I2325" s="27"/>
      <c r="J2325" s="81"/>
    </row>
    <row r="2326">
      <c r="A2326" s="89"/>
      <c r="F2326" s="96"/>
      <c r="H2326" s="27"/>
      <c r="I2326" s="27"/>
      <c r="J2326" s="81"/>
    </row>
    <row r="2327">
      <c r="A2327" s="89"/>
      <c r="F2327" s="96"/>
      <c r="H2327" s="27"/>
      <c r="I2327" s="27"/>
      <c r="J2327" s="81"/>
    </row>
    <row r="2328">
      <c r="A2328" s="89"/>
      <c r="F2328" s="96"/>
      <c r="H2328" s="27"/>
      <c r="I2328" s="27"/>
      <c r="J2328" s="81"/>
    </row>
    <row r="2329">
      <c r="A2329" s="89"/>
      <c r="F2329" s="96"/>
      <c r="H2329" s="27"/>
      <c r="I2329" s="27"/>
      <c r="J2329" s="81"/>
    </row>
    <row r="2330">
      <c r="A2330" s="89"/>
      <c r="F2330" s="96"/>
      <c r="H2330" s="27"/>
      <c r="I2330" s="27"/>
      <c r="J2330" s="81"/>
    </row>
    <row r="2331">
      <c r="A2331" s="89"/>
      <c r="F2331" s="96"/>
      <c r="H2331" s="27"/>
      <c r="I2331" s="27"/>
      <c r="J2331" s="81"/>
    </row>
    <row r="2332">
      <c r="A2332" s="89"/>
      <c r="F2332" s="96"/>
      <c r="H2332" s="27"/>
      <c r="I2332" s="27"/>
      <c r="J2332" s="81"/>
    </row>
    <row r="2333">
      <c r="A2333" s="89"/>
      <c r="F2333" s="96"/>
      <c r="H2333" s="27"/>
      <c r="I2333" s="27"/>
      <c r="J2333" s="81"/>
    </row>
    <row r="2334">
      <c r="A2334" s="89"/>
      <c r="F2334" s="96"/>
      <c r="H2334" s="27"/>
      <c r="I2334" s="27"/>
      <c r="J2334" s="81"/>
    </row>
    <row r="2335">
      <c r="A2335" s="89"/>
      <c r="F2335" s="96"/>
      <c r="H2335" s="27"/>
      <c r="I2335" s="27"/>
      <c r="J2335" s="81"/>
    </row>
    <row r="2336">
      <c r="A2336" s="89"/>
      <c r="F2336" s="96"/>
      <c r="H2336" s="27"/>
      <c r="I2336" s="27"/>
      <c r="J2336" s="81"/>
    </row>
    <row r="2337">
      <c r="A2337" s="89"/>
      <c r="F2337" s="96"/>
      <c r="H2337" s="27"/>
      <c r="I2337" s="27"/>
      <c r="J2337" s="81"/>
    </row>
    <row r="2338">
      <c r="A2338" s="89"/>
      <c r="F2338" s="96"/>
      <c r="H2338" s="27"/>
      <c r="I2338" s="27"/>
      <c r="J2338" s="81"/>
    </row>
    <row r="2339">
      <c r="A2339" s="89"/>
      <c r="F2339" s="96"/>
      <c r="H2339" s="27"/>
      <c r="I2339" s="27"/>
      <c r="J2339" s="81"/>
    </row>
    <row r="2340">
      <c r="A2340" s="89"/>
      <c r="F2340" s="96"/>
      <c r="H2340" s="27"/>
      <c r="I2340" s="27"/>
      <c r="J2340" s="81"/>
    </row>
    <row r="2341">
      <c r="A2341" s="89"/>
      <c r="F2341" s="96"/>
      <c r="H2341" s="27"/>
      <c r="I2341" s="27"/>
      <c r="J2341" s="81"/>
    </row>
    <row r="2342">
      <c r="A2342" s="89"/>
      <c r="F2342" s="96"/>
      <c r="H2342" s="27"/>
      <c r="I2342" s="27"/>
      <c r="J2342" s="81"/>
    </row>
    <row r="2343">
      <c r="A2343" s="89"/>
      <c r="F2343" s="96"/>
      <c r="H2343" s="27"/>
      <c r="I2343" s="27"/>
      <c r="J2343" s="81"/>
    </row>
    <row r="2344">
      <c r="A2344" s="89"/>
      <c r="F2344" s="96"/>
      <c r="H2344" s="27"/>
      <c r="I2344" s="27"/>
      <c r="J2344" s="81"/>
    </row>
    <row r="2345">
      <c r="A2345" s="89"/>
      <c r="F2345" s="96"/>
      <c r="H2345" s="27"/>
      <c r="I2345" s="27"/>
      <c r="J2345" s="81"/>
    </row>
    <row r="2346">
      <c r="A2346" s="89"/>
      <c r="F2346" s="96"/>
      <c r="H2346" s="27"/>
      <c r="I2346" s="27"/>
      <c r="J2346" s="81"/>
    </row>
    <row r="2347">
      <c r="A2347" s="89"/>
      <c r="F2347" s="96"/>
      <c r="H2347" s="27"/>
      <c r="I2347" s="27"/>
      <c r="J2347" s="81"/>
    </row>
    <row r="2348">
      <c r="A2348" s="89"/>
      <c r="F2348" s="96"/>
      <c r="H2348" s="27"/>
      <c r="I2348" s="27"/>
      <c r="J2348" s="81"/>
    </row>
    <row r="2349">
      <c r="A2349" s="89"/>
      <c r="F2349" s="96"/>
      <c r="H2349" s="27"/>
      <c r="I2349" s="27"/>
      <c r="J2349" s="81"/>
    </row>
    <row r="2350">
      <c r="A2350" s="89"/>
      <c r="F2350" s="96"/>
      <c r="H2350" s="27"/>
      <c r="I2350" s="27"/>
      <c r="J2350" s="81"/>
    </row>
    <row r="2351">
      <c r="A2351" s="89"/>
      <c r="F2351" s="96"/>
      <c r="H2351" s="27"/>
      <c r="I2351" s="27"/>
      <c r="J2351" s="81"/>
    </row>
    <row r="2352">
      <c r="A2352" s="89"/>
      <c r="F2352" s="96"/>
      <c r="H2352" s="27"/>
      <c r="I2352" s="27"/>
      <c r="J2352" s="81"/>
    </row>
    <row r="2353">
      <c r="A2353" s="89"/>
      <c r="F2353" s="96"/>
      <c r="H2353" s="27"/>
      <c r="I2353" s="27"/>
      <c r="J2353" s="81"/>
    </row>
    <row r="2354">
      <c r="A2354" s="89"/>
      <c r="F2354" s="96"/>
      <c r="H2354" s="27"/>
      <c r="I2354" s="27"/>
      <c r="J2354" s="81"/>
    </row>
    <row r="2355">
      <c r="A2355" s="89"/>
      <c r="F2355" s="96"/>
      <c r="H2355" s="27"/>
      <c r="I2355" s="27"/>
      <c r="J2355" s="81"/>
    </row>
    <row r="2356">
      <c r="A2356" s="89"/>
      <c r="F2356" s="96"/>
      <c r="H2356" s="27"/>
      <c r="I2356" s="27"/>
      <c r="J2356" s="81"/>
    </row>
    <row r="2357">
      <c r="A2357" s="89"/>
      <c r="F2357" s="96"/>
      <c r="H2357" s="27"/>
      <c r="I2357" s="27"/>
      <c r="J2357" s="81"/>
    </row>
    <row r="2358">
      <c r="A2358" s="89"/>
      <c r="F2358" s="96"/>
      <c r="H2358" s="27"/>
      <c r="I2358" s="27"/>
      <c r="J2358" s="81"/>
    </row>
    <row r="2359">
      <c r="A2359" s="89"/>
      <c r="F2359" s="96"/>
      <c r="H2359" s="27"/>
      <c r="I2359" s="27"/>
      <c r="J2359" s="81"/>
    </row>
    <row r="2360">
      <c r="A2360" s="89"/>
      <c r="F2360" s="96"/>
      <c r="H2360" s="27"/>
      <c r="I2360" s="27"/>
      <c r="J2360" s="81"/>
    </row>
    <row r="2361">
      <c r="A2361" s="89"/>
      <c r="F2361" s="96"/>
      <c r="H2361" s="27"/>
      <c r="I2361" s="27"/>
      <c r="J2361" s="81"/>
    </row>
    <row r="2362">
      <c r="A2362" s="89"/>
      <c r="F2362" s="96"/>
      <c r="H2362" s="27"/>
      <c r="I2362" s="27"/>
      <c r="J2362" s="81"/>
    </row>
    <row r="2363">
      <c r="A2363" s="89"/>
      <c r="F2363" s="96"/>
      <c r="H2363" s="27"/>
      <c r="I2363" s="27"/>
      <c r="J2363" s="81"/>
    </row>
    <row r="2364">
      <c r="A2364" s="89"/>
      <c r="F2364" s="96"/>
      <c r="H2364" s="27"/>
      <c r="I2364" s="27"/>
      <c r="J2364" s="81"/>
    </row>
    <row r="2365">
      <c r="A2365" s="89"/>
      <c r="F2365" s="96"/>
      <c r="H2365" s="27"/>
      <c r="I2365" s="27"/>
      <c r="J2365" s="81"/>
    </row>
    <row r="2366">
      <c r="A2366" s="89"/>
      <c r="F2366" s="96"/>
      <c r="H2366" s="27"/>
      <c r="I2366" s="27"/>
      <c r="J2366" s="81"/>
    </row>
    <row r="2367">
      <c r="A2367" s="89"/>
      <c r="F2367" s="96"/>
      <c r="H2367" s="27"/>
      <c r="I2367" s="27"/>
      <c r="J2367" s="81"/>
    </row>
    <row r="2368">
      <c r="A2368" s="89"/>
      <c r="F2368" s="96"/>
      <c r="H2368" s="27"/>
      <c r="I2368" s="27"/>
      <c r="J2368" s="81"/>
    </row>
    <row r="2369">
      <c r="A2369" s="89"/>
      <c r="F2369" s="96"/>
      <c r="H2369" s="27"/>
      <c r="I2369" s="27"/>
      <c r="J2369" s="81"/>
    </row>
    <row r="2370">
      <c r="A2370" s="89"/>
      <c r="F2370" s="96"/>
      <c r="H2370" s="27"/>
      <c r="I2370" s="27"/>
      <c r="J2370" s="81"/>
    </row>
    <row r="2371">
      <c r="A2371" s="89"/>
      <c r="F2371" s="96"/>
      <c r="H2371" s="27"/>
      <c r="I2371" s="27"/>
      <c r="J2371" s="81"/>
    </row>
    <row r="2372">
      <c r="A2372" s="89"/>
      <c r="F2372" s="96"/>
      <c r="H2372" s="27"/>
      <c r="I2372" s="27"/>
      <c r="J2372" s="81"/>
    </row>
    <row r="2373">
      <c r="A2373" s="89"/>
      <c r="F2373" s="96"/>
      <c r="H2373" s="27"/>
      <c r="I2373" s="27"/>
      <c r="J2373" s="81"/>
    </row>
    <row r="2374">
      <c r="A2374" s="89"/>
      <c r="F2374" s="96"/>
      <c r="H2374" s="27"/>
      <c r="I2374" s="27"/>
      <c r="J2374" s="81"/>
    </row>
    <row r="2375">
      <c r="A2375" s="89"/>
      <c r="F2375" s="96"/>
      <c r="H2375" s="27"/>
      <c r="I2375" s="27"/>
      <c r="J2375" s="81"/>
    </row>
    <row r="2376">
      <c r="A2376" s="89"/>
      <c r="F2376" s="96"/>
      <c r="H2376" s="27"/>
      <c r="I2376" s="27"/>
      <c r="J2376" s="81"/>
    </row>
    <row r="2377">
      <c r="A2377" s="89"/>
      <c r="F2377" s="96"/>
      <c r="H2377" s="27"/>
      <c r="I2377" s="27"/>
      <c r="J2377" s="81"/>
    </row>
    <row r="2378">
      <c r="A2378" s="89"/>
      <c r="F2378" s="96"/>
      <c r="H2378" s="27"/>
      <c r="I2378" s="27"/>
      <c r="J2378" s="81"/>
    </row>
    <row r="2379">
      <c r="A2379" s="89"/>
      <c r="F2379" s="96"/>
      <c r="H2379" s="27"/>
      <c r="I2379" s="27"/>
      <c r="J2379" s="81"/>
    </row>
    <row r="2380">
      <c r="A2380" s="89"/>
      <c r="F2380" s="96"/>
      <c r="H2380" s="27"/>
      <c r="I2380" s="27"/>
      <c r="J2380" s="81"/>
    </row>
    <row r="2381">
      <c r="A2381" s="89"/>
      <c r="F2381" s="96"/>
      <c r="H2381" s="27"/>
      <c r="I2381" s="27"/>
      <c r="J2381" s="81"/>
    </row>
    <row r="2382">
      <c r="A2382" s="89"/>
      <c r="F2382" s="96"/>
      <c r="H2382" s="27"/>
      <c r="I2382" s="27"/>
      <c r="J2382" s="81"/>
    </row>
    <row r="2383">
      <c r="A2383" s="89"/>
      <c r="F2383" s="96"/>
      <c r="H2383" s="27"/>
      <c r="I2383" s="27"/>
      <c r="J2383" s="81"/>
    </row>
    <row r="2384">
      <c r="A2384" s="89"/>
      <c r="F2384" s="96"/>
      <c r="H2384" s="27"/>
      <c r="I2384" s="27"/>
      <c r="J2384" s="81"/>
    </row>
    <row r="2385">
      <c r="A2385" s="89"/>
      <c r="F2385" s="96"/>
      <c r="H2385" s="27"/>
      <c r="I2385" s="27"/>
      <c r="J2385" s="81"/>
    </row>
    <row r="2386">
      <c r="A2386" s="89"/>
      <c r="F2386" s="96"/>
      <c r="H2386" s="27"/>
      <c r="I2386" s="27"/>
      <c r="J2386" s="81"/>
    </row>
    <row r="2387">
      <c r="A2387" s="89"/>
      <c r="F2387" s="96"/>
      <c r="H2387" s="27"/>
      <c r="I2387" s="27"/>
      <c r="J2387" s="81"/>
    </row>
    <row r="2388">
      <c r="A2388" s="89"/>
      <c r="F2388" s="96"/>
      <c r="H2388" s="27"/>
      <c r="I2388" s="27"/>
      <c r="J2388" s="81"/>
    </row>
    <row r="2389">
      <c r="A2389" s="89"/>
      <c r="F2389" s="96"/>
      <c r="H2389" s="27"/>
      <c r="I2389" s="27"/>
      <c r="J2389" s="81"/>
    </row>
    <row r="2390">
      <c r="A2390" s="89"/>
      <c r="F2390" s="96"/>
      <c r="H2390" s="27"/>
      <c r="I2390" s="27"/>
      <c r="J2390" s="81"/>
    </row>
    <row r="2391">
      <c r="A2391" s="89"/>
      <c r="F2391" s="96"/>
      <c r="H2391" s="27"/>
      <c r="I2391" s="27"/>
      <c r="J2391" s="81"/>
    </row>
    <row r="2392">
      <c r="A2392" s="89"/>
      <c r="F2392" s="96"/>
      <c r="H2392" s="27"/>
      <c r="I2392" s="27"/>
      <c r="J2392" s="81"/>
    </row>
    <row r="2393">
      <c r="A2393" s="89"/>
      <c r="F2393" s="96"/>
      <c r="H2393" s="27"/>
      <c r="I2393" s="27"/>
      <c r="J2393" s="81"/>
    </row>
    <row r="2394">
      <c r="A2394" s="89"/>
      <c r="F2394" s="96"/>
      <c r="H2394" s="27"/>
      <c r="I2394" s="27"/>
      <c r="J2394" s="81"/>
    </row>
    <row r="2395">
      <c r="A2395" s="89"/>
      <c r="F2395" s="96"/>
      <c r="H2395" s="27"/>
      <c r="I2395" s="27"/>
      <c r="J2395" s="81"/>
    </row>
    <row r="2396">
      <c r="A2396" s="89"/>
      <c r="F2396" s="96"/>
      <c r="H2396" s="27"/>
      <c r="I2396" s="27"/>
      <c r="J2396" s="81"/>
    </row>
    <row r="2397">
      <c r="A2397" s="89"/>
      <c r="F2397" s="96"/>
      <c r="H2397" s="27"/>
      <c r="I2397" s="27"/>
      <c r="J2397" s="81"/>
    </row>
    <row r="2398">
      <c r="A2398" s="89"/>
      <c r="F2398" s="96"/>
      <c r="H2398" s="27"/>
      <c r="I2398" s="27"/>
      <c r="J2398" s="81"/>
    </row>
    <row r="2399">
      <c r="A2399" s="89"/>
      <c r="F2399" s="96"/>
      <c r="H2399" s="27"/>
      <c r="I2399" s="27"/>
      <c r="J2399" s="81"/>
    </row>
    <row r="2400">
      <c r="A2400" s="89"/>
      <c r="F2400" s="96"/>
      <c r="H2400" s="27"/>
      <c r="I2400" s="27"/>
      <c r="J2400" s="81"/>
    </row>
    <row r="2401">
      <c r="A2401" s="89"/>
      <c r="F2401" s="96"/>
      <c r="H2401" s="27"/>
      <c r="I2401" s="27"/>
      <c r="J2401" s="81"/>
    </row>
    <row r="2402">
      <c r="A2402" s="89"/>
      <c r="F2402" s="96"/>
      <c r="H2402" s="27"/>
      <c r="I2402" s="27"/>
      <c r="J2402" s="81"/>
    </row>
    <row r="2403">
      <c r="A2403" s="89"/>
      <c r="F2403" s="96"/>
      <c r="H2403" s="27"/>
      <c r="I2403" s="27"/>
      <c r="J2403" s="81"/>
    </row>
    <row r="2404">
      <c r="A2404" s="89"/>
      <c r="F2404" s="96"/>
      <c r="H2404" s="27"/>
      <c r="I2404" s="27"/>
      <c r="J2404" s="81"/>
    </row>
    <row r="2405">
      <c r="A2405" s="89"/>
      <c r="F2405" s="96"/>
      <c r="H2405" s="27"/>
      <c r="I2405" s="27"/>
      <c r="J2405" s="81"/>
    </row>
    <row r="2406">
      <c r="A2406" s="89"/>
      <c r="F2406" s="96"/>
      <c r="H2406" s="27"/>
      <c r="I2406" s="27"/>
      <c r="J2406" s="81"/>
    </row>
    <row r="2407">
      <c r="A2407" s="89"/>
      <c r="F2407" s="96"/>
      <c r="H2407" s="27"/>
      <c r="I2407" s="27"/>
      <c r="J2407" s="81"/>
    </row>
    <row r="2408">
      <c r="A2408" s="89"/>
      <c r="F2408" s="96"/>
      <c r="H2408" s="27"/>
      <c r="I2408" s="27"/>
      <c r="J2408" s="81"/>
    </row>
    <row r="2409">
      <c r="A2409" s="89"/>
      <c r="F2409" s="96"/>
      <c r="H2409" s="27"/>
      <c r="I2409" s="27"/>
      <c r="J2409" s="81"/>
    </row>
    <row r="2410">
      <c r="A2410" s="89"/>
      <c r="F2410" s="96"/>
      <c r="H2410" s="27"/>
      <c r="I2410" s="27"/>
      <c r="J2410" s="81"/>
    </row>
    <row r="2411">
      <c r="A2411" s="89"/>
      <c r="F2411" s="96"/>
      <c r="H2411" s="27"/>
      <c r="I2411" s="27"/>
      <c r="J2411" s="81"/>
    </row>
    <row r="2412">
      <c r="A2412" s="89"/>
      <c r="F2412" s="96"/>
      <c r="H2412" s="27"/>
      <c r="I2412" s="27"/>
      <c r="J2412" s="81"/>
    </row>
    <row r="2413">
      <c r="A2413" s="89"/>
      <c r="F2413" s="96"/>
      <c r="H2413" s="27"/>
      <c r="I2413" s="27"/>
      <c r="J2413" s="81"/>
    </row>
    <row r="2414">
      <c r="A2414" s="89"/>
      <c r="F2414" s="96"/>
      <c r="H2414" s="27"/>
      <c r="I2414" s="27"/>
      <c r="J2414" s="81"/>
    </row>
    <row r="2415">
      <c r="A2415" s="89"/>
      <c r="F2415" s="96"/>
      <c r="H2415" s="27"/>
      <c r="I2415" s="27"/>
      <c r="J2415" s="81"/>
    </row>
    <row r="2416">
      <c r="A2416" s="89"/>
      <c r="F2416" s="96"/>
      <c r="H2416" s="27"/>
      <c r="I2416" s="27"/>
      <c r="J2416" s="81"/>
    </row>
    <row r="2417">
      <c r="A2417" s="89"/>
      <c r="F2417" s="96"/>
      <c r="H2417" s="27"/>
      <c r="I2417" s="27"/>
      <c r="J2417" s="81"/>
    </row>
    <row r="2418">
      <c r="A2418" s="89"/>
      <c r="F2418" s="96"/>
      <c r="H2418" s="27"/>
      <c r="I2418" s="27"/>
      <c r="J2418" s="81"/>
    </row>
    <row r="2419">
      <c r="A2419" s="89"/>
      <c r="F2419" s="96"/>
      <c r="H2419" s="27"/>
      <c r="I2419" s="27"/>
      <c r="J2419" s="81"/>
    </row>
    <row r="2420">
      <c r="A2420" s="89"/>
      <c r="F2420" s="96"/>
      <c r="H2420" s="27"/>
      <c r="I2420" s="27"/>
      <c r="J2420" s="81"/>
    </row>
    <row r="2421">
      <c r="A2421" s="89"/>
      <c r="F2421" s="96"/>
      <c r="H2421" s="27"/>
      <c r="I2421" s="27"/>
      <c r="J2421" s="81"/>
    </row>
    <row r="2422">
      <c r="A2422" s="89"/>
      <c r="F2422" s="96"/>
      <c r="H2422" s="27"/>
      <c r="I2422" s="27"/>
      <c r="J2422" s="81"/>
    </row>
    <row r="2423">
      <c r="A2423" s="89"/>
      <c r="F2423" s="96"/>
      <c r="H2423" s="27"/>
      <c r="I2423" s="27"/>
      <c r="J2423" s="81"/>
    </row>
    <row r="2424">
      <c r="A2424" s="89"/>
      <c r="F2424" s="96"/>
      <c r="H2424" s="27"/>
      <c r="I2424" s="27"/>
      <c r="J2424" s="81"/>
    </row>
    <row r="2425">
      <c r="A2425" s="89"/>
      <c r="F2425" s="96"/>
      <c r="H2425" s="27"/>
      <c r="I2425" s="27"/>
      <c r="J2425" s="81"/>
    </row>
    <row r="2426">
      <c r="A2426" s="89"/>
      <c r="F2426" s="96"/>
      <c r="H2426" s="27"/>
      <c r="I2426" s="27"/>
      <c r="J2426" s="81"/>
    </row>
    <row r="2427">
      <c r="A2427" s="89"/>
      <c r="F2427" s="96"/>
      <c r="H2427" s="27"/>
      <c r="I2427" s="27"/>
      <c r="J2427" s="81"/>
    </row>
    <row r="2428">
      <c r="A2428" s="89"/>
      <c r="F2428" s="96"/>
      <c r="H2428" s="27"/>
      <c r="I2428" s="27"/>
      <c r="J2428" s="81"/>
    </row>
    <row r="2429">
      <c r="A2429" s="89"/>
      <c r="F2429" s="96"/>
      <c r="H2429" s="27"/>
      <c r="I2429" s="27"/>
      <c r="J2429" s="81"/>
    </row>
    <row r="2430">
      <c r="A2430" s="89"/>
      <c r="F2430" s="96"/>
      <c r="H2430" s="27"/>
      <c r="I2430" s="27"/>
      <c r="J2430" s="81"/>
    </row>
    <row r="2431">
      <c r="A2431" s="89"/>
      <c r="F2431" s="96"/>
      <c r="H2431" s="27"/>
      <c r="I2431" s="27"/>
      <c r="J2431" s="81"/>
    </row>
    <row r="2432">
      <c r="A2432" s="89"/>
      <c r="F2432" s="96"/>
      <c r="H2432" s="27"/>
      <c r="I2432" s="27"/>
      <c r="J2432" s="81"/>
    </row>
    <row r="2433">
      <c r="A2433" s="89"/>
      <c r="F2433" s="96"/>
      <c r="H2433" s="27"/>
      <c r="I2433" s="27"/>
      <c r="J2433" s="81"/>
    </row>
    <row r="2434">
      <c r="A2434" s="89"/>
      <c r="F2434" s="96"/>
      <c r="H2434" s="27"/>
      <c r="I2434" s="27"/>
      <c r="J2434" s="81"/>
    </row>
    <row r="2435">
      <c r="A2435" s="89"/>
      <c r="F2435" s="96"/>
      <c r="H2435" s="27"/>
      <c r="I2435" s="27"/>
      <c r="J2435" s="81"/>
    </row>
    <row r="2436">
      <c r="A2436" s="89"/>
      <c r="F2436" s="96"/>
      <c r="H2436" s="27"/>
      <c r="I2436" s="27"/>
      <c r="J2436" s="81"/>
    </row>
    <row r="2437">
      <c r="A2437" s="89"/>
      <c r="F2437" s="96"/>
      <c r="H2437" s="27"/>
      <c r="I2437" s="27"/>
      <c r="J2437" s="81"/>
    </row>
    <row r="2438">
      <c r="A2438" s="89"/>
      <c r="F2438" s="96"/>
      <c r="H2438" s="27"/>
      <c r="I2438" s="27"/>
      <c r="J2438" s="81"/>
    </row>
    <row r="2439">
      <c r="A2439" s="89"/>
      <c r="F2439" s="96"/>
      <c r="H2439" s="27"/>
      <c r="I2439" s="27"/>
      <c r="J2439" s="81"/>
    </row>
    <row r="2440">
      <c r="A2440" s="89"/>
      <c r="F2440" s="96"/>
      <c r="H2440" s="27"/>
      <c r="I2440" s="27"/>
      <c r="J2440" s="81"/>
    </row>
    <row r="2441">
      <c r="A2441" s="89"/>
      <c r="F2441" s="96"/>
      <c r="H2441" s="27"/>
      <c r="I2441" s="27"/>
      <c r="J2441" s="81"/>
    </row>
    <row r="2442">
      <c r="A2442" s="89"/>
      <c r="F2442" s="96"/>
      <c r="H2442" s="27"/>
      <c r="I2442" s="27"/>
      <c r="J2442" s="81"/>
    </row>
    <row r="2443">
      <c r="A2443" s="89"/>
      <c r="F2443" s="96"/>
      <c r="H2443" s="27"/>
      <c r="I2443" s="27"/>
      <c r="J2443" s="81"/>
    </row>
    <row r="2444">
      <c r="A2444" s="89"/>
      <c r="F2444" s="96"/>
      <c r="H2444" s="27"/>
      <c r="I2444" s="27"/>
      <c r="J2444" s="81"/>
    </row>
    <row r="2445">
      <c r="A2445" s="89"/>
      <c r="F2445" s="96"/>
      <c r="H2445" s="27"/>
      <c r="I2445" s="27"/>
      <c r="J2445" s="81"/>
    </row>
    <row r="2446">
      <c r="A2446" s="89"/>
      <c r="F2446" s="96"/>
      <c r="H2446" s="27"/>
      <c r="I2446" s="27"/>
      <c r="J2446" s="81"/>
    </row>
    <row r="2447">
      <c r="A2447" s="89"/>
      <c r="F2447" s="96"/>
      <c r="H2447" s="27"/>
      <c r="I2447" s="27"/>
      <c r="J2447" s="81"/>
    </row>
    <row r="2448">
      <c r="A2448" s="89"/>
      <c r="F2448" s="96"/>
      <c r="H2448" s="27"/>
      <c r="I2448" s="27"/>
      <c r="J2448" s="81"/>
    </row>
    <row r="2449">
      <c r="A2449" s="89"/>
      <c r="F2449" s="96"/>
      <c r="H2449" s="27"/>
      <c r="I2449" s="27"/>
      <c r="J2449" s="81"/>
    </row>
    <row r="2450">
      <c r="A2450" s="89"/>
      <c r="F2450" s="96"/>
      <c r="H2450" s="27"/>
      <c r="I2450" s="27"/>
      <c r="J2450" s="81"/>
    </row>
    <row r="2451">
      <c r="A2451" s="89"/>
      <c r="F2451" s="96"/>
      <c r="H2451" s="27"/>
      <c r="I2451" s="27"/>
      <c r="J2451" s="81"/>
    </row>
    <row r="2452">
      <c r="A2452" s="89"/>
      <c r="F2452" s="96"/>
      <c r="H2452" s="27"/>
      <c r="I2452" s="27"/>
      <c r="J2452" s="81"/>
    </row>
    <row r="2453">
      <c r="A2453" s="89"/>
      <c r="F2453" s="96"/>
      <c r="H2453" s="27"/>
      <c r="I2453" s="27"/>
      <c r="J2453" s="81"/>
    </row>
    <row r="2454">
      <c r="A2454" s="89"/>
      <c r="F2454" s="96"/>
      <c r="H2454" s="27"/>
      <c r="I2454" s="27"/>
      <c r="J2454" s="81"/>
    </row>
    <row r="2455">
      <c r="A2455" s="89"/>
      <c r="F2455" s="96"/>
      <c r="H2455" s="27"/>
      <c r="I2455" s="27"/>
      <c r="J2455" s="81"/>
    </row>
    <row r="2456">
      <c r="A2456" s="89"/>
      <c r="F2456" s="96"/>
      <c r="H2456" s="27"/>
      <c r="I2456" s="27"/>
      <c r="J2456" s="81"/>
    </row>
    <row r="2457">
      <c r="A2457" s="89"/>
      <c r="F2457" s="96"/>
      <c r="H2457" s="27"/>
      <c r="I2457" s="27"/>
      <c r="J2457" s="81"/>
    </row>
    <row r="2458">
      <c r="A2458" s="89"/>
      <c r="F2458" s="96"/>
      <c r="H2458" s="27"/>
      <c r="I2458" s="27"/>
      <c r="J2458" s="81"/>
    </row>
    <row r="2459">
      <c r="A2459" s="89"/>
      <c r="F2459" s="96"/>
      <c r="H2459" s="27"/>
      <c r="I2459" s="27"/>
      <c r="J2459" s="81"/>
    </row>
    <row r="2460">
      <c r="A2460" s="89"/>
      <c r="F2460" s="96"/>
      <c r="H2460" s="27"/>
      <c r="I2460" s="27"/>
      <c r="J2460" s="81"/>
    </row>
    <row r="2461">
      <c r="A2461" s="89"/>
      <c r="F2461" s="96"/>
      <c r="H2461" s="27"/>
      <c r="I2461" s="27"/>
      <c r="J2461" s="81"/>
    </row>
    <row r="2462">
      <c r="A2462" s="89"/>
      <c r="F2462" s="96"/>
      <c r="H2462" s="27"/>
      <c r="I2462" s="27"/>
      <c r="J2462" s="81"/>
    </row>
    <row r="2463">
      <c r="A2463" s="89"/>
      <c r="F2463" s="96"/>
      <c r="H2463" s="27"/>
      <c r="I2463" s="27"/>
      <c r="J2463" s="81"/>
    </row>
    <row r="2464">
      <c r="A2464" s="89"/>
      <c r="F2464" s="96"/>
      <c r="H2464" s="27"/>
      <c r="I2464" s="27"/>
      <c r="J2464" s="81"/>
    </row>
    <row r="2465">
      <c r="A2465" s="89"/>
      <c r="F2465" s="96"/>
      <c r="H2465" s="27"/>
      <c r="I2465" s="27"/>
      <c r="J2465" s="81"/>
    </row>
    <row r="2466">
      <c r="A2466" s="89"/>
      <c r="F2466" s="96"/>
      <c r="H2466" s="27"/>
      <c r="I2466" s="27"/>
      <c r="J2466" s="81"/>
    </row>
    <row r="2467">
      <c r="A2467" s="89"/>
      <c r="F2467" s="96"/>
      <c r="H2467" s="27"/>
      <c r="I2467" s="27"/>
      <c r="J2467" s="81"/>
    </row>
    <row r="2468">
      <c r="A2468" s="89"/>
      <c r="F2468" s="96"/>
      <c r="H2468" s="27"/>
      <c r="I2468" s="27"/>
      <c r="J2468" s="81"/>
    </row>
    <row r="2469">
      <c r="A2469" s="89"/>
      <c r="F2469" s="96"/>
      <c r="H2469" s="27"/>
      <c r="I2469" s="27"/>
      <c r="J2469" s="81"/>
    </row>
    <row r="2470">
      <c r="A2470" s="89"/>
      <c r="F2470" s="96"/>
      <c r="H2470" s="27"/>
      <c r="I2470" s="27"/>
      <c r="J2470" s="81"/>
    </row>
    <row r="2471">
      <c r="A2471" s="89"/>
      <c r="F2471" s="96"/>
      <c r="H2471" s="27"/>
      <c r="I2471" s="27"/>
      <c r="J2471" s="81"/>
    </row>
    <row r="2472">
      <c r="A2472" s="89"/>
      <c r="F2472" s="96"/>
      <c r="H2472" s="27"/>
      <c r="I2472" s="27"/>
      <c r="J2472" s="81"/>
    </row>
    <row r="2473">
      <c r="A2473" s="89"/>
      <c r="F2473" s="96"/>
      <c r="H2473" s="27"/>
      <c r="I2473" s="27"/>
      <c r="J2473" s="81"/>
    </row>
    <row r="2474">
      <c r="A2474" s="89"/>
      <c r="F2474" s="96"/>
      <c r="H2474" s="27"/>
      <c r="I2474" s="27"/>
      <c r="J2474" s="81"/>
    </row>
    <row r="2475">
      <c r="A2475" s="89"/>
      <c r="F2475" s="96"/>
      <c r="H2475" s="27"/>
      <c r="I2475" s="27"/>
      <c r="J2475" s="81"/>
    </row>
    <row r="2476">
      <c r="A2476" s="89"/>
      <c r="F2476" s="96"/>
      <c r="H2476" s="27"/>
      <c r="I2476" s="27"/>
      <c r="J2476" s="81"/>
    </row>
    <row r="2477">
      <c r="A2477" s="89"/>
      <c r="F2477" s="96"/>
      <c r="H2477" s="27"/>
      <c r="I2477" s="27"/>
      <c r="J2477" s="81"/>
    </row>
    <row r="2478">
      <c r="A2478" s="89"/>
      <c r="F2478" s="96"/>
      <c r="H2478" s="27"/>
      <c r="I2478" s="27"/>
      <c r="J2478" s="81"/>
    </row>
    <row r="2479">
      <c r="A2479" s="89"/>
      <c r="F2479" s="96"/>
      <c r="H2479" s="27"/>
      <c r="I2479" s="27"/>
      <c r="J2479" s="81"/>
    </row>
    <row r="2480">
      <c r="A2480" s="89"/>
      <c r="F2480" s="96"/>
      <c r="H2480" s="27"/>
      <c r="I2480" s="27"/>
      <c r="J2480" s="81"/>
    </row>
    <row r="2481">
      <c r="A2481" s="89"/>
      <c r="F2481" s="96"/>
      <c r="H2481" s="27"/>
      <c r="I2481" s="27"/>
      <c r="J2481" s="81"/>
    </row>
    <row r="2482">
      <c r="A2482" s="89"/>
      <c r="F2482" s="96"/>
      <c r="H2482" s="27"/>
      <c r="I2482" s="27"/>
      <c r="J2482" s="81"/>
    </row>
    <row r="2483">
      <c r="A2483" s="89"/>
      <c r="F2483" s="96"/>
      <c r="H2483" s="27"/>
      <c r="I2483" s="27"/>
      <c r="J2483" s="81"/>
    </row>
    <row r="2484">
      <c r="A2484" s="89"/>
      <c r="F2484" s="96"/>
      <c r="H2484" s="27"/>
      <c r="I2484" s="27"/>
      <c r="J2484" s="81"/>
    </row>
    <row r="2485">
      <c r="A2485" s="89"/>
      <c r="F2485" s="96"/>
      <c r="H2485" s="27"/>
      <c r="I2485" s="27"/>
      <c r="J2485" s="81"/>
    </row>
    <row r="2486">
      <c r="A2486" s="89"/>
      <c r="F2486" s="96"/>
      <c r="H2486" s="27"/>
      <c r="I2486" s="27"/>
      <c r="J2486" s="81"/>
    </row>
    <row r="2487">
      <c r="A2487" s="89"/>
      <c r="F2487" s="96"/>
      <c r="H2487" s="27"/>
      <c r="I2487" s="27"/>
      <c r="J2487" s="81"/>
    </row>
    <row r="2488">
      <c r="A2488" s="89"/>
      <c r="F2488" s="96"/>
      <c r="H2488" s="27"/>
      <c r="I2488" s="27"/>
      <c r="J2488" s="81"/>
    </row>
    <row r="2489">
      <c r="A2489" s="89"/>
      <c r="F2489" s="96"/>
      <c r="H2489" s="27"/>
      <c r="I2489" s="27"/>
      <c r="J2489" s="81"/>
    </row>
    <row r="2490">
      <c r="A2490" s="89"/>
      <c r="F2490" s="96"/>
      <c r="H2490" s="27"/>
      <c r="I2490" s="27"/>
      <c r="J2490" s="81"/>
    </row>
    <row r="2491">
      <c r="A2491" s="89"/>
      <c r="F2491" s="96"/>
      <c r="H2491" s="27"/>
      <c r="I2491" s="27"/>
      <c r="J2491" s="81"/>
    </row>
    <row r="2492">
      <c r="A2492" s="89"/>
      <c r="F2492" s="96"/>
      <c r="H2492" s="27"/>
      <c r="I2492" s="27"/>
      <c r="J2492" s="81"/>
    </row>
    <row r="2493">
      <c r="A2493" s="89"/>
      <c r="F2493" s="96"/>
      <c r="H2493" s="27"/>
      <c r="I2493" s="27"/>
      <c r="J2493" s="81"/>
    </row>
    <row r="2494">
      <c r="A2494" s="89"/>
      <c r="F2494" s="96"/>
      <c r="H2494" s="27"/>
      <c r="I2494" s="27"/>
      <c r="J2494" s="81"/>
    </row>
    <row r="2495">
      <c r="A2495" s="89"/>
      <c r="F2495" s="96"/>
      <c r="H2495" s="27"/>
      <c r="I2495" s="27"/>
      <c r="J2495" s="81"/>
    </row>
    <row r="2496">
      <c r="A2496" s="89"/>
      <c r="F2496" s="96"/>
      <c r="H2496" s="27"/>
      <c r="I2496" s="27"/>
      <c r="J2496" s="81"/>
    </row>
    <row r="2497">
      <c r="A2497" s="89"/>
      <c r="F2497" s="96"/>
      <c r="H2497" s="27"/>
      <c r="I2497" s="27"/>
      <c r="J2497" s="81"/>
    </row>
    <row r="2498">
      <c r="A2498" s="89"/>
      <c r="F2498" s="96"/>
      <c r="H2498" s="27"/>
      <c r="I2498" s="27"/>
      <c r="J2498" s="81"/>
    </row>
    <row r="2499">
      <c r="A2499" s="89"/>
      <c r="F2499" s="96"/>
      <c r="H2499" s="27"/>
      <c r="I2499" s="27"/>
      <c r="J2499" s="81"/>
    </row>
    <row r="2500">
      <c r="A2500" s="89"/>
      <c r="F2500" s="96"/>
      <c r="H2500" s="27"/>
      <c r="I2500" s="27"/>
      <c r="J2500" s="81"/>
    </row>
    <row r="2501">
      <c r="A2501" s="89"/>
      <c r="F2501" s="96"/>
      <c r="H2501" s="27"/>
      <c r="I2501" s="27"/>
      <c r="J2501" s="81"/>
    </row>
    <row r="2502">
      <c r="A2502" s="89"/>
      <c r="F2502" s="96"/>
      <c r="H2502" s="27"/>
      <c r="I2502" s="27"/>
      <c r="J2502" s="81"/>
    </row>
    <row r="2503">
      <c r="A2503" s="89"/>
      <c r="F2503" s="96"/>
      <c r="H2503" s="27"/>
      <c r="I2503" s="27"/>
      <c r="J2503" s="81"/>
    </row>
    <row r="2504">
      <c r="A2504" s="89"/>
      <c r="F2504" s="96"/>
      <c r="H2504" s="27"/>
      <c r="I2504" s="27"/>
      <c r="J2504" s="81"/>
    </row>
    <row r="2505">
      <c r="A2505" s="89"/>
      <c r="F2505" s="96"/>
      <c r="H2505" s="27"/>
      <c r="I2505" s="27"/>
      <c r="J2505" s="81"/>
    </row>
    <row r="2506">
      <c r="A2506" s="89"/>
      <c r="F2506" s="96"/>
      <c r="H2506" s="27"/>
      <c r="I2506" s="27"/>
      <c r="J2506" s="81"/>
    </row>
    <row r="2507">
      <c r="A2507" s="89"/>
      <c r="F2507" s="96"/>
      <c r="H2507" s="27"/>
      <c r="I2507" s="27"/>
      <c r="J2507" s="81"/>
    </row>
    <row r="2508">
      <c r="A2508" s="89"/>
      <c r="F2508" s="96"/>
      <c r="H2508" s="27"/>
      <c r="I2508" s="27"/>
      <c r="J2508" s="81"/>
    </row>
    <row r="2509">
      <c r="A2509" s="89"/>
      <c r="F2509" s="96"/>
      <c r="H2509" s="27"/>
      <c r="I2509" s="27"/>
      <c r="J2509" s="81"/>
    </row>
    <row r="2510">
      <c r="A2510" s="89"/>
      <c r="F2510" s="96"/>
      <c r="H2510" s="27"/>
      <c r="I2510" s="27"/>
      <c r="J2510" s="81"/>
    </row>
    <row r="2511">
      <c r="A2511" s="89"/>
      <c r="F2511" s="96"/>
      <c r="H2511" s="27"/>
      <c r="I2511" s="27"/>
      <c r="J2511" s="81"/>
    </row>
    <row r="2512">
      <c r="A2512" s="89"/>
      <c r="F2512" s="96"/>
      <c r="H2512" s="27"/>
      <c r="I2512" s="27"/>
      <c r="J2512" s="81"/>
    </row>
    <row r="2513">
      <c r="A2513" s="89"/>
      <c r="F2513" s="96"/>
      <c r="H2513" s="27"/>
      <c r="I2513" s="27"/>
      <c r="J2513" s="81"/>
    </row>
    <row r="2514">
      <c r="A2514" s="89"/>
      <c r="F2514" s="96"/>
      <c r="H2514" s="27"/>
      <c r="I2514" s="27"/>
      <c r="J2514" s="81"/>
    </row>
    <row r="2515">
      <c r="A2515" s="89"/>
      <c r="F2515" s="96"/>
      <c r="H2515" s="27"/>
      <c r="I2515" s="27"/>
      <c r="J2515" s="81"/>
    </row>
    <row r="2516">
      <c r="A2516" s="89"/>
      <c r="F2516" s="96"/>
      <c r="H2516" s="27"/>
      <c r="I2516" s="27"/>
      <c r="J2516" s="81"/>
    </row>
    <row r="2517">
      <c r="A2517" s="89"/>
      <c r="F2517" s="96"/>
      <c r="H2517" s="27"/>
      <c r="I2517" s="27"/>
      <c r="J2517" s="81"/>
    </row>
    <row r="2518">
      <c r="A2518" s="89"/>
      <c r="F2518" s="96"/>
      <c r="H2518" s="27"/>
      <c r="I2518" s="27"/>
      <c r="J2518" s="81"/>
    </row>
    <row r="2519">
      <c r="A2519" s="89"/>
      <c r="F2519" s="96"/>
      <c r="H2519" s="27"/>
      <c r="I2519" s="27"/>
      <c r="J2519" s="81"/>
    </row>
    <row r="2520">
      <c r="A2520" s="89"/>
      <c r="F2520" s="96"/>
      <c r="H2520" s="27"/>
      <c r="I2520" s="27"/>
      <c r="J2520" s="81"/>
    </row>
    <row r="2521">
      <c r="A2521" s="89"/>
      <c r="F2521" s="96"/>
      <c r="H2521" s="27"/>
      <c r="I2521" s="27"/>
      <c r="J2521" s="81"/>
    </row>
    <row r="2522">
      <c r="A2522" s="89"/>
      <c r="F2522" s="96"/>
      <c r="H2522" s="27"/>
      <c r="I2522" s="27"/>
      <c r="J2522" s="81"/>
    </row>
    <row r="2523">
      <c r="A2523" s="89"/>
      <c r="F2523" s="96"/>
      <c r="H2523" s="27"/>
      <c r="I2523" s="27"/>
      <c r="J2523" s="81"/>
    </row>
    <row r="2524">
      <c r="A2524" s="89"/>
      <c r="F2524" s="96"/>
      <c r="H2524" s="27"/>
      <c r="I2524" s="27"/>
      <c r="J2524" s="81"/>
    </row>
    <row r="2525">
      <c r="A2525" s="89"/>
      <c r="F2525" s="96"/>
      <c r="H2525" s="27"/>
      <c r="I2525" s="27"/>
      <c r="J2525" s="81"/>
    </row>
    <row r="2526">
      <c r="A2526" s="89"/>
      <c r="F2526" s="96"/>
      <c r="H2526" s="27"/>
      <c r="I2526" s="27"/>
      <c r="J2526" s="81"/>
    </row>
    <row r="2527">
      <c r="A2527" s="89"/>
      <c r="F2527" s="96"/>
      <c r="H2527" s="27"/>
      <c r="I2527" s="27"/>
      <c r="J2527" s="81"/>
    </row>
    <row r="2528">
      <c r="A2528" s="89"/>
      <c r="F2528" s="96"/>
      <c r="H2528" s="27"/>
      <c r="I2528" s="27"/>
      <c r="J2528" s="81"/>
    </row>
    <row r="2529">
      <c r="A2529" s="89"/>
      <c r="F2529" s="96"/>
      <c r="H2529" s="27"/>
      <c r="I2529" s="27"/>
      <c r="J2529" s="81"/>
    </row>
    <row r="2530">
      <c r="A2530" s="89"/>
      <c r="F2530" s="96"/>
      <c r="H2530" s="27"/>
      <c r="I2530" s="27"/>
      <c r="J2530" s="81"/>
    </row>
    <row r="2531">
      <c r="A2531" s="89"/>
      <c r="F2531" s="96"/>
      <c r="H2531" s="27"/>
      <c r="I2531" s="27"/>
      <c r="J2531" s="81"/>
    </row>
    <row r="2532">
      <c r="A2532" s="89"/>
      <c r="F2532" s="96"/>
      <c r="H2532" s="27"/>
      <c r="I2532" s="27"/>
      <c r="J2532" s="81"/>
    </row>
    <row r="2533">
      <c r="A2533" s="89"/>
      <c r="F2533" s="96"/>
      <c r="H2533" s="27"/>
      <c r="I2533" s="27"/>
      <c r="J2533" s="81"/>
    </row>
    <row r="2534">
      <c r="A2534" s="89"/>
      <c r="F2534" s="96"/>
      <c r="H2534" s="27"/>
      <c r="I2534" s="27"/>
      <c r="J2534" s="81"/>
    </row>
    <row r="2535">
      <c r="A2535" s="89"/>
      <c r="F2535" s="96"/>
      <c r="H2535" s="27"/>
      <c r="I2535" s="27"/>
      <c r="J2535" s="81"/>
    </row>
    <row r="2536">
      <c r="A2536" s="89"/>
      <c r="F2536" s="96"/>
      <c r="H2536" s="27"/>
      <c r="I2536" s="27"/>
      <c r="J2536" s="81"/>
    </row>
    <row r="2537">
      <c r="A2537" s="89"/>
      <c r="F2537" s="96"/>
      <c r="H2537" s="27"/>
      <c r="I2537" s="27"/>
      <c r="J2537" s="81"/>
    </row>
    <row r="2538">
      <c r="A2538" s="89"/>
      <c r="F2538" s="96"/>
      <c r="H2538" s="27"/>
      <c r="I2538" s="27"/>
      <c r="J2538" s="81"/>
    </row>
    <row r="2539">
      <c r="A2539" s="89"/>
      <c r="F2539" s="96"/>
      <c r="H2539" s="27"/>
      <c r="I2539" s="27"/>
      <c r="J2539" s="81"/>
    </row>
    <row r="2540">
      <c r="A2540" s="89"/>
      <c r="F2540" s="96"/>
      <c r="H2540" s="27"/>
      <c r="I2540" s="27"/>
      <c r="J2540" s="81"/>
    </row>
    <row r="2541">
      <c r="A2541" s="89"/>
      <c r="F2541" s="96"/>
      <c r="H2541" s="27"/>
      <c r="I2541" s="27"/>
      <c r="J2541" s="81"/>
    </row>
    <row r="2542">
      <c r="A2542" s="89"/>
      <c r="F2542" s="96"/>
      <c r="H2542" s="27"/>
      <c r="I2542" s="27"/>
      <c r="J2542" s="81"/>
    </row>
    <row r="2543">
      <c r="A2543" s="89"/>
      <c r="F2543" s="96"/>
      <c r="H2543" s="27"/>
      <c r="I2543" s="27"/>
      <c r="J2543" s="81"/>
    </row>
    <row r="2544">
      <c r="A2544" s="89"/>
      <c r="F2544" s="96"/>
      <c r="H2544" s="27"/>
      <c r="I2544" s="27"/>
      <c r="J2544" s="81"/>
    </row>
    <row r="2545">
      <c r="A2545" s="89"/>
      <c r="F2545" s="96"/>
      <c r="H2545" s="27"/>
      <c r="I2545" s="27"/>
      <c r="J2545" s="81"/>
    </row>
    <row r="2546">
      <c r="A2546" s="89"/>
      <c r="F2546" s="96"/>
      <c r="H2546" s="27"/>
      <c r="I2546" s="27"/>
      <c r="J2546" s="81"/>
    </row>
    <row r="2547">
      <c r="A2547" s="89"/>
      <c r="F2547" s="96"/>
      <c r="H2547" s="27"/>
      <c r="I2547" s="27"/>
      <c r="J2547" s="81"/>
    </row>
    <row r="2548">
      <c r="A2548" s="89"/>
      <c r="F2548" s="96"/>
      <c r="H2548" s="27"/>
      <c r="I2548" s="27"/>
      <c r="J2548" s="81"/>
    </row>
    <row r="2549">
      <c r="A2549" s="89"/>
      <c r="F2549" s="96"/>
      <c r="H2549" s="27"/>
      <c r="I2549" s="27"/>
      <c r="J2549" s="81"/>
    </row>
    <row r="2550">
      <c r="A2550" s="89"/>
      <c r="F2550" s="96"/>
      <c r="H2550" s="27"/>
      <c r="I2550" s="27"/>
      <c r="J2550" s="81"/>
    </row>
    <row r="2551">
      <c r="A2551" s="89"/>
      <c r="F2551" s="96"/>
      <c r="H2551" s="27"/>
      <c r="I2551" s="27"/>
      <c r="J2551" s="81"/>
    </row>
    <row r="2552">
      <c r="A2552" s="89"/>
      <c r="F2552" s="96"/>
      <c r="H2552" s="27"/>
      <c r="I2552" s="27"/>
      <c r="J2552" s="81"/>
    </row>
    <row r="2553">
      <c r="A2553" s="89"/>
      <c r="F2553" s="96"/>
      <c r="H2553" s="27"/>
      <c r="I2553" s="27"/>
      <c r="J2553" s="81"/>
    </row>
    <row r="2554">
      <c r="A2554" s="89"/>
      <c r="F2554" s="96"/>
      <c r="H2554" s="27"/>
      <c r="I2554" s="27"/>
      <c r="J2554" s="81"/>
    </row>
    <row r="2555">
      <c r="A2555" s="89"/>
      <c r="F2555" s="96"/>
      <c r="H2555" s="27"/>
      <c r="I2555" s="27"/>
      <c r="J2555" s="81"/>
    </row>
    <row r="2556">
      <c r="A2556" s="89"/>
      <c r="F2556" s="96"/>
      <c r="H2556" s="27"/>
      <c r="I2556" s="27"/>
      <c r="J2556" s="81"/>
    </row>
    <row r="2557">
      <c r="A2557" s="89"/>
      <c r="F2557" s="96"/>
      <c r="H2557" s="27"/>
      <c r="I2557" s="27"/>
      <c r="J2557" s="81"/>
    </row>
    <row r="2558">
      <c r="A2558" s="89"/>
      <c r="F2558" s="96"/>
      <c r="H2558" s="27"/>
      <c r="I2558" s="27"/>
      <c r="J2558" s="81"/>
    </row>
    <row r="2559">
      <c r="A2559" s="89"/>
      <c r="F2559" s="96"/>
      <c r="H2559" s="27"/>
      <c r="I2559" s="27"/>
      <c r="J2559" s="81"/>
    </row>
    <row r="2560">
      <c r="A2560" s="89"/>
      <c r="F2560" s="96"/>
      <c r="H2560" s="27"/>
      <c r="I2560" s="27"/>
      <c r="J2560" s="81"/>
    </row>
    <row r="2561">
      <c r="A2561" s="89"/>
      <c r="F2561" s="96"/>
      <c r="H2561" s="27"/>
      <c r="I2561" s="27"/>
      <c r="J2561" s="81"/>
    </row>
    <row r="2562">
      <c r="A2562" s="89"/>
      <c r="F2562" s="96"/>
      <c r="H2562" s="27"/>
      <c r="I2562" s="27"/>
      <c r="J2562" s="81"/>
    </row>
    <row r="2563">
      <c r="A2563" s="89"/>
      <c r="F2563" s="96"/>
      <c r="H2563" s="27"/>
      <c r="I2563" s="27"/>
      <c r="J2563" s="81"/>
    </row>
    <row r="2564">
      <c r="A2564" s="89"/>
      <c r="F2564" s="96"/>
      <c r="H2564" s="27"/>
      <c r="I2564" s="27"/>
      <c r="J2564" s="81"/>
    </row>
    <row r="2565">
      <c r="A2565" s="89"/>
      <c r="F2565" s="96"/>
      <c r="H2565" s="27"/>
      <c r="I2565" s="27"/>
      <c r="J2565" s="81"/>
    </row>
    <row r="2566">
      <c r="A2566" s="89"/>
      <c r="F2566" s="96"/>
      <c r="H2566" s="27"/>
      <c r="I2566" s="27"/>
      <c r="J2566" s="81"/>
    </row>
    <row r="2567">
      <c r="A2567" s="89"/>
      <c r="F2567" s="96"/>
      <c r="H2567" s="27"/>
      <c r="I2567" s="27"/>
      <c r="J2567" s="81"/>
    </row>
    <row r="2568">
      <c r="A2568" s="89"/>
      <c r="F2568" s="96"/>
      <c r="H2568" s="27"/>
      <c r="I2568" s="27"/>
      <c r="J2568" s="81"/>
    </row>
    <row r="2569">
      <c r="A2569" s="89"/>
      <c r="F2569" s="96"/>
      <c r="H2569" s="27"/>
      <c r="I2569" s="27"/>
      <c r="J2569" s="81"/>
    </row>
    <row r="2570">
      <c r="A2570" s="89"/>
      <c r="F2570" s="96"/>
      <c r="H2570" s="27"/>
      <c r="I2570" s="27"/>
      <c r="J2570" s="81"/>
    </row>
    <row r="2571">
      <c r="A2571" s="89"/>
      <c r="F2571" s="96"/>
      <c r="H2571" s="27"/>
      <c r="I2571" s="27"/>
      <c r="J2571" s="81"/>
    </row>
    <row r="2572">
      <c r="A2572" s="89"/>
      <c r="F2572" s="96"/>
      <c r="H2572" s="27"/>
      <c r="I2572" s="27"/>
      <c r="J2572" s="81"/>
    </row>
    <row r="2573">
      <c r="A2573" s="89"/>
      <c r="F2573" s="96"/>
      <c r="H2573" s="27"/>
      <c r="I2573" s="27"/>
      <c r="J2573" s="81"/>
    </row>
    <row r="2574">
      <c r="A2574" s="89"/>
      <c r="F2574" s="96"/>
      <c r="H2574" s="27"/>
      <c r="I2574" s="27"/>
      <c r="J2574" s="81"/>
    </row>
    <row r="2575">
      <c r="A2575" s="89"/>
      <c r="F2575" s="96"/>
      <c r="H2575" s="27"/>
      <c r="I2575" s="27"/>
      <c r="J2575" s="81"/>
    </row>
    <row r="2576">
      <c r="A2576" s="89"/>
      <c r="F2576" s="96"/>
      <c r="H2576" s="27"/>
      <c r="I2576" s="27"/>
      <c r="J2576" s="81"/>
    </row>
    <row r="2577">
      <c r="A2577" s="89"/>
      <c r="F2577" s="96"/>
      <c r="H2577" s="27"/>
      <c r="I2577" s="27"/>
      <c r="J2577" s="81"/>
    </row>
    <row r="2578">
      <c r="A2578" s="89"/>
      <c r="F2578" s="96"/>
      <c r="H2578" s="27"/>
      <c r="I2578" s="27"/>
      <c r="J2578" s="81"/>
    </row>
    <row r="2579">
      <c r="A2579" s="89"/>
      <c r="F2579" s="96"/>
      <c r="H2579" s="27"/>
      <c r="I2579" s="27"/>
      <c r="J2579" s="81"/>
    </row>
    <row r="2580">
      <c r="A2580" s="89"/>
      <c r="F2580" s="96"/>
      <c r="H2580" s="27"/>
      <c r="I2580" s="27"/>
      <c r="J2580" s="81"/>
    </row>
    <row r="2581">
      <c r="A2581" s="89"/>
      <c r="F2581" s="96"/>
      <c r="H2581" s="27"/>
      <c r="I2581" s="27"/>
      <c r="J2581" s="81"/>
    </row>
    <row r="2582">
      <c r="A2582" s="89"/>
      <c r="F2582" s="96"/>
      <c r="H2582" s="27"/>
      <c r="I2582" s="27"/>
      <c r="J2582" s="81"/>
    </row>
    <row r="2583">
      <c r="A2583" s="89"/>
      <c r="F2583" s="96"/>
      <c r="H2583" s="27"/>
      <c r="I2583" s="27"/>
      <c r="J2583" s="81"/>
    </row>
    <row r="2584">
      <c r="A2584" s="89"/>
      <c r="F2584" s="96"/>
      <c r="H2584" s="27"/>
      <c r="I2584" s="27"/>
      <c r="J2584" s="81"/>
    </row>
    <row r="2585">
      <c r="A2585" s="89"/>
      <c r="F2585" s="96"/>
      <c r="H2585" s="27"/>
      <c r="I2585" s="27"/>
      <c r="J2585" s="81"/>
    </row>
    <row r="2586">
      <c r="A2586" s="89"/>
      <c r="F2586" s="96"/>
      <c r="H2586" s="27"/>
      <c r="I2586" s="27"/>
      <c r="J2586" s="81"/>
    </row>
    <row r="2587">
      <c r="A2587" s="89"/>
      <c r="F2587" s="96"/>
      <c r="H2587" s="27"/>
      <c r="I2587" s="27"/>
      <c r="J2587" s="81"/>
    </row>
    <row r="2588">
      <c r="A2588" s="89"/>
      <c r="F2588" s="96"/>
      <c r="H2588" s="27"/>
      <c r="I2588" s="27"/>
      <c r="J2588" s="81"/>
    </row>
    <row r="2589">
      <c r="A2589" s="89"/>
      <c r="F2589" s="96"/>
      <c r="H2589" s="27"/>
      <c r="I2589" s="27"/>
      <c r="J2589" s="81"/>
    </row>
    <row r="2590">
      <c r="A2590" s="89"/>
      <c r="F2590" s="96"/>
      <c r="H2590" s="27"/>
      <c r="I2590" s="27"/>
      <c r="J2590" s="81"/>
    </row>
    <row r="2591">
      <c r="A2591" s="89"/>
      <c r="F2591" s="96"/>
      <c r="H2591" s="27"/>
      <c r="I2591" s="27"/>
      <c r="J2591" s="81"/>
    </row>
    <row r="2592">
      <c r="A2592" s="89"/>
      <c r="F2592" s="96"/>
      <c r="H2592" s="27"/>
      <c r="I2592" s="27"/>
      <c r="J2592" s="81"/>
    </row>
    <row r="2593">
      <c r="A2593" s="89"/>
      <c r="F2593" s="96"/>
      <c r="H2593" s="27"/>
      <c r="I2593" s="27"/>
      <c r="J2593" s="81"/>
    </row>
    <row r="2594">
      <c r="A2594" s="89"/>
      <c r="F2594" s="96"/>
      <c r="H2594" s="27"/>
      <c r="I2594" s="27"/>
      <c r="J2594" s="81"/>
    </row>
    <row r="2595">
      <c r="A2595" s="89"/>
      <c r="F2595" s="96"/>
      <c r="H2595" s="27"/>
      <c r="I2595" s="27"/>
      <c r="J2595" s="81"/>
    </row>
    <row r="2596">
      <c r="A2596" s="89"/>
      <c r="F2596" s="96"/>
      <c r="H2596" s="27"/>
      <c r="I2596" s="27"/>
      <c r="J2596" s="81"/>
    </row>
    <row r="2597">
      <c r="A2597" s="89"/>
      <c r="F2597" s="96"/>
      <c r="H2597" s="27"/>
      <c r="I2597" s="27"/>
      <c r="J2597" s="81"/>
    </row>
    <row r="2598">
      <c r="A2598" s="89"/>
      <c r="F2598" s="96"/>
      <c r="H2598" s="27"/>
      <c r="I2598" s="27"/>
      <c r="J2598" s="81"/>
    </row>
    <row r="2599">
      <c r="A2599" s="89"/>
      <c r="F2599" s="96"/>
      <c r="H2599" s="27"/>
      <c r="I2599" s="27"/>
      <c r="J2599" s="81"/>
    </row>
    <row r="2600">
      <c r="A2600" s="89"/>
      <c r="F2600" s="96"/>
      <c r="H2600" s="27"/>
      <c r="I2600" s="27"/>
      <c r="J2600" s="81"/>
    </row>
    <row r="2601">
      <c r="A2601" s="89"/>
      <c r="F2601" s="96"/>
      <c r="H2601" s="27"/>
      <c r="I2601" s="27"/>
      <c r="J2601" s="81"/>
    </row>
    <row r="2602">
      <c r="A2602" s="89"/>
      <c r="F2602" s="96"/>
      <c r="H2602" s="27"/>
      <c r="I2602" s="27"/>
      <c r="J2602" s="81"/>
    </row>
    <row r="2603">
      <c r="A2603" s="89"/>
      <c r="F2603" s="96"/>
      <c r="H2603" s="27"/>
      <c r="I2603" s="27"/>
      <c r="J2603" s="81"/>
    </row>
    <row r="2604">
      <c r="A2604" s="89"/>
      <c r="F2604" s="96"/>
      <c r="H2604" s="27"/>
      <c r="I2604" s="27"/>
      <c r="J2604" s="81"/>
    </row>
    <row r="2605">
      <c r="A2605" s="89"/>
      <c r="F2605" s="96"/>
      <c r="H2605" s="27"/>
      <c r="I2605" s="27"/>
      <c r="J2605" s="81"/>
    </row>
    <row r="2606">
      <c r="A2606" s="89"/>
      <c r="F2606" s="96"/>
      <c r="H2606" s="27"/>
      <c r="I2606" s="27"/>
      <c r="J2606" s="81"/>
    </row>
    <row r="2607">
      <c r="A2607" s="89"/>
      <c r="F2607" s="96"/>
      <c r="H2607" s="27"/>
      <c r="I2607" s="27"/>
      <c r="J2607" s="81"/>
    </row>
    <row r="2608">
      <c r="A2608" s="89"/>
      <c r="F2608" s="96"/>
      <c r="H2608" s="27"/>
      <c r="I2608" s="27"/>
      <c r="J2608" s="81"/>
    </row>
    <row r="2609">
      <c r="A2609" s="89"/>
      <c r="F2609" s="96"/>
      <c r="H2609" s="27"/>
      <c r="I2609" s="27"/>
      <c r="J2609" s="81"/>
    </row>
    <row r="2610">
      <c r="A2610" s="89"/>
      <c r="F2610" s="96"/>
      <c r="H2610" s="27"/>
      <c r="I2610" s="27"/>
      <c r="J2610" s="81"/>
    </row>
    <row r="2611">
      <c r="A2611" s="89"/>
      <c r="F2611" s="96"/>
      <c r="H2611" s="27"/>
      <c r="I2611" s="27"/>
      <c r="J2611" s="81"/>
    </row>
    <row r="2612">
      <c r="A2612" s="89"/>
      <c r="F2612" s="96"/>
      <c r="H2612" s="27"/>
      <c r="I2612" s="27"/>
      <c r="J2612" s="81"/>
    </row>
    <row r="2613">
      <c r="A2613" s="89"/>
      <c r="F2613" s="96"/>
      <c r="H2613" s="27"/>
      <c r="I2613" s="27"/>
      <c r="J2613" s="81"/>
    </row>
    <row r="2614">
      <c r="A2614" s="89"/>
      <c r="F2614" s="96"/>
      <c r="H2614" s="27"/>
      <c r="I2614" s="27"/>
      <c r="J2614" s="81"/>
    </row>
    <row r="2615">
      <c r="A2615" s="89"/>
      <c r="F2615" s="96"/>
      <c r="H2615" s="27"/>
      <c r="I2615" s="27"/>
      <c r="J2615" s="81"/>
    </row>
    <row r="2616">
      <c r="A2616" s="89"/>
      <c r="F2616" s="96"/>
      <c r="H2616" s="27"/>
      <c r="I2616" s="27"/>
      <c r="J2616" s="81"/>
    </row>
    <row r="2617">
      <c r="A2617" s="89"/>
      <c r="F2617" s="96"/>
      <c r="H2617" s="27"/>
      <c r="I2617" s="27"/>
      <c r="J2617" s="81"/>
    </row>
    <row r="2618">
      <c r="A2618" s="89"/>
      <c r="F2618" s="96"/>
      <c r="H2618" s="27"/>
      <c r="I2618" s="27"/>
      <c r="J2618" s="81"/>
    </row>
    <row r="2619">
      <c r="A2619" s="89"/>
      <c r="F2619" s="96"/>
      <c r="H2619" s="27"/>
      <c r="I2619" s="27"/>
      <c r="J2619" s="81"/>
    </row>
    <row r="2620">
      <c r="A2620" s="89"/>
      <c r="F2620" s="96"/>
      <c r="H2620" s="27"/>
      <c r="I2620" s="27"/>
      <c r="J2620" s="81"/>
    </row>
    <row r="2621">
      <c r="A2621" s="89"/>
      <c r="F2621" s="96"/>
      <c r="H2621" s="27"/>
      <c r="I2621" s="27"/>
      <c r="J2621" s="81"/>
    </row>
    <row r="2622">
      <c r="A2622" s="89"/>
      <c r="F2622" s="96"/>
      <c r="H2622" s="27"/>
      <c r="I2622" s="27"/>
      <c r="J2622" s="81"/>
    </row>
    <row r="2623">
      <c r="A2623" s="89"/>
      <c r="F2623" s="96"/>
      <c r="H2623" s="27"/>
      <c r="I2623" s="27"/>
      <c r="J2623" s="81"/>
    </row>
    <row r="2624">
      <c r="A2624" s="89"/>
      <c r="F2624" s="96"/>
      <c r="H2624" s="27"/>
      <c r="I2624" s="27"/>
      <c r="J2624" s="81"/>
    </row>
    <row r="2625">
      <c r="A2625" s="89"/>
      <c r="F2625" s="96"/>
      <c r="H2625" s="27"/>
      <c r="I2625" s="27"/>
      <c r="J2625" s="81"/>
    </row>
    <row r="2626">
      <c r="A2626" s="89"/>
      <c r="F2626" s="96"/>
      <c r="H2626" s="27"/>
      <c r="I2626" s="27"/>
      <c r="J2626" s="81"/>
    </row>
    <row r="2627">
      <c r="A2627" s="89"/>
      <c r="F2627" s="96"/>
      <c r="H2627" s="27"/>
      <c r="I2627" s="27"/>
      <c r="J2627" s="81"/>
    </row>
    <row r="2628">
      <c r="A2628" s="89"/>
      <c r="F2628" s="96"/>
      <c r="H2628" s="27"/>
      <c r="I2628" s="27"/>
      <c r="J2628" s="81"/>
    </row>
    <row r="2629">
      <c r="A2629" s="89"/>
      <c r="F2629" s="96"/>
      <c r="H2629" s="27"/>
      <c r="I2629" s="27"/>
      <c r="J2629" s="81"/>
    </row>
    <row r="2630">
      <c r="A2630" s="89"/>
      <c r="F2630" s="96"/>
      <c r="H2630" s="27"/>
      <c r="I2630" s="27"/>
      <c r="J2630" s="81"/>
    </row>
    <row r="2631">
      <c r="A2631" s="89"/>
      <c r="F2631" s="96"/>
      <c r="H2631" s="27"/>
      <c r="I2631" s="27"/>
      <c r="J2631" s="81"/>
    </row>
    <row r="2632">
      <c r="A2632" s="89"/>
      <c r="F2632" s="96"/>
      <c r="H2632" s="27"/>
      <c r="I2632" s="27"/>
      <c r="J2632" s="81"/>
    </row>
    <row r="2633">
      <c r="A2633" s="89"/>
      <c r="F2633" s="96"/>
      <c r="H2633" s="27"/>
      <c r="I2633" s="27"/>
      <c r="J2633" s="81"/>
    </row>
    <row r="2634">
      <c r="A2634" s="89"/>
      <c r="F2634" s="96"/>
      <c r="H2634" s="27"/>
      <c r="I2634" s="27"/>
      <c r="J2634" s="81"/>
    </row>
    <row r="2635">
      <c r="A2635" s="89"/>
      <c r="F2635" s="96"/>
      <c r="H2635" s="27"/>
      <c r="I2635" s="27"/>
      <c r="J2635" s="81"/>
    </row>
    <row r="2636">
      <c r="A2636" s="89"/>
      <c r="F2636" s="96"/>
      <c r="H2636" s="27"/>
      <c r="I2636" s="27"/>
      <c r="J2636" s="81"/>
    </row>
    <row r="2637">
      <c r="A2637" s="89"/>
      <c r="F2637" s="96"/>
      <c r="H2637" s="27"/>
      <c r="I2637" s="27"/>
      <c r="J2637" s="81"/>
    </row>
    <row r="2638">
      <c r="A2638" s="89"/>
      <c r="F2638" s="96"/>
      <c r="H2638" s="27"/>
      <c r="I2638" s="27"/>
      <c r="J2638" s="81"/>
    </row>
    <row r="2639">
      <c r="A2639" s="89"/>
      <c r="F2639" s="96"/>
      <c r="H2639" s="27"/>
      <c r="I2639" s="27"/>
      <c r="J2639" s="81"/>
    </row>
    <row r="2640">
      <c r="A2640" s="89"/>
      <c r="F2640" s="96"/>
      <c r="H2640" s="27"/>
      <c r="I2640" s="27"/>
      <c r="J2640" s="81"/>
    </row>
    <row r="2641">
      <c r="A2641" s="89"/>
      <c r="F2641" s="96"/>
      <c r="H2641" s="27"/>
      <c r="I2641" s="27"/>
      <c r="J2641" s="81"/>
    </row>
    <row r="2642">
      <c r="A2642" s="89"/>
      <c r="F2642" s="96"/>
      <c r="H2642" s="27"/>
      <c r="I2642" s="27"/>
      <c r="J2642" s="81"/>
    </row>
    <row r="2643">
      <c r="A2643" s="89"/>
      <c r="F2643" s="96"/>
      <c r="H2643" s="27"/>
      <c r="I2643" s="27"/>
      <c r="J2643" s="81"/>
    </row>
    <row r="2644">
      <c r="A2644" s="89"/>
      <c r="F2644" s="96"/>
      <c r="H2644" s="27"/>
      <c r="I2644" s="27"/>
      <c r="J2644" s="81"/>
    </row>
    <row r="2645">
      <c r="A2645" s="89"/>
      <c r="F2645" s="96"/>
      <c r="H2645" s="27"/>
      <c r="I2645" s="27"/>
      <c r="J2645" s="81"/>
    </row>
    <row r="2646">
      <c r="A2646" s="89"/>
      <c r="F2646" s="96"/>
      <c r="H2646" s="27"/>
      <c r="I2646" s="27"/>
      <c r="J2646" s="81"/>
    </row>
    <row r="2647">
      <c r="A2647" s="89"/>
      <c r="F2647" s="96"/>
      <c r="H2647" s="27"/>
      <c r="I2647" s="27"/>
      <c r="J2647" s="81"/>
    </row>
    <row r="2648">
      <c r="A2648" s="89"/>
      <c r="F2648" s="96"/>
      <c r="H2648" s="27"/>
      <c r="I2648" s="27"/>
      <c r="J2648" s="81"/>
    </row>
    <row r="2649">
      <c r="A2649" s="89"/>
      <c r="F2649" s="96"/>
      <c r="H2649" s="27"/>
      <c r="I2649" s="27"/>
      <c r="J2649" s="81"/>
    </row>
    <row r="2650">
      <c r="A2650" s="89"/>
      <c r="F2650" s="96"/>
      <c r="H2650" s="27"/>
      <c r="I2650" s="27"/>
      <c r="J2650" s="81"/>
    </row>
    <row r="2651">
      <c r="A2651" s="89"/>
      <c r="F2651" s="96"/>
      <c r="H2651" s="27"/>
      <c r="I2651" s="27"/>
      <c r="J2651" s="81"/>
    </row>
    <row r="2652">
      <c r="A2652" s="89"/>
      <c r="F2652" s="96"/>
      <c r="H2652" s="27"/>
      <c r="I2652" s="27"/>
      <c r="J2652" s="81"/>
    </row>
    <row r="2653">
      <c r="A2653" s="89"/>
      <c r="F2653" s="96"/>
      <c r="H2653" s="27"/>
      <c r="I2653" s="27"/>
      <c r="J2653" s="81"/>
    </row>
    <row r="2654">
      <c r="A2654" s="89"/>
      <c r="F2654" s="96"/>
      <c r="H2654" s="27"/>
      <c r="I2654" s="27"/>
      <c r="J2654" s="81"/>
    </row>
    <row r="2655">
      <c r="A2655" s="89"/>
      <c r="F2655" s="96"/>
      <c r="H2655" s="27"/>
      <c r="I2655" s="27"/>
      <c r="J2655" s="81"/>
    </row>
    <row r="2656">
      <c r="A2656" s="89"/>
      <c r="F2656" s="96"/>
      <c r="H2656" s="27"/>
      <c r="I2656" s="27"/>
      <c r="J2656" s="81"/>
    </row>
    <row r="2657">
      <c r="A2657" s="89"/>
      <c r="F2657" s="96"/>
      <c r="H2657" s="27"/>
      <c r="I2657" s="27"/>
      <c r="J2657" s="81"/>
    </row>
    <row r="2658">
      <c r="A2658" s="89"/>
      <c r="F2658" s="96"/>
      <c r="H2658" s="27"/>
      <c r="I2658" s="27"/>
      <c r="J2658" s="81"/>
    </row>
    <row r="2659">
      <c r="A2659" s="89"/>
      <c r="F2659" s="96"/>
      <c r="H2659" s="27"/>
      <c r="I2659" s="27"/>
      <c r="J2659" s="81"/>
    </row>
    <row r="2660">
      <c r="A2660" s="89"/>
      <c r="F2660" s="96"/>
      <c r="H2660" s="27"/>
      <c r="I2660" s="27"/>
      <c r="J2660" s="81"/>
    </row>
    <row r="2661">
      <c r="A2661" s="89"/>
      <c r="F2661" s="96"/>
      <c r="H2661" s="27"/>
      <c r="I2661" s="27"/>
      <c r="J2661" s="81"/>
    </row>
    <row r="2662">
      <c r="A2662" s="89"/>
      <c r="F2662" s="96"/>
      <c r="H2662" s="27"/>
      <c r="I2662" s="27"/>
      <c r="J2662" s="81"/>
    </row>
    <row r="2663">
      <c r="A2663" s="89"/>
      <c r="F2663" s="96"/>
      <c r="H2663" s="27"/>
      <c r="I2663" s="27"/>
      <c r="J2663" s="81"/>
    </row>
    <row r="2664">
      <c r="A2664" s="89"/>
      <c r="F2664" s="96"/>
      <c r="H2664" s="27"/>
      <c r="I2664" s="27"/>
      <c r="J2664" s="81"/>
    </row>
    <row r="2665">
      <c r="A2665" s="89"/>
      <c r="F2665" s="96"/>
      <c r="H2665" s="27"/>
      <c r="I2665" s="27"/>
      <c r="J2665" s="81"/>
    </row>
    <row r="2666">
      <c r="A2666" s="89"/>
      <c r="F2666" s="96"/>
      <c r="H2666" s="27"/>
      <c r="I2666" s="27"/>
      <c r="J2666" s="81"/>
    </row>
    <row r="2667">
      <c r="A2667" s="89"/>
      <c r="F2667" s="96"/>
      <c r="H2667" s="27"/>
      <c r="I2667" s="27"/>
      <c r="J2667" s="81"/>
    </row>
    <row r="2668">
      <c r="A2668" s="89"/>
      <c r="F2668" s="96"/>
      <c r="H2668" s="27"/>
      <c r="I2668" s="27"/>
      <c r="J2668" s="81"/>
    </row>
    <row r="2669">
      <c r="A2669" s="89"/>
      <c r="F2669" s="96"/>
      <c r="H2669" s="27"/>
      <c r="I2669" s="27"/>
      <c r="J2669" s="81"/>
    </row>
    <row r="2670">
      <c r="A2670" s="89"/>
      <c r="F2670" s="96"/>
      <c r="H2670" s="27"/>
      <c r="I2670" s="27"/>
      <c r="J2670" s="81"/>
    </row>
    <row r="2671">
      <c r="A2671" s="89"/>
      <c r="F2671" s="96"/>
      <c r="H2671" s="27"/>
      <c r="I2671" s="27"/>
      <c r="J2671" s="81"/>
    </row>
    <row r="2672">
      <c r="A2672" s="89"/>
      <c r="F2672" s="96"/>
      <c r="H2672" s="27"/>
      <c r="I2672" s="27"/>
      <c r="J2672" s="81"/>
    </row>
    <row r="2673">
      <c r="A2673" s="89"/>
      <c r="F2673" s="96"/>
      <c r="H2673" s="27"/>
      <c r="I2673" s="27"/>
      <c r="J2673" s="81"/>
    </row>
    <row r="2674">
      <c r="A2674" s="89"/>
      <c r="F2674" s="96"/>
      <c r="H2674" s="27"/>
      <c r="I2674" s="27"/>
      <c r="J2674" s="81"/>
    </row>
    <row r="2675">
      <c r="A2675" s="89"/>
      <c r="F2675" s="96"/>
      <c r="H2675" s="27"/>
      <c r="I2675" s="27"/>
      <c r="J2675" s="81"/>
    </row>
    <row r="2676">
      <c r="A2676" s="89"/>
      <c r="F2676" s="96"/>
      <c r="H2676" s="27"/>
      <c r="I2676" s="27"/>
      <c r="J2676" s="81"/>
    </row>
    <row r="2677">
      <c r="A2677" s="89"/>
      <c r="F2677" s="96"/>
      <c r="H2677" s="27"/>
      <c r="I2677" s="27"/>
      <c r="J2677" s="81"/>
    </row>
    <row r="2678">
      <c r="A2678" s="89"/>
      <c r="F2678" s="96"/>
      <c r="H2678" s="27"/>
      <c r="I2678" s="27"/>
      <c r="J2678" s="81"/>
    </row>
    <row r="2679">
      <c r="A2679" s="89"/>
      <c r="F2679" s="96"/>
      <c r="H2679" s="27"/>
      <c r="I2679" s="27"/>
      <c r="J2679" s="81"/>
    </row>
    <row r="2680">
      <c r="A2680" s="89"/>
      <c r="F2680" s="96"/>
      <c r="H2680" s="27"/>
      <c r="I2680" s="27"/>
      <c r="J2680" s="81"/>
    </row>
    <row r="2681">
      <c r="A2681" s="89"/>
      <c r="F2681" s="96"/>
      <c r="H2681" s="27"/>
      <c r="I2681" s="27"/>
      <c r="J2681" s="81"/>
    </row>
    <row r="2682">
      <c r="A2682" s="89"/>
      <c r="F2682" s="96"/>
      <c r="H2682" s="27"/>
      <c r="I2682" s="27"/>
      <c r="J2682" s="81"/>
    </row>
    <row r="2683">
      <c r="A2683" s="89"/>
      <c r="F2683" s="96"/>
      <c r="H2683" s="27"/>
      <c r="I2683" s="27"/>
      <c r="J2683" s="81"/>
    </row>
    <row r="2684">
      <c r="A2684" s="89"/>
      <c r="F2684" s="96"/>
      <c r="H2684" s="27"/>
      <c r="I2684" s="27"/>
      <c r="J2684" s="81"/>
    </row>
    <row r="2685">
      <c r="A2685" s="89"/>
      <c r="F2685" s="96"/>
      <c r="H2685" s="27"/>
      <c r="I2685" s="27"/>
      <c r="J2685" s="81"/>
    </row>
    <row r="2686">
      <c r="A2686" s="89"/>
      <c r="F2686" s="96"/>
      <c r="H2686" s="27"/>
      <c r="I2686" s="27"/>
      <c r="J2686" s="81"/>
    </row>
    <row r="2687">
      <c r="A2687" s="89"/>
      <c r="F2687" s="96"/>
      <c r="H2687" s="27"/>
      <c r="I2687" s="27"/>
      <c r="J2687" s="81"/>
    </row>
    <row r="2688">
      <c r="A2688" s="89"/>
      <c r="F2688" s="96"/>
      <c r="H2688" s="27"/>
      <c r="I2688" s="27"/>
      <c r="J2688" s="81"/>
    </row>
    <row r="2689">
      <c r="A2689" s="89"/>
      <c r="F2689" s="96"/>
      <c r="H2689" s="27"/>
      <c r="I2689" s="27"/>
      <c r="J2689" s="81"/>
    </row>
    <row r="2690">
      <c r="A2690" s="89"/>
      <c r="F2690" s="96"/>
      <c r="H2690" s="27"/>
      <c r="I2690" s="27"/>
      <c r="J2690" s="81"/>
    </row>
    <row r="2691">
      <c r="A2691" s="89"/>
      <c r="F2691" s="96"/>
      <c r="H2691" s="27"/>
      <c r="I2691" s="27"/>
      <c r="J2691" s="81"/>
    </row>
    <row r="2692">
      <c r="A2692" s="89"/>
      <c r="F2692" s="96"/>
      <c r="H2692" s="27"/>
      <c r="I2692" s="27"/>
      <c r="J2692" s="81"/>
    </row>
    <row r="2693">
      <c r="A2693" s="89"/>
      <c r="F2693" s="96"/>
      <c r="H2693" s="27"/>
      <c r="I2693" s="27"/>
      <c r="J2693" s="81"/>
    </row>
    <row r="2694">
      <c r="A2694" s="89"/>
      <c r="F2694" s="96"/>
      <c r="H2694" s="27"/>
      <c r="I2694" s="27"/>
      <c r="J2694" s="81"/>
    </row>
    <row r="2695">
      <c r="A2695" s="89"/>
      <c r="F2695" s="96"/>
      <c r="H2695" s="27"/>
      <c r="I2695" s="27"/>
      <c r="J2695" s="81"/>
    </row>
    <row r="2696">
      <c r="A2696" s="89"/>
      <c r="F2696" s="96"/>
      <c r="H2696" s="27"/>
      <c r="I2696" s="27"/>
      <c r="J2696" s="81"/>
    </row>
    <row r="2697">
      <c r="A2697" s="89"/>
      <c r="F2697" s="96"/>
      <c r="H2697" s="27"/>
      <c r="I2697" s="27"/>
      <c r="J2697" s="81"/>
    </row>
    <row r="2698">
      <c r="A2698" s="89"/>
      <c r="F2698" s="96"/>
      <c r="H2698" s="27"/>
      <c r="I2698" s="27"/>
      <c r="J2698" s="81"/>
    </row>
    <row r="2699">
      <c r="A2699" s="89"/>
      <c r="F2699" s="96"/>
      <c r="H2699" s="27"/>
      <c r="I2699" s="27"/>
      <c r="J2699" s="81"/>
    </row>
    <row r="2700">
      <c r="A2700" s="89"/>
      <c r="F2700" s="96"/>
      <c r="H2700" s="27"/>
      <c r="I2700" s="27"/>
      <c r="J2700" s="81"/>
    </row>
    <row r="2701">
      <c r="A2701" s="89"/>
      <c r="F2701" s="96"/>
      <c r="H2701" s="27"/>
      <c r="I2701" s="27"/>
      <c r="J2701" s="81"/>
    </row>
    <row r="2702">
      <c r="A2702" s="89"/>
      <c r="F2702" s="96"/>
      <c r="H2702" s="27"/>
      <c r="I2702" s="27"/>
      <c r="J2702" s="81"/>
    </row>
    <row r="2703">
      <c r="A2703" s="89"/>
      <c r="F2703" s="96"/>
      <c r="H2703" s="27"/>
      <c r="I2703" s="27"/>
      <c r="J2703" s="81"/>
    </row>
    <row r="2704">
      <c r="A2704" s="89"/>
      <c r="F2704" s="96"/>
      <c r="H2704" s="27"/>
      <c r="I2704" s="27"/>
      <c r="J2704" s="81"/>
    </row>
    <row r="2705">
      <c r="A2705" s="89"/>
      <c r="F2705" s="96"/>
      <c r="H2705" s="27"/>
      <c r="I2705" s="27"/>
      <c r="J2705" s="81"/>
    </row>
    <row r="2706">
      <c r="A2706" s="89"/>
      <c r="F2706" s="96"/>
      <c r="H2706" s="27"/>
      <c r="I2706" s="27"/>
      <c r="J2706" s="81"/>
    </row>
    <row r="2707">
      <c r="A2707" s="89"/>
      <c r="F2707" s="96"/>
      <c r="H2707" s="27"/>
      <c r="I2707" s="27"/>
      <c r="J2707" s="81"/>
    </row>
    <row r="2708">
      <c r="A2708" s="89"/>
      <c r="F2708" s="96"/>
      <c r="H2708" s="27"/>
      <c r="I2708" s="27"/>
      <c r="J2708" s="81"/>
    </row>
    <row r="2709">
      <c r="A2709" s="89"/>
      <c r="F2709" s="96"/>
      <c r="H2709" s="27"/>
      <c r="I2709" s="27"/>
      <c r="J2709" s="81"/>
    </row>
    <row r="2710">
      <c r="A2710" s="89"/>
      <c r="F2710" s="96"/>
      <c r="H2710" s="27"/>
      <c r="I2710" s="27"/>
      <c r="J2710" s="81"/>
    </row>
    <row r="2711">
      <c r="A2711" s="89"/>
      <c r="F2711" s="96"/>
      <c r="H2711" s="27"/>
      <c r="I2711" s="27"/>
      <c r="J2711" s="81"/>
    </row>
    <row r="2712">
      <c r="A2712" s="89"/>
      <c r="F2712" s="96"/>
      <c r="H2712" s="27"/>
      <c r="I2712" s="27"/>
      <c r="J2712" s="81"/>
    </row>
    <row r="2713">
      <c r="A2713" s="89"/>
      <c r="F2713" s="96"/>
      <c r="H2713" s="27"/>
      <c r="I2713" s="27"/>
      <c r="J2713" s="81"/>
    </row>
    <row r="2714">
      <c r="A2714" s="89"/>
      <c r="F2714" s="96"/>
      <c r="H2714" s="27"/>
      <c r="I2714" s="27"/>
      <c r="J2714" s="81"/>
    </row>
    <row r="2715">
      <c r="A2715" s="89"/>
      <c r="F2715" s="96"/>
      <c r="H2715" s="27"/>
      <c r="I2715" s="27"/>
      <c r="J2715" s="81"/>
    </row>
    <row r="2716">
      <c r="A2716" s="89"/>
      <c r="F2716" s="96"/>
      <c r="H2716" s="27"/>
      <c r="I2716" s="27"/>
      <c r="J2716" s="81"/>
    </row>
    <row r="2717">
      <c r="A2717" s="89"/>
      <c r="F2717" s="96"/>
      <c r="H2717" s="27"/>
      <c r="I2717" s="27"/>
      <c r="J2717" s="81"/>
    </row>
    <row r="2718">
      <c r="A2718" s="89"/>
      <c r="F2718" s="96"/>
      <c r="H2718" s="27"/>
      <c r="I2718" s="27"/>
      <c r="J2718" s="81"/>
    </row>
    <row r="2719">
      <c r="A2719" s="89"/>
      <c r="F2719" s="96"/>
      <c r="H2719" s="27"/>
      <c r="I2719" s="27"/>
      <c r="J2719" s="81"/>
    </row>
    <row r="2720">
      <c r="A2720" s="89"/>
      <c r="F2720" s="96"/>
      <c r="H2720" s="27"/>
      <c r="I2720" s="27"/>
      <c r="J2720" s="81"/>
    </row>
    <row r="2721">
      <c r="A2721" s="89"/>
      <c r="F2721" s="96"/>
      <c r="H2721" s="27"/>
      <c r="I2721" s="27"/>
      <c r="J2721" s="81"/>
    </row>
    <row r="2722">
      <c r="A2722" s="89"/>
      <c r="F2722" s="96"/>
      <c r="H2722" s="27"/>
      <c r="I2722" s="27"/>
      <c r="J2722" s="81"/>
    </row>
    <row r="2723">
      <c r="A2723" s="89"/>
      <c r="F2723" s="96"/>
      <c r="H2723" s="27"/>
      <c r="I2723" s="27"/>
      <c r="J2723" s="81"/>
    </row>
    <row r="2724">
      <c r="A2724" s="89"/>
      <c r="F2724" s="96"/>
      <c r="H2724" s="27"/>
      <c r="I2724" s="27"/>
      <c r="J2724" s="81"/>
    </row>
    <row r="2725">
      <c r="A2725" s="89"/>
      <c r="F2725" s="96"/>
      <c r="H2725" s="27"/>
      <c r="I2725" s="27"/>
      <c r="J2725" s="81"/>
    </row>
    <row r="2726">
      <c r="A2726" s="89"/>
      <c r="F2726" s="96"/>
      <c r="H2726" s="27"/>
      <c r="I2726" s="27"/>
      <c r="J2726" s="81"/>
    </row>
    <row r="2727">
      <c r="A2727" s="89"/>
      <c r="F2727" s="96"/>
      <c r="H2727" s="27"/>
      <c r="I2727" s="27"/>
      <c r="J2727" s="81"/>
    </row>
    <row r="2728">
      <c r="A2728" s="89"/>
      <c r="F2728" s="96"/>
      <c r="H2728" s="27"/>
      <c r="I2728" s="27"/>
      <c r="J2728" s="81"/>
    </row>
    <row r="2729">
      <c r="A2729" s="89"/>
      <c r="F2729" s="96"/>
      <c r="H2729" s="27"/>
      <c r="I2729" s="27"/>
      <c r="J2729" s="81"/>
    </row>
    <row r="2730">
      <c r="A2730" s="89"/>
      <c r="F2730" s="96"/>
      <c r="H2730" s="27"/>
      <c r="I2730" s="27"/>
      <c r="J2730" s="81"/>
    </row>
    <row r="2731">
      <c r="A2731" s="89"/>
      <c r="F2731" s="96"/>
      <c r="H2731" s="27"/>
      <c r="I2731" s="27"/>
      <c r="J2731" s="81"/>
    </row>
    <row r="2732">
      <c r="A2732" s="89"/>
      <c r="F2732" s="96"/>
      <c r="H2732" s="27"/>
      <c r="I2732" s="27"/>
      <c r="J2732" s="81"/>
    </row>
    <row r="2733">
      <c r="A2733" s="89"/>
      <c r="F2733" s="96"/>
      <c r="H2733" s="27"/>
      <c r="I2733" s="27"/>
      <c r="J2733" s="81"/>
    </row>
    <row r="2734">
      <c r="A2734" s="89"/>
      <c r="F2734" s="96"/>
      <c r="H2734" s="27"/>
      <c r="I2734" s="27"/>
      <c r="J2734" s="81"/>
    </row>
    <row r="2735">
      <c r="A2735" s="89"/>
      <c r="F2735" s="96"/>
      <c r="H2735" s="27"/>
      <c r="I2735" s="27"/>
      <c r="J2735" s="81"/>
    </row>
    <row r="2736">
      <c r="A2736" s="89"/>
      <c r="F2736" s="96"/>
      <c r="H2736" s="27"/>
      <c r="I2736" s="27"/>
      <c r="J2736" s="81"/>
    </row>
    <row r="2737">
      <c r="A2737" s="89"/>
      <c r="F2737" s="96"/>
      <c r="H2737" s="27"/>
      <c r="I2737" s="27"/>
      <c r="J2737" s="81"/>
    </row>
    <row r="2738">
      <c r="A2738" s="89"/>
      <c r="F2738" s="96"/>
      <c r="H2738" s="27"/>
      <c r="I2738" s="27"/>
      <c r="J2738" s="81"/>
    </row>
    <row r="2739">
      <c r="A2739" s="89"/>
      <c r="F2739" s="96"/>
      <c r="H2739" s="27"/>
      <c r="I2739" s="27"/>
      <c r="J2739" s="81"/>
    </row>
    <row r="2740">
      <c r="A2740" s="89"/>
      <c r="F2740" s="96"/>
      <c r="H2740" s="27"/>
      <c r="I2740" s="27"/>
      <c r="J2740" s="81"/>
    </row>
    <row r="2741">
      <c r="A2741" s="89"/>
      <c r="F2741" s="96"/>
      <c r="H2741" s="27"/>
      <c r="I2741" s="27"/>
      <c r="J2741" s="81"/>
    </row>
    <row r="2742">
      <c r="A2742" s="89"/>
      <c r="F2742" s="96"/>
      <c r="H2742" s="27"/>
      <c r="I2742" s="27"/>
      <c r="J2742" s="81"/>
    </row>
    <row r="2743">
      <c r="A2743" s="89"/>
      <c r="F2743" s="96"/>
      <c r="H2743" s="27"/>
      <c r="I2743" s="27"/>
      <c r="J2743" s="81"/>
    </row>
    <row r="2744">
      <c r="A2744" s="89"/>
      <c r="F2744" s="96"/>
      <c r="H2744" s="27"/>
      <c r="I2744" s="27"/>
      <c r="J2744" s="81"/>
    </row>
    <row r="2745">
      <c r="A2745" s="89"/>
      <c r="F2745" s="96"/>
      <c r="H2745" s="27"/>
      <c r="I2745" s="27"/>
      <c r="J2745" s="81"/>
    </row>
    <row r="2746">
      <c r="A2746" s="89"/>
      <c r="F2746" s="96"/>
      <c r="H2746" s="27"/>
      <c r="I2746" s="27"/>
      <c r="J2746" s="81"/>
    </row>
    <row r="2747">
      <c r="A2747" s="89"/>
      <c r="F2747" s="96"/>
      <c r="H2747" s="27"/>
      <c r="I2747" s="27"/>
      <c r="J2747" s="81"/>
    </row>
    <row r="2748">
      <c r="A2748" s="89"/>
      <c r="F2748" s="96"/>
      <c r="H2748" s="27"/>
      <c r="I2748" s="27"/>
      <c r="J2748" s="81"/>
    </row>
    <row r="2749">
      <c r="A2749" s="89"/>
      <c r="F2749" s="96"/>
      <c r="H2749" s="27"/>
      <c r="I2749" s="27"/>
      <c r="J2749" s="81"/>
    </row>
    <row r="2750">
      <c r="A2750" s="89"/>
      <c r="F2750" s="96"/>
      <c r="H2750" s="27"/>
      <c r="I2750" s="27"/>
      <c r="J2750" s="81"/>
    </row>
    <row r="2751">
      <c r="A2751" s="89"/>
      <c r="F2751" s="96"/>
      <c r="H2751" s="27"/>
      <c r="I2751" s="27"/>
      <c r="J2751" s="81"/>
    </row>
    <row r="2752">
      <c r="A2752" s="89"/>
      <c r="F2752" s="96"/>
      <c r="H2752" s="27"/>
      <c r="I2752" s="27"/>
      <c r="J2752" s="81"/>
    </row>
    <row r="2753">
      <c r="A2753" s="89"/>
      <c r="F2753" s="96"/>
      <c r="H2753" s="27"/>
      <c r="I2753" s="27"/>
      <c r="J2753" s="81"/>
    </row>
    <row r="2754">
      <c r="A2754" s="89"/>
      <c r="F2754" s="96"/>
      <c r="H2754" s="27"/>
      <c r="I2754" s="27"/>
      <c r="J2754" s="81"/>
    </row>
    <row r="2755">
      <c r="A2755" s="89"/>
      <c r="F2755" s="96"/>
      <c r="H2755" s="27"/>
      <c r="I2755" s="27"/>
      <c r="J2755" s="81"/>
    </row>
    <row r="2756">
      <c r="A2756" s="89"/>
      <c r="F2756" s="96"/>
      <c r="H2756" s="27"/>
      <c r="I2756" s="27"/>
      <c r="J2756" s="81"/>
    </row>
    <row r="2757">
      <c r="A2757" s="89"/>
      <c r="F2757" s="96"/>
      <c r="H2757" s="27"/>
      <c r="I2757" s="27"/>
      <c r="J2757" s="81"/>
    </row>
    <row r="2758">
      <c r="A2758" s="89"/>
      <c r="F2758" s="96"/>
      <c r="H2758" s="27"/>
      <c r="I2758" s="27"/>
      <c r="J2758" s="81"/>
    </row>
    <row r="2759">
      <c r="A2759" s="89"/>
      <c r="F2759" s="96"/>
      <c r="H2759" s="27"/>
      <c r="I2759" s="27"/>
      <c r="J2759" s="81"/>
    </row>
    <row r="2760">
      <c r="A2760" s="89"/>
      <c r="F2760" s="96"/>
      <c r="H2760" s="27"/>
      <c r="I2760" s="27"/>
      <c r="J2760" s="81"/>
    </row>
    <row r="2761">
      <c r="A2761" s="89"/>
      <c r="F2761" s="96"/>
      <c r="H2761" s="27"/>
      <c r="I2761" s="27"/>
      <c r="J2761" s="81"/>
    </row>
    <row r="2762">
      <c r="A2762" s="89"/>
      <c r="F2762" s="96"/>
      <c r="H2762" s="27"/>
      <c r="I2762" s="27"/>
      <c r="J2762" s="81"/>
    </row>
    <row r="2763">
      <c r="A2763" s="89"/>
      <c r="F2763" s="96"/>
      <c r="H2763" s="27"/>
      <c r="I2763" s="27"/>
      <c r="J2763" s="81"/>
    </row>
    <row r="2764">
      <c r="A2764" s="89"/>
      <c r="F2764" s="96"/>
      <c r="H2764" s="27"/>
      <c r="I2764" s="27"/>
      <c r="J2764" s="81"/>
    </row>
    <row r="2765">
      <c r="A2765" s="89"/>
      <c r="F2765" s="96"/>
      <c r="H2765" s="27"/>
      <c r="I2765" s="27"/>
      <c r="J2765" s="81"/>
    </row>
    <row r="2766">
      <c r="A2766" s="89"/>
      <c r="F2766" s="96"/>
      <c r="H2766" s="27"/>
      <c r="I2766" s="27"/>
      <c r="J2766" s="81"/>
    </row>
    <row r="2767">
      <c r="A2767" s="89"/>
      <c r="F2767" s="96"/>
      <c r="H2767" s="27"/>
      <c r="I2767" s="27"/>
      <c r="J2767" s="81"/>
    </row>
    <row r="2768">
      <c r="A2768" s="89"/>
      <c r="F2768" s="96"/>
      <c r="H2768" s="27"/>
      <c r="I2768" s="27"/>
      <c r="J2768" s="81"/>
    </row>
    <row r="2769">
      <c r="A2769" s="89"/>
      <c r="F2769" s="96"/>
      <c r="H2769" s="27"/>
      <c r="I2769" s="27"/>
      <c r="J2769" s="81"/>
    </row>
    <row r="2770">
      <c r="A2770" s="89"/>
      <c r="F2770" s="96"/>
      <c r="H2770" s="27"/>
      <c r="I2770" s="27"/>
      <c r="J2770" s="81"/>
    </row>
    <row r="2771">
      <c r="A2771" s="89"/>
      <c r="F2771" s="96"/>
      <c r="H2771" s="27"/>
      <c r="I2771" s="27"/>
      <c r="J2771" s="81"/>
    </row>
    <row r="2772">
      <c r="A2772" s="89"/>
      <c r="F2772" s="96"/>
      <c r="H2772" s="27"/>
      <c r="I2772" s="27"/>
      <c r="J2772" s="81"/>
    </row>
    <row r="2773">
      <c r="A2773" s="89"/>
      <c r="F2773" s="96"/>
      <c r="H2773" s="27"/>
      <c r="I2773" s="27"/>
      <c r="J2773" s="81"/>
    </row>
    <row r="2774">
      <c r="A2774" s="89"/>
      <c r="F2774" s="96"/>
      <c r="H2774" s="27"/>
      <c r="I2774" s="27"/>
      <c r="J2774" s="81"/>
    </row>
    <row r="2775">
      <c r="A2775" s="89"/>
      <c r="F2775" s="96"/>
      <c r="H2775" s="27"/>
      <c r="I2775" s="27"/>
      <c r="J2775" s="81"/>
    </row>
    <row r="2776">
      <c r="A2776" s="89"/>
      <c r="F2776" s="96"/>
      <c r="H2776" s="27"/>
      <c r="I2776" s="27"/>
      <c r="J2776" s="81"/>
    </row>
    <row r="2777">
      <c r="A2777" s="89"/>
      <c r="F2777" s="96"/>
      <c r="H2777" s="27"/>
      <c r="I2777" s="27"/>
      <c r="J2777" s="81"/>
    </row>
    <row r="2778">
      <c r="A2778" s="89"/>
      <c r="F2778" s="96"/>
      <c r="H2778" s="27"/>
      <c r="I2778" s="27"/>
      <c r="J2778" s="81"/>
    </row>
    <row r="2779">
      <c r="A2779" s="89"/>
      <c r="F2779" s="96"/>
      <c r="H2779" s="27"/>
      <c r="I2779" s="27"/>
      <c r="J2779" s="81"/>
    </row>
    <row r="2780">
      <c r="A2780" s="89"/>
      <c r="F2780" s="96"/>
      <c r="H2780" s="27"/>
      <c r="I2780" s="27"/>
      <c r="J2780" s="81"/>
    </row>
    <row r="2781">
      <c r="A2781" s="89"/>
      <c r="F2781" s="96"/>
      <c r="H2781" s="27"/>
      <c r="I2781" s="27"/>
      <c r="J2781" s="81"/>
    </row>
    <row r="2782">
      <c r="A2782" s="89"/>
      <c r="F2782" s="96"/>
      <c r="H2782" s="27"/>
      <c r="I2782" s="27"/>
      <c r="J2782" s="81"/>
    </row>
    <row r="2783">
      <c r="A2783" s="89"/>
      <c r="F2783" s="96"/>
      <c r="H2783" s="27"/>
      <c r="I2783" s="27"/>
      <c r="J2783" s="81"/>
    </row>
    <row r="2784">
      <c r="A2784" s="89"/>
      <c r="F2784" s="96"/>
      <c r="H2784" s="27"/>
      <c r="I2784" s="27"/>
      <c r="J2784" s="81"/>
    </row>
    <row r="2785">
      <c r="A2785" s="89"/>
      <c r="F2785" s="96"/>
      <c r="H2785" s="27"/>
      <c r="I2785" s="27"/>
      <c r="J2785" s="81"/>
    </row>
    <row r="2786">
      <c r="A2786" s="89"/>
      <c r="F2786" s="96"/>
      <c r="H2786" s="27"/>
      <c r="I2786" s="27"/>
      <c r="J2786" s="81"/>
    </row>
    <row r="2787">
      <c r="A2787" s="89"/>
      <c r="F2787" s="96"/>
      <c r="H2787" s="27"/>
      <c r="I2787" s="27"/>
      <c r="J2787" s="81"/>
    </row>
    <row r="2788">
      <c r="A2788" s="89"/>
      <c r="F2788" s="96"/>
      <c r="H2788" s="27"/>
      <c r="I2788" s="27"/>
      <c r="J2788" s="81"/>
    </row>
    <row r="2789">
      <c r="A2789" s="89"/>
      <c r="F2789" s="96"/>
      <c r="H2789" s="27"/>
      <c r="I2789" s="27"/>
      <c r="J2789" s="81"/>
    </row>
    <row r="2790">
      <c r="A2790" s="89"/>
      <c r="F2790" s="96"/>
      <c r="H2790" s="27"/>
      <c r="I2790" s="27"/>
      <c r="J2790" s="81"/>
    </row>
    <row r="2791">
      <c r="A2791" s="89"/>
      <c r="F2791" s="96"/>
      <c r="H2791" s="27"/>
      <c r="I2791" s="27"/>
      <c r="J2791" s="81"/>
    </row>
    <row r="2792">
      <c r="A2792" s="89"/>
      <c r="F2792" s="96"/>
      <c r="H2792" s="27"/>
      <c r="I2792" s="27"/>
      <c r="J2792" s="81"/>
    </row>
    <row r="2793">
      <c r="A2793" s="89"/>
      <c r="F2793" s="96"/>
      <c r="H2793" s="27"/>
      <c r="I2793" s="27"/>
      <c r="J2793" s="81"/>
    </row>
    <row r="2794">
      <c r="A2794" s="89"/>
      <c r="F2794" s="96"/>
      <c r="H2794" s="27"/>
      <c r="I2794" s="27"/>
      <c r="J2794" s="81"/>
    </row>
    <row r="2795">
      <c r="A2795" s="89"/>
      <c r="F2795" s="96"/>
      <c r="H2795" s="27"/>
      <c r="I2795" s="27"/>
      <c r="J2795" s="81"/>
    </row>
    <row r="2796">
      <c r="A2796" s="89"/>
      <c r="F2796" s="96"/>
      <c r="H2796" s="27"/>
      <c r="I2796" s="27"/>
      <c r="J2796" s="81"/>
    </row>
    <row r="2797">
      <c r="A2797" s="89"/>
      <c r="F2797" s="96"/>
      <c r="H2797" s="27"/>
      <c r="I2797" s="27"/>
      <c r="J2797" s="81"/>
    </row>
    <row r="2798">
      <c r="A2798" s="89"/>
      <c r="F2798" s="96"/>
      <c r="H2798" s="27"/>
      <c r="I2798" s="27"/>
      <c r="J2798" s="81"/>
    </row>
    <row r="2799">
      <c r="A2799" s="89"/>
      <c r="F2799" s="96"/>
      <c r="H2799" s="27"/>
      <c r="I2799" s="27"/>
      <c r="J2799" s="81"/>
    </row>
    <row r="2800">
      <c r="A2800" s="89"/>
      <c r="F2800" s="96"/>
      <c r="H2800" s="27"/>
      <c r="I2800" s="27"/>
      <c r="J2800" s="81"/>
    </row>
    <row r="2801">
      <c r="A2801" s="89"/>
      <c r="F2801" s="96"/>
      <c r="H2801" s="27"/>
      <c r="I2801" s="27"/>
      <c r="J2801" s="81"/>
    </row>
    <row r="2802">
      <c r="A2802" s="89"/>
      <c r="F2802" s="96"/>
      <c r="H2802" s="27"/>
      <c r="I2802" s="27"/>
      <c r="J2802" s="81"/>
    </row>
    <row r="2803">
      <c r="A2803" s="89"/>
      <c r="F2803" s="96"/>
      <c r="H2803" s="27"/>
      <c r="I2803" s="27"/>
      <c r="J2803" s="81"/>
    </row>
    <row r="2804">
      <c r="A2804" s="89"/>
      <c r="F2804" s="96"/>
      <c r="H2804" s="27"/>
      <c r="I2804" s="27"/>
      <c r="J2804" s="81"/>
    </row>
    <row r="2805">
      <c r="A2805" s="89"/>
      <c r="F2805" s="96"/>
      <c r="H2805" s="27"/>
      <c r="I2805" s="27"/>
      <c r="J2805" s="81"/>
    </row>
    <row r="2806">
      <c r="A2806" s="89"/>
      <c r="F2806" s="96"/>
      <c r="H2806" s="27"/>
      <c r="I2806" s="27"/>
      <c r="J2806" s="81"/>
    </row>
    <row r="2807">
      <c r="A2807" s="89"/>
      <c r="F2807" s="96"/>
      <c r="H2807" s="27"/>
      <c r="I2807" s="27"/>
      <c r="J2807" s="81"/>
    </row>
    <row r="2808">
      <c r="A2808" s="89"/>
      <c r="F2808" s="96"/>
      <c r="H2808" s="27"/>
      <c r="I2808" s="27"/>
      <c r="J2808" s="81"/>
    </row>
    <row r="2809">
      <c r="A2809" s="89"/>
      <c r="F2809" s="96"/>
      <c r="H2809" s="27"/>
      <c r="I2809" s="27"/>
      <c r="J2809" s="81"/>
    </row>
    <row r="2810">
      <c r="A2810" s="89"/>
      <c r="F2810" s="96"/>
      <c r="H2810" s="27"/>
      <c r="I2810" s="27"/>
      <c r="J2810" s="81"/>
    </row>
    <row r="2811">
      <c r="A2811" s="89"/>
      <c r="F2811" s="96"/>
      <c r="H2811" s="27"/>
      <c r="I2811" s="27"/>
      <c r="J2811" s="81"/>
    </row>
    <row r="2812">
      <c r="A2812" s="89"/>
      <c r="F2812" s="96"/>
      <c r="H2812" s="27"/>
      <c r="I2812" s="27"/>
      <c r="J2812" s="81"/>
    </row>
    <row r="2813">
      <c r="A2813" s="89"/>
      <c r="F2813" s="96"/>
      <c r="H2813" s="27"/>
      <c r="I2813" s="27"/>
      <c r="J2813" s="81"/>
    </row>
    <row r="2814">
      <c r="A2814" s="89"/>
      <c r="F2814" s="96"/>
      <c r="H2814" s="27"/>
      <c r="I2814" s="27"/>
      <c r="J2814" s="81"/>
    </row>
    <row r="2815">
      <c r="A2815" s="89"/>
      <c r="F2815" s="96"/>
      <c r="H2815" s="27"/>
      <c r="I2815" s="27"/>
      <c r="J2815" s="81"/>
    </row>
    <row r="2816">
      <c r="A2816" s="89"/>
      <c r="F2816" s="96"/>
      <c r="H2816" s="27"/>
      <c r="I2816" s="27"/>
      <c r="J2816" s="81"/>
    </row>
    <row r="2817">
      <c r="A2817" s="89"/>
      <c r="F2817" s="96"/>
      <c r="H2817" s="27"/>
      <c r="I2817" s="27"/>
      <c r="J2817" s="81"/>
    </row>
    <row r="2818">
      <c r="A2818" s="89"/>
      <c r="F2818" s="96"/>
      <c r="H2818" s="27"/>
      <c r="I2818" s="27"/>
      <c r="J2818" s="81"/>
    </row>
    <row r="2819">
      <c r="A2819" s="89"/>
      <c r="F2819" s="96"/>
      <c r="H2819" s="27"/>
      <c r="I2819" s="27"/>
      <c r="J2819" s="81"/>
    </row>
    <row r="2820">
      <c r="A2820" s="89"/>
      <c r="F2820" s="96"/>
      <c r="H2820" s="27"/>
      <c r="I2820" s="27"/>
      <c r="J2820" s="81"/>
    </row>
    <row r="2821">
      <c r="A2821" s="89"/>
      <c r="F2821" s="96"/>
      <c r="H2821" s="27"/>
      <c r="I2821" s="27"/>
      <c r="J2821" s="81"/>
    </row>
    <row r="2822">
      <c r="A2822" s="89"/>
      <c r="F2822" s="96"/>
      <c r="H2822" s="27"/>
      <c r="I2822" s="27"/>
      <c r="J2822" s="81"/>
    </row>
    <row r="2823">
      <c r="A2823" s="89"/>
      <c r="F2823" s="96"/>
      <c r="H2823" s="27"/>
      <c r="I2823" s="27"/>
      <c r="J2823" s="81"/>
    </row>
    <row r="2824">
      <c r="A2824" s="89"/>
      <c r="F2824" s="96"/>
      <c r="H2824" s="27"/>
      <c r="I2824" s="27"/>
      <c r="J2824" s="81"/>
    </row>
    <row r="2825">
      <c r="A2825" s="89"/>
      <c r="F2825" s="96"/>
      <c r="H2825" s="27"/>
      <c r="I2825" s="27"/>
      <c r="J2825" s="81"/>
    </row>
    <row r="2826">
      <c r="A2826" s="89"/>
      <c r="F2826" s="96"/>
      <c r="H2826" s="27"/>
      <c r="I2826" s="27"/>
      <c r="J2826" s="81"/>
    </row>
    <row r="2827">
      <c r="A2827" s="89"/>
      <c r="F2827" s="96"/>
      <c r="H2827" s="27"/>
      <c r="I2827" s="27"/>
      <c r="J2827" s="81"/>
    </row>
    <row r="2828">
      <c r="A2828" s="89"/>
      <c r="F2828" s="96"/>
      <c r="H2828" s="27"/>
      <c r="I2828" s="27"/>
      <c r="J2828" s="81"/>
    </row>
    <row r="2829">
      <c r="A2829" s="89"/>
      <c r="F2829" s="96"/>
      <c r="H2829" s="27"/>
      <c r="I2829" s="27"/>
      <c r="J2829" s="81"/>
    </row>
    <row r="2830">
      <c r="A2830" s="89"/>
      <c r="F2830" s="96"/>
      <c r="H2830" s="27"/>
      <c r="I2830" s="27"/>
      <c r="J2830" s="81"/>
    </row>
    <row r="2831">
      <c r="A2831" s="89"/>
      <c r="F2831" s="96"/>
      <c r="H2831" s="27"/>
      <c r="I2831" s="27"/>
      <c r="J2831" s="81"/>
    </row>
    <row r="2832">
      <c r="A2832" s="89"/>
      <c r="F2832" s="96"/>
      <c r="H2832" s="27"/>
      <c r="I2832" s="27"/>
      <c r="J2832" s="81"/>
    </row>
    <row r="2833">
      <c r="A2833" s="89"/>
      <c r="F2833" s="96"/>
      <c r="H2833" s="27"/>
      <c r="I2833" s="27"/>
      <c r="J2833" s="81"/>
    </row>
    <row r="2834">
      <c r="A2834" s="89"/>
      <c r="F2834" s="96"/>
      <c r="H2834" s="27"/>
      <c r="I2834" s="27"/>
      <c r="J2834" s="81"/>
    </row>
    <row r="2835">
      <c r="A2835" s="89"/>
      <c r="F2835" s="96"/>
      <c r="H2835" s="27"/>
      <c r="I2835" s="27"/>
      <c r="J2835" s="81"/>
    </row>
    <row r="2836">
      <c r="A2836" s="89"/>
      <c r="F2836" s="96"/>
      <c r="H2836" s="27"/>
      <c r="I2836" s="27"/>
      <c r="J2836" s="81"/>
    </row>
    <row r="2837">
      <c r="A2837" s="89"/>
      <c r="F2837" s="96"/>
      <c r="H2837" s="27"/>
      <c r="I2837" s="27"/>
      <c r="J2837" s="81"/>
    </row>
    <row r="2838">
      <c r="A2838" s="89"/>
      <c r="F2838" s="96"/>
      <c r="H2838" s="27"/>
      <c r="I2838" s="27"/>
      <c r="J2838" s="81"/>
    </row>
    <row r="2839">
      <c r="A2839" s="89"/>
      <c r="F2839" s="96"/>
      <c r="H2839" s="27"/>
      <c r="I2839" s="27"/>
      <c r="J2839" s="81"/>
    </row>
    <row r="2840">
      <c r="A2840" s="89"/>
      <c r="F2840" s="96"/>
      <c r="H2840" s="27"/>
      <c r="I2840" s="27"/>
      <c r="J2840" s="81"/>
    </row>
    <row r="2841">
      <c r="A2841" s="89"/>
      <c r="F2841" s="96"/>
      <c r="H2841" s="27"/>
      <c r="I2841" s="27"/>
      <c r="J2841" s="81"/>
    </row>
    <row r="2842">
      <c r="A2842" s="89"/>
      <c r="F2842" s="96"/>
      <c r="H2842" s="27"/>
      <c r="I2842" s="27"/>
      <c r="J2842" s="81"/>
    </row>
    <row r="2843">
      <c r="A2843" s="89"/>
      <c r="F2843" s="96"/>
      <c r="H2843" s="27"/>
      <c r="I2843" s="27"/>
      <c r="J2843" s="81"/>
    </row>
    <row r="2844">
      <c r="A2844" s="89"/>
      <c r="F2844" s="96"/>
      <c r="H2844" s="27"/>
      <c r="I2844" s="27"/>
      <c r="J2844" s="81"/>
    </row>
    <row r="2845">
      <c r="A2845" s="89"/>
      <c r="F2845" s="96"/>
      <c r="H2845" s="27"/>
      <c r="I2845" s="27"/>
      <c r="J2845" s="81"/>
    </row>
    <row r="2846">
      <c r="A2846" s="89"/>
      <c r="F2846" s="96"/>
      <c r="H2846" s="27"/>
      <c r="I2846" s="27"/>
      <c r="J2846" s="81"/>
    </row>
    <row r="2847">
      <c r="A2847" s="89"/>
      <c r="F2847" s="96"/>
      <c r="H2847" s="27"/>
      <c r="I2847" s="27"/>
      <c r="J2847" s="81"/>
    </row>
    <row r="2848">
      <c r="A2848" s="89"/>
      <c r="F2848" s="96"/>
      <c r="H2848" s="27"/>
      <c r="I2848" s="27"/>
      <c r="J2848" s="81"/>
    </row>
    <row r="2849">
      <c r="A2849" s="89"/>
      <c r="F2849" s="96"/>
      <c r="H2849" s="27"/>
      <c r="I2849" s="27"/>
      <c r="J2849" s="81"/>
    </row>
    <row r="2850">
      <c r="A2850" s="89"/>
      <c r="F2850" s="96"/>
      <c r="H2850" s="27"/>
      <c r="I2850" s="27"/>
      <c r="J2850" s="81"/>
    </row>
    <row r="2851">
      <c r="A2851" s="89"/>
      <c r="F2851" s="96"/>
      <c r="H2851" s="27"/>
      <c r="I2851" s="27"/>
      <c r="J2851" s="81"/>
    </row>
    <row r="2852">
      <c r="A2852" s="89"/>
      <c r="F2852" s="96"/>
      <c r="H2852" s="27"/>
      <c r="I2852" s="27"/>
      <c r="J2852" s="81"/>
    </row>
    <row r="2853">
      <c r="A2853" s="89"/>
      <c r="F2853" s="96"/>
      <c r="H2853" s="27"/>
      <c r="I2853" s="27"/>
      <c r="J2853" s="81"/>
    </row>
    <row r="2854">
      <c r="A2854" s="89"/>
      <c r="F2854" s="96"/>
      <c r="H2854" s="27"/>
      <c r="I2854" s="27"/>
      <c r="J2854" s="81"/>
    </row>
    <row r="2855">
      <c r="A2855" s="89"/>
      <c r="F2855" s="96"/>
      <c r="H2855" s="27"/>
      <c r="I2855" s="27"/>
      <c r="J2855" s="81"/>
    </row>
    <row r="2856">
      <c r="A2856" s="89"/>
      <c r="F2856" s="96"/>
      <c r="H2856" s="27"/>
      <c r="I2856" s="27"/>
      <c r="J2856" s="81"/>
    </row>
    <row r="2857">
      <c r="A2857" s="89"/>
      <c r="F2857" s="96"/>
      <c r="H2857" s="27"/>
      <c r="I2857" s="27"/>
      <c r="J2857" s="81"/>
    </row>
    <row r="2858">
      <c r="A2858" s="89"/>
      <c r="F2858" s="96"/>
      <c r="H2858" s="27"/>
      <c r="I2858" s="27"/>
      <c r="J2858" s="81"/>
    </row>
    <row r="2859">
      <c r="A2859" s="89"/>
      <c r="F2859" s="96"/>
      <c r="H2859" s="27"/>
      <c r="I2859" s="27"/>
      <c r="J2859" s="81"/>
    </row>
    <row r="2860">
      <c r="A2860" s="89"/>
      <c r="F2860" s="96"/>
      <c r="H2860" s="27"/>
      <c r="I2860" s="27"/>
      <c r="J2860" s="81"/>
    </row>
    <row r="2861">
      <c r="A2861" s="89"/>
      <c r="F2861" s="96"/>
      <c r="H2861" s="27"/>
      <c r="I2861" s="27"/>
      <c r="J2861" s="81"/>
    </row>
    <row r="2862">
      <c r="A2862" s="89"/>
      <c r="F2862" s="96"/>
      <c r="H2862" s="27"/>
      <c r="I2862" s="27"/>
      <c r="J2862" s="81"/>
    </row>
    <row r="2863">
      <c r="A2863" s="89"/>
      <c r="F2863" s="96"/>
      <c r="H2863" s="27"/>
      <c r="I2863" s="27"/>
      <c r="J2863" s="81"/>
    </row>
    <row r="2864">
      <c r="A2864" s="89"/>
      <c r="F2864" s="96"/>
      <c r="H2864" s="27"/>
      <c r="I2864" s="27"/>
      <c r="J2864" s="81"/>
    </row>
    <row r="2865">
      <c r="A2865" s="89"/>
      <c r="F2865" s="96"/>
      <c r="H2865" s="27"/>
      <c r="I2865" s="27"/>
      <c r="J2865" s="81"/>
    </row>
    <row r="2866">
      <c r="A2866" s="89"/>
      <c r="F2866" s="96"/>
      <c r="H2866" s="27"/>
      <c r="I2866" s="27"/>
      <c r="J2866" s="81"/>
    </row>
    <row r="2867">
      <c r="A2867" s="89"/>
      <c r="F2867" s="96"/>
      <c r="H2867" s="27"/>
      <c r="I2867" s="27"/>
      <c r="J2867" s="81"/>
    </row>
    <row r="2868">
      <c r="A2868" s="89"/>
      <c r="F2868" s="96"/>
      <c r="H2868" s="27"/>
      <c r="I2868" s="27"/>
      <c r="J2868" s="81"/>
    </row>
    <row r="2869">
      <c r="A2869" s="89"/>
      <c r="F2869" s="96"/>
      <c r="H2869" s="27"/>
      <c r="I2869" s="27"/>
      <c r="J2869" s="81"/>
    </row>
    <row r="2870">
      <c r="A2870" s="89"/>
      <c r="F2870" s="96"/>
      <c r="H2870" s="27"/>
      <c r="I2870" s="27"/>
      <c r="J2870" s="81"/>
    </row>
    <row r="2871">
      <c r="A2871" s="89"/>
      <c r="F2871" s="96"/>
      <c r="H2871" s="27"/>
      <c r="I2871" s="27"/>
      <c r="J2871" s="81"/>
    </row>
    <row r="2872">
      <c r="A2872" s="89"/>
      <c r="F2872" s="96"/>
      <c r="H2872" s="27"/>
      <c r="I2872" s="27"/>
      <c r="J2872" s="81"/>
    </row>
    <row r="2873">
      <c r="A2873" s="89"/>
      <c r="F2873" s="96"/>
      <c r="H2873" s="27"/>
      <c r="I2873" s="27"/>
      <c r="J2873" s="81"/>
    </row>
    <row r="2874">
      <c r="A2874" s="89"/>
      <c r="F2874" s="96"/>
      <c r="H2874" s="27"/>
      <c r="I2874" s="27"/>
      <c r="J2874" s="81"/>
    </row>
    <row r="2875">
      <c r="A2875" s="89"/>
      <c r="F2875" s="96"/>
      <c r="H2875" s="27"/>
      <c r="I2875" s="27"/>
      <c r="J2875" s="81"/>
    </row>
    <row r="2876">
      <c r="A2876" s="89"/>
      <c r="F2876" s="96"/>
      <c r="H2876" s="27"/>
      <c r="I2876" s="27"/>
      <c r="J2876" s="81"/>
    </row>
    <row r="2877">
      <c r="A2877" s="89"/>
      <c r="F2877" s="96"/>
      <c r="H2877" s="27"/>
      <c r="I2877" s="27"/>
      <c r="J2877" s="81"/>
    </row>
    <row r="2878">
      <c r="A2878" s="89"/>
      <c r="F2878" s="96"/>
      <c r="H2878" s="27"/>
      <c r="I2878" s="27"/>
      <c r="J2878" s="81"/>
    </row>
    <row r="2879">
      <c r="A2879" s="89"/>
      <c r="F2879" s="96"/>
      <c r="H2879" s="27"/>
      <c r="I2879" s="27"/>
      <c r="J2879" s="81"/>
    </row>
    <row r="2880">
      <c r="A2880" s="89"/>
      <c r="F2880" s="96"/>
      <c r="H2880" s="27"/>
      <c r="I2880" s="27"/>
      <c r="J2880" s="81"/>
    </row>
    <row r="2881">
      <c r="A2881" s="89"/>
      <c r="F2881" s="96"/>
      <c r="H2881" s="27"/>
      <c r="I2881" s="27"/>
      <c r="J2881" s="81"/>
    </row>
    <row r="2882">
      <c r="A2882" s="89"/>
      <c r="F2882" s="96"/>
      <c r="H2882" s="27"/>
      <c r="I2882" s="27"/>
      <c r="J2882" s="81"/>
    </row>
    <row r="2883">
      <c r="A2883" s="89"/>
      <c r="F2883" s="96"/>
      <c r="H2883" s="27"/>
      <c r="I2883" s="27"/>
      <c r="J2883" s="81"/>
    </row>
    <row r="2884">
      <c r="A2884" s="89"/>
      <c r="F2884" s="96"/>
      <c r="H2884" s="27"/>
      <c r="I2884" s="27"/>
      <c r="J2884" s="81"/>
    </row>
    <row r="2885">
      <c r="A2885" s="89"/>
      <c r="F2885" s="96"/>
      <c r="H2885" s="27"/>
      <c r="I2885" s="27"/>
      <c r="J2885" s="81"/>
    </row>
    <row r="2886">
      <c r="A2886" s="89"/>
      <c r="F2886" s="96"/>
      <c r="H2886" s="27"/>
      <c r="I2886" s="27"/>
      <c r="J2886" s="81"/>
    </row>
    <row r="2887">
      <c r="A2887" s="89"/>
      <c r="F2887" s="96"/>
      <c r="H2887" s="27"/>
      <c r="I2887" s="27"/>
      <c r="J2887" s="81"/>
    </row>
    <row r="2888">
      <c r="A2888" s="89"/>
      <c r="F2888" s="96"/>
      <c r="H2888" s="27"/>
      <c r="I2888" s="27"/>
      <c r="J2888" s="81"/>
    </row>
    <row r="2889">
      <c r="A2889" s="89"/>
      <c r="F2889" s="96"/>
      <c r="H2889" s="27"/>
      <c r="I2889" s="27"/>
      <c r="J2889" s="81"/>
    </row>
    <row r="2890">
      <c r="A2890" s="89"/>
      <c r="F2890" s="96"/>
      <c r="H2890" s="27"/>
      <c r="I2890" s="27"/>
      <c r="J2890" s="81"/>
    </row>
    <row r="2891">
      <c r="A2891" s="89"/>
      <c r="F2891" s="96"/>
      <c r="H2891" s="27"/>
      <c r="I2891" s="27"/>
      <c r="J2891" s="81"/>
    </row>
    <row r="2892">
      <c r="A2892" s="89"/>
      <c r="F2892" s="96"/>
      <c r="H2892" s="27"/>
      <c r="I2892" s="27"/>
      <c r="J2892" s="81"/>
    </row>
    <row r="2893">
      <c r="A2893" s="89"/>
      <c r="F2893" s="96"/>
      <c r="H2893" s="27"/>
      <c r="I2893" s="27"/>
      <c r="J2893" s="81"/>
    </row>
    <row r="2894">
      <c r="A2894" s="89"/>
      <c r="F2894" s="96"/>
      <c r="H2894" s="27"/>
      <c r="I2894" s="27"/>
      <c r="J2894" s="81"/>
    </row>
    <row r="2895">
      <c r="A2895" s="89"/>
      <c r="F2895" s="96"/>
      <c r="H2895" s="27"/>
      <c r="I2895" s="27"/>
      <c r="J2895" s="81"/>
    </row>
    <row r="2896">
      <c r="A2896" s="89"/>
      <c r="F2896" s="96"/>
      <c r="H2896" s="27"/>
      <c r="I2896" s="27"/>
      <c r="J2896" s="81"/>
    </row>
    <row r="2897">
      <c r="A2897" s="89"/>
      <c r="F2897" s="96"/>
      <c r="H2897" s="27"/>
      <c r="I2897" s="27"/>
      <c r="J2897" s="81"/>
    </row>
    <row r="2898">
      <c r="A2898" s="89"/>
      <c r="F2898" s="96"/>
      <c r="H2898" s="27"/>
      <c r="I2898" s="27"/>
      <c r="J2898" s="81"/>
    </row>
    <row r="2899">
      <c r="A2899" s="89"/>
      <c r="F2899" s="96"/>
      <c r="H2899" s="27"/>
      <c r="I2899" s="27"/>
      <c r="J2899" s="81"/>
    </row>
    <row r="2900">
      <c r="A2900" s="89"/>
      <c r="F2900" s="96"/>
      <c r="H2900" s="27"/>
      <c r="I2900" s="27"/>
      <c r="J2900" s="81"/>
    </row>
    <row r="2901">
      <c r="A2901" s="89"/>
      <c r="F2901" s="96"/>
      <c r="H2901" s="27"/>
      <c r="I2901" s="27"/>
      <c r="J2901" s="81"/>
    </row>
    <row r="2902">
      <c r="A2902" s="89"/>
      <c r="F2902" s="96"/>
      <c r="H2902" s="27"/>
      <c r="I2902" s="27"/>
      <c r="J2902" s="81"/>
    </row>
    <row r="2903">
      <c r="A2903" s="89"/>
      <c r="F2903" s="96"/>
      <c r="H2903" s="27"/>
      <c r="I2903" s="27"/>
      <c r="J2903" s="81"/>
    </row>
    <row r="2904">
      <c r="A2904" s="89"/>
      <c r="F2904" s="96"/>
      <c r="H2904" s="27"/>
      <c r="I2904" s="27"/>
      <c r="J2904" s="81"/>
    </row>
    <row r="2905">
      <c r="A2905" s="89"/>
      <c r="F2905" s="96"/>
      <c r="H2905" s="27"/>
      <c r="I2905" s="27"/>
      <c r="J2905" s="81"/>
    </row>
    <row r="2906">
      <c r="A2906" s="89"/>
      <c r="F2906" s="96"/>
      <c r="H2906" s="27"/>
      <c r="I2906" s="27"/>
      <c r="J2906" s="81"/>
    </row>
    <row r="2907">
      <c r="A2907" s="89"/>
      <c r="F2907" s="96"/>
      <c r="H2907" s="27"/>
      <c r="I2907" s="27"/>
      <c r="J2907" s="81"/>
    </row>
    <row r="2908">
      <c r="A2908" s="89"/>
      <c r="F2908" s="96"/>
      <c r="H2908" s="27"/>
      <c r="I2908" s="27"/>
      <c r="J2908" s="81"/>
    </row>
    <row r="2909">
      <c r="A2909" s="89"/>
      <c r="F2909" s="96"/>
      <c r="H2909" s="27"/>
      <c r="I2909" s="27"/>
      <c r="J2909" s="81"/>
    </row>
    <row r="2910">
      <c r="A2910" s="89"/>
      <c r="F2910" s="96"/>
      <c r="H2910" s="27"/>
      <c r="I2910" s="27"/>
      <c r="J2910" s="81"/>
    </row>
    <row r="2911">
      <c r="A2911" s="89"/>
      <c r="F2911" s="96"/>
      <c r="H2911" s="27"/>
      <c r="I2911" s="27"/>
      <c r="J2911" s="81"/>
    </row>
    <row r="2912">
      <c r="A2912" s="89"/>
      <c r="F2912" s="96"/>
      <c r="H2912" s="27"/>
      <c r="I2912" s="27"/>
      <c r="J2912" s="81"/>
    </row>
    <row r="2913">
      <c r="A2913" s="89"/>
      <c r="F2913" s="96"/>
      <c r="H2913" s="27"/>
      <c r="I2913" s="27"/>
      <c r="J2913" s="81"/>
    </row>
    <row r="2914">
      <c r="A2914" s="89"/>
      <c r="F2914" s="96"/>
      <c r="H2914" s="27"/>
      <c r="I2914" s="27"/>
      <c r="J2914" s="81"/>
    </row>
    <row r="2915">
      <c r="A2915" s="89"/>
      <c r="F2915" s="96"/>
      <c r="H2915" s="27"/>
      <c r="I2915" s="27"/>
      <c r="J2915" s="81"/>
    </row>
    <row r="2916">
      <c r="A2916" s="89"/>
      <c r="F2916" s="96"/>
      <c r="H2916" s="27"/>
      <c r="I2916" s="27"/>
      <c r="J2916" s="81"/>
    </row>
    <row r="2917">
      <c r="A2917" s="89"/>
      <c r="F2917" s="96"/>
      <c r="H2917" s="27"/>
      <c r="I2917" s="27"/>
      <c r="J2917" s="81"/>
    </row>
    <row r="2918">
      <c r="A2918" s="89"/>
      <c r="F2918" s="96"/>
      <c r="H2918" s="27"/>
      <c r="I2918" s="27"/>
      <c r="J2918" s="81"/>
    </row>
    <row r="2919">
      <c r="A2919" s="89"/>
      <c r="F2919" s="96"/>
      <c r="H2919" s="27"/>
      <c r="I2919" s="27"/>
      <c r="J2919" s="81"/>
    </row>
    <row r="2920">
      <c r="A2920" s="89"/>
      <c r="F2920" s="96"/>
      <c r="H2920" s="27"/>
      <c r="I2920" s="27"/>
      <c r="J2920" s="81"/>
    </row>
    <row r="2921">
      <c r="A2921" s="89"/>
      <c r="F2921" s="96"/>
      <c r="H2921" s="27"/>
      <c r="I2921" s="27"/>
      <c r="J2921" s="81"/>
    </row>
    <row r="2922">
      <c r="A2922" s="89"/>
      <c r="F2922" s="96"/>
      <c r="H2922" s="27"/>
      <c r="I2922" s="27"/>
      <c r="J2922" s="81"/>
    </row>
    <row r="2923">
      <c r="A2923" s="89"/>
      <c r="F2923" s="96"/>
      <c r="H2923" s="27"/>
      <c r="I2923" s="27"/>
      <c r="J2923" s="81"/>
    </row>
    <row r="2924">
      <c r="A2924" s="89"/>
      <c r="F2924" s="96"/>
      <c r="H2924" s="27"/>
      <c r="I2924" s="27"/>
      <c r="J2924" s="81"/>
    </row>
    <row r="2925">
      <c r="A2925" s="89"/>
      <c r="F2925" s="96"/>
      <c r="H2925" s="27"/>
      <c r="I2925" s="27"/>
      <c r="J2925" s="81"/>
    </row>
    <row r="2926">
      <c r="A2926" s="89"/>
      <c r="F2926" s="96"/>
      <c r="H2926" s="27"/>
      <c r="I2926" s="27"/>
      <c r="J2926" s="81"/>
    </row>
    <row r="2927">
      <c r="A2927" s="89"/>
      <c r="F2927" s="96"/>
      <c r="H2927" s="27"/>
      <c r="I2927" s="27"/>
      <c r="J2927" s="81"/>
    </row>
    <row r="2928">
      <c r="A2928" s="89"/>
      <c r="F2928" s="96"/>
      <c r="H2928" s="27"/>
      <c r="I2928" s="27"/>
      <c r="J2928" s="81"/>
    </row>
    <row r="2929">
      <c r="A2929" s="89"/>
      <c r="F2929" s="96"/>
      <c r="H2929" s="27"/>
      <c r="I2929" s="27"/>
      <c r="J2929" s="81"/>
    </row>
    <row r="2930">
      <c r="A2930" s="89"/>
      <c r="F2930" s="96"/>
      <c r="H2930" s="27"/>
      <c r="I2930" s="27"/>
      <c r="J2930" s="81"/>
    </row>
    <row r="2931">
      <c r="A2931" s="89"/>
      <c r="F2931" s="96"/>
      <c r="H2931" s="27"/>
      <c r="I2931" s="27"/>
      <c r="J2931" s="81"/>
    </row>
    <row r="2932">
      <c r="A2932" s="89"/>
      <c r="F2932" s="96"/>
      <c r="H2932" s="27"/>
      <c r="I2932" s="27"/>
      <c r="J2932" s="81"/>
    </row>
    <row r="2933">
      <c r="A2933" s="89"/>
      <c r="F2933" s="96"/>
      <c r="H2933" s="27"/>
      <c r="I2933" s="27"/>
      <c r="J2933" s="81"/>
    </row>
    <row r="2934">
      <c r="A2934" s="89"/>
      <c r="F2934" s="96"/>
      <c r="H2934" s="27"/>
      <c r="I2934" s="27"/>
      <c r="J2934" s="81"/>
    </row>
    <row r="2935">
      <c r="A2935" s="89"/>
      <c r="F2935" s="96"/>
      <c r="H2935" s="27"/>
      <c r="I2935" s="27"/>
      <c r="J2935" s="81"/>
    </row>
    <row r="2936">
      <c r="A2936" s="89"/>
      <c r="F2936" s="96"/>
      <c r="H2936" s="27"/>
      <c r="I2936" s="27"/>
      <c r="J2936" s="81"/>
    </row>
    <row r="2937">
      <c r="A2937" s="89"/>
      <c r="F2937" s="96"/>
      <c r="H2937" s="27"/>
      <c r="I2937" s="27"/>
      <c r="J2937" s="81"/>
    </row>
    <row r="2938">
      <c r="A2938" s="89"/>
      <c r="F2938" s="96"/>
      <c r="H2938" s="27"/>
      <c r="I2938" s="27"/>
      <c r="J2938" s="81"/>
    </row>
    <row r="2939">
      <c r="A2939" s="89"/>
      <c r="F2939" s="96"/>
      <c r="H2939" s="27"/>
      <c r="I2939" s="27"/>
      <c r="J2939" s="81"/>
    </row>
    <row r="2940">
      <c r="A2940" s="89"/>
      <c r="F2940" s="96"/>
      <c r="H2940" s="27"/>
      <c r="I2940" s="27"/>
      <c r="J2940" s="81"/>
    </row>
    <row r="2941">
      <c r="A2941" s="89"/>
      <c r="F2941" s="96"/>
      <c r="H2941" s="27"/>
      <c r="I2941" s="27"/>
      <c r="J2941" s="81"/>
    </row>
    <row r="2942">
      <c r="A2942" s="89"/>
      <c r="F2942" s="96"/>
      <c r="H2942" s="27"/>
      <c r="I2942" s="27"/>
      <c r="J2942" s="81"/>
    </row>
    <row r="2943">
      <c r="A2943" s="89"/>
      <c r="F2943" s="96"/>
      <c r="H2943" s="27"/>
      <c r="I2943" s="27"/>
      <c r="J2943" s="81"/>
    </row>
    <row r="2944">
      <c r="A2944" s="89"/>
      <c r="F2944" s="96"/>
      <c r="H2944" s="27"/>
      <c r="I2944" s="27"/>
      <c r="J2944" s="81"/>
    </row>
    <row r="2945">
      <c r="A2945" s="89"/>
      <c r="F2945" s="96"/>
      <c r="H2945" s="27"/>
      <c r="I2945" s="27"/>
      <c r="J2945" s="81"/>
    </row>
    <row r="2946">
      <c r="A2946" s="89"/>
      <c r="F2946" s="96"/>
      <c r="H2946" s="27"/>
      <c r="I2946" s="27"/>
      <c r="J2946" s="81"/>
    </row>
    <row r="2947">
      <c r="A2947" s="89"/>
      <c r="F2947" s="96"/>
      <c r="H2947" s="27"/>
      <c r="I2947" s="27"/>
      <c r="J2947" s="81"/>
    </row>
    <row r="2948">
      <c r="A2948" s="89"/>
      <c r="F2948" s="96"/>
      <c r="H2948" s="27"/>
      <c r="I2948" s="27"/>
      <c r="J2948" s="81"/>
    </row>
    <row r="2949">
      <c r="A2949" s="89"/>
      <c r="F2949" s="96"/>
      <c r="H2949" s="27"/>
      <c r="I2949" s="27"/>
      <c r="J2949" s="81"/>
    </row>
    <row r="2950">
      <c r="A2950" s="89"/>
      <c r="F2950" s="96"/>
      <c r="H2950" s="27"/>
      <c r="I2950" s="27"/>
      <c r="J2950" s="81"/>
    </row>
    <row r="2951">
      <c r="A2951" s="89"/>
      <c r="F2951" s="96"/>
      <c r="H2951" s="27"/>
      <c r="I2951" s="27"/>
      <c r="J2951" s="81"/>
    </row>
    <row r="2952">
      <c r="A2952" s="89"/>
      <c r="F2952" s="96"/>
      <c r="H2952" s="27"/>
      <c r="I2952" s="27"/>
      <c r="J2952" s="81"/>
    </row>
    <row r="2953">
      <c r="A2953" s="89"/>
      <c r="F2953" s="96"/>
      <c r="H2953" s="27"/>
      <c r="I2953" s="27"/>
      <c r="J2953" s="81"/>
    </row>
    <row r="2954">
      <c r="A2954" s="89"/>
      <c r="F2954" s="96"/>
      <c r="H2954" s="27"/>
      <c r="I2954" s="27"/>
      <c r="J2954" s="81"/>
    </row>
    <row r="2955">
      <c r="A2955" s="89"/>
      <c r="F2955" s="96"/>
      <c r="H2955" s="27"/>
      <c r="I2955" s="27"/>
      <c r="J2955" s="81"/>
    </row>
    <row r="2956">
      <c r="A2956" s="89"/>
      <c r="F2956" s="96"/>
      <c r="H2956" s="27"/>
      <c r="I2956" s="27"/>
      <c r="J2956" s="81"/>
    </row>
    <row r="2957">
      <c r="A2957" s="89"/>
      <c r="F2957" s="96"/>
      <c r="H2957" s="27"/>
      <c r="I2957" s="27"/>
      <c r="J2957" s="81"/>
    </row>
    <row r="2958">
      <c r="A2958" s="89"/>
      <c r="F2958" s="96"/>
      <c r="H2958" s="27"/>
      <c r="I2958" s="27"/>
      <c r="J2958" s="81"/>
    </row>
    <row r="2959">
      <c r="A2959" s="89"/>
      <c r="F2959" s="96"/>
      <c r="H2959" s="27"/>
      <c r="I2959" s="27"/>
      <c r="J2959" s="81"/>
    </row>
    <row r="2960">
      <c r="A2960" s="89"/>
      <c r="F2960" s="96"/>
      <c r="H2960" s="27"/>
      <c r="I2960" s="27"/>
      <c r="J2960" s="81"/>
    </row>
    <row r="2961">
      <c r="A2961" s="89"/>
      <c r="F2961" s="96"/>
      <c r="H2961" s="27"/>
      <c r="I2961" s="27"/>
      <c r="J2961" s="81"/>
    </row>
    <row r="2962">
      <c r="A2962" s="89"/>
      <c r="F2962" s="96"/>
      <c r="H2962" s="27"/>
      <c r="I2962" s="27"/>
      <c r="J2962" s="81"/>
    </row>
    <row r="2963">
      <c r="A2963" s="89"/>
      <c r="F2963" s="96"/>
      <c r="H2963" s="27"/>
      <c r="I2963" s="27"/>
      <c r="J2963" s="81"/>
    </row>
    <row r="2964">
      <c r="A2964" s="89"/>
      <c r="F2964" s="96"/>
      <c r="H2964" s="27"/>
      <c r="I2964" s="27"/>
      <c r="J2964" s="81"/>
    </row>
    <row r="2965">
      <c r="A2965" s="89"/>
      <c r="F2965" s="96"/>
      <c r="H2965" s="27"/>
      <c r="I2965" s="27"/>
      <c r="J2965" s="81"/>
    </row>
    <row r="2966">
      <c r="A2966" s="89"/>
      <c r="F2966" s="96"/>
      <c r="H2966" s="27"/>
      <c r="I2966" s="27"/>
      <c r="J2966" s="81"/>
    </row>
    <row r="2967">
      <c r="A2967" s="89"/>
      <c r="F2967" s="96"/>
      <c r="H2967" s="27"/>
      <c r="I2967" s="27"/>
      <c r="J2967" s="81"/>
    </row>
    <row r="2968">
      <c r="A2968" s="89"/>
      <c r="F2968" s="96"/>
      <c r="H2968" s="27"/>
      <c r="I2968" s="27"/>
      <c r="J2968" s="81"/>
    </row>
    <row r="2969">
      <c r="A2969" s="89"/>
      <c r="F2969" s="96"/>
      <c r="H2969" s="27"/>
      <c r="I2969" s="27"/>
      <c r="J2969" s="81"/>
    </row>
    <row r="2970">
      <c r="A2970" s="89"/>
      <c r="F2970" s="96"/>
      <c r="H2970" s="27"/>
      <c r="I2970" s="27"/>
      <c r="J2970" s="81"/>
    </row>
    <row r="2971">
      <c r="A2971" s="89"/>
      <c r="F2971" s="96"/>
      <c r="H2971" s="27"/>
      <c r="I2971" s="27"/>
      <c r="J2971" s="81"/>
    </row>
    <row r="2972">
      <c r="A2972" s="89"/>
      <c r="F2972" s="96"/>
      <c r="H2972" s="27"/>
      <c r="I2972" s="27"/>
      <c r="J2972" s="81"/>
    </row>
    <row r="2973">
      <c r="A2973" s="89"/>
      <c r="F2973" s="96"/>
      <c r="H2973" s="27"/>
      <c r="I2973" s="27"/>
      <c r="J2973" s="81"/>
    </row>
    <row r="2974">
      <c r="A2974" s="89"/>
      <c r="F2974" s="96"/>
      <c r="H2974" s="27"/>
      <c r="I2974" s="27"/>
      <c r="J2974" s="81"/>
    </row>
    <row r="2975">
      <c r="A2975" s="89"/>
      <c r="F2975" s="96"/>
      <c r="H2975" s="27"/>
      <c r="I2975" s="27"/>
      <c r="J2975" s="81"/>
    </row>
    <row r="2976">
      <c r="A2976" s="89"/>
      <c r="F2976" s="96"/>
      <c r="H2976" s="27"/>
      <c r="I2976" s="27"/>
      <c r="J2976" s="81"/>
    </row>
    <row r="2977">
      <c r="A2977" s="89"/>
      <c r="F2977" s="96"/>
      <c r="H2977" s="27"/>
      <c r="I2977" s="27"/>
      <c r="J2977" s="81"/>
    </row>
    <row r="2978">
      <c r="A2978" s="89"/>
      <c r="F2978" s="96"/>
      <c r="H2978" s="27"/>
      <c r="I2978" s="27"/>
      <c r="J2978" s="81"/>
    </row>
    <row r="2979">
      <c r="A2979" s="89"/>
      <c r="F2979" s="96"/>
      <c r="H2979" s="27"/>
      <c r="I2979" s="27"/>
      <c r="J2979" s="81"/>
    </row>
    <row r="2980">
      <c r="A2980" s="89"/>
      <c r="F2980" s="96"/>
      <c r="H2980" s="27"/>
      <c r="I2980" s="27"/>
      <c r="J2980" s="81"/>
    </row>
    <row r="2981">
      <c r="A2981" s="89"/>
      <c r="F2981" s="96"/>
      <c r="H2981" s="27"/>
      <c r="I2981" s="27"/>
      <c r="J2981" s="81"/>
    </row>
    <row r="2982">
      <c r="A2982" s="89"/>
      <c r="F2982" s="96"/>
      <c r="H2982" s="27"/>
      <c r="I2982" s="27"/>
      <c r="J2982" s="81"/>
    </row>
    <row r="2983">
      <c r="A2983" s="89"/>
      <c r="F2983" s="96"/>
      <c r="H2983" s="27"/>
      <c r="I2983" s="27"/>
      <c r="J2983" s="81"/>
    </row>
    <row r="2984">
      <c r="A2984" s="89"/>
      <c r="F2984" s="96"/>
      <c r="H2984" s="27"/>
      <c r="I2984" s="27"/>
      <c r="J2984" s="81"/>
    </row>
    <row r="2985">
      <c r="A2985" s="89"/>
      <c r="F2985" s="96"/>
      <c r="H2985" s="27"/>
      <c r="I2985" s="27"/>
      <c r="J2985" s="81"/>
    </row>
    <row r="2986">
      <c r="A2986" s="89"/>
      <c r="F2986" s="96"/>
      <c r="H2986" s="27"/>
      <c r="I2986" s="27"/>
      <c r="J2986" s="81"/>
    </row>
    <row r="2987">
      <c r="A2987" s="89"/>
      <c r="F2987" s="96"/>
      <c r="H2987" s="27"/>
      <c r="I2987" s="27"/>
      <c r="J2987" s="81"/>
    </row>
    <row r="2988">
      <c r="A2988" s="89"/>
      <c r="F2988" s="96"/>
      <c r="H2988" s="27"/>
      <c r="I2988" s="27"/>
      <c r="J2988" s="81"/>
    </row>
    <row r="2989">
      <c r="A2989" s="89"/>
      <c r="F2989" s="96"/>
      <c r="H2989" s="27"/>
      <c r="I2989" s="27"/>
      <c r="J2989" s="81"/>
    </row>
    <row r="2990">
      <c r="A2990" s="89"/>
      <c r="F2990" s="96"/>
      <c r="H2990" s="27"/>
      <c r="I2990" s="27"/>
      <c r="J2990" s="81"/>
    </row>
    <row r="2991">
      <c r="A2991" s="89"/>
      <c r="F2991" s="96"/>
      <c r="H2991" s="27"/>
      <c r="I2991" s="27"/>
      <c r="J2991" s="81"/>
    </row>
    <row r="2992">
      <c r="A2992" s="89"/>
      <c r="F2992" s="96"/>
      <c r="H2992" s="27"/>
      <c r="I2992" s="27"/>
      <c r="J2992" s="81"/>
    </row>
    <row r="2993">
      <c r="A2993" s="89"/>
      <c r="F2993" s="96"/>
      <c r="H2993" s="27"/>
      <c r="I2993" s="27"/>
      <c r="J2993" s="81"/>
    </row>
    <row r="2994">
      <c r="A2994" s="89"/>
      <c r="F2994" s="96"/>
      <c r="H2994" s="27"/>
      <c r="I2994" s="27"/>
      <c r="J2994" s="81"/>
    </row>
    <row r="2995">
      <c r="A2995" s="89"/>
      <c r="F2995" s="96"/>
      <c r="H2995" s="27"/>
      <c r="I2995" s="27"/>
      <c r="J2995" s="81"/>
    </row>
    <row r="2996">
      <c r="A2996" s="89"/>
      <c r="F2996" s="96"/>
      <c r="H2996" s="27"/>
      <c r="I2996" s="27"/>
      <c r="J2996" s="81"/>
    </row>
    <row r="2997">
      <c r="A2997" s="89"/>
      <c r="F2997" s="96"/>
      <c r="H2997" s="27"/>
      <c r="I2997" s="27"/>
      <c r="J2997" s="81"/>
    </row>
    <row r="2998">
      <c r="A2998" s="89"/>
      <c r="F2998" s="96"/>
      <c r="H2998" s="27"/>
      <c r="I2998" s="27"/>
      <c r="J2998" s="81"/>
    </row>
    <row r="2999">
      <c r="A2999" s="89"/>
      <c r="F2999" s="96"/>
      <c r="H2999" s="27"/>
      <c r="I2999" s="27"/>
      <c r="J2999" s="81"/>
    </row>
    <row r="3000">
      <c r="A3000" s="89"/>
      <c r="F3000" s="96"/>
      <c r="H3000" s="27"/>
      <c r="I3000" s="27"/>
      <c r="J3000" s="81"/>
    </row>
    <row r="3001">
      <c r="A3001" s="89"/>
      <c r="F3001" s="96"/>
      <c r="H3001" s="27"/>
      <c r="I3001" s="27"/>
      <c r="J3001" s="81"/>
    </row>
    <row r="3002">
      <c r="A3002" s="89"/>
      <c r="F3002" s="96"/>
      <c r="H3002" s="27"/>
      <c r="I3002" s="27"/>
      <c r="J3002" s="81"/>
    </row>
    <row r="3003">
      <c r="A3003" s="89"/>
      <c r="F3003" s="96"/>
      <c r="H3003" s="27"/>
      <c r="I3003" s="27"/>
      <c r="J3003" s="81"/>
    </row>
    <row r="3004">
      <c r="A3004" s="89"/>
      <c r="F3004" s="96"/>
      <c r="H3004" s="27"/>
      <c r="I3004" s="27"/>
      <c r="J3004" s="81"/>
    </row>
    <row r="3005">
      <c r="A3005" s="89"/>
      <c r="F3005" s="96"/>
      <c r="H3005" s="27"/>
      <c r="I3005" s="27"/>
      <c r="J3005" s="81"/>
    </row>
    <row r="3006">
      <c r="A3006" s="89"/>
      <c r="F3006" s="96"/>
      <c r="H3006" s="27"/>
      <c r="I3006" s="27"/>
      <c r="J3006" s="81"/>
    </row>
    <row r="3007">
      <c r="A3007" s="89"/>
      <c r="F3007" s="96"/>
      <c r="H3007" s="27"/>
      <c r="I3007" s="27"/>
      <c r="J3007" s="81"/>
    </row>
    <row r="3008">
      <c r="A3008" s="89"/>
      <c r="F3008" s="96"/>
      <c r="H3008" s="27"/>
      <c r="I3008" s="27"/>
      <c r="J3008" s="81"/>
    </row>
    <row r="3009">
      <c r="A3009" s="89"/>
      <c r="F3009" s="96"/>
      <c r="H3009" s="27"/>
      <c r="I3009" s="27"/>
      <c r="J3009" s="81"/>
    </row>
  </sheetData>
  <autoFilter ref="$A$1:$N$3009">
    <sortState ref="A1:N3009">
      <sortCondition ref="B1:B3009"/>
      <sortCondition descending="1" ref="A1:A3009"/>
      <sortCondition ref="L1:L3009"/>
      <sortCondition descending="1" ref="F1:F3009"/>
      <sortCondition descending="1" ref="G1:G3009"/>
      <sortCondition descending="1" ref="E1:E3009"/>
    </sortState>
  </autoFilter>
  <conditionalFormatting sqref="G404 G421:G423 G431 G433 G436 G439 G448:G450 G452 G461:G462 G466:G473 G475 G483:G485 G487:G489 G491 G494:G501 G503:G505 G507 G561:G564 G566:G568 G570:G572 G574:G575 G577:G578 G583 G589 G607 E608:E610 G609:G611 G638:G651 G767:G770 G807:G808 G849:G861 G863:G865 G977 G984 G991 G998">
    <cfRule type="containsText" dxfId="0" priority="1" operator="containsText" text="Test Driver">
      <formula>NOT(ISERROR(SEARCH(("Test Driver"),(G404))))</formula>
    </cfRule>
  </conditionalFormatting>
  <conditionalFormatting sqref="C1:C3009 B1079">
    <cfRule type="containsText" dxfId="5" priority="2" operator="containsText" text="CW">
      <formula>NOT(ISERROR(SEARCH(("CW"),(C1))))</formula>
    </cfRule>
  </conditionalFormatting>
  <conditionalFormatting sqref="C1:C3009 B1079">
    <cfRule type="containsText" dxfId="6" priority="3" operator="containsText" text="CC">
      <formula>NOT(ISERROR(SEARCH(("CC"),(C1))))</formula>
    </cfRule>
  </conditionalFormatting>
  <conditionalFormatting sqref="C1:C3009 B1079">
    <cfRule type="containsText" dxfId="7" priority="4" operator="containsText" text="UH">
      <formula>NOT(ISERROR(SEARCH(("UH"),(C1))))</formula>
    </cfRule>
  </conditionalFormatting>
  <conditionalFormatting sqref="C1:C3009 B1079">
    <cfRule type="containsText" dxfId="1" priority="5" operator="containsText" text="DH">
      <formula>NOT(ISERROR(SEARCH(("DH"),(C1))))</formula>
    </cfRule>
  </conditionalFormatting>
  <conditionalFormatting sqref="C1:C3009 B1079">
    <cfRule type="containsText" dxfId="8" priority="6" operator="containsText" text="Double">
      <formula>NOT(ISERROR(SEARCH(("Double"),(C1))))</formula>
    </cfRule>
  </conditionalFormatting>
  <conditionalFormatting sqref="C1:C3009 B1079">
    <cfRule type="containsText" dxfId="9" priority="7" operator="containsText" text="OB">
      <formula>NOT(ISERROR(SEARCH(("OB"),(C1))))</formula>
    </cfRule>
  </conditionalFormatting>
  <conditionalFormatting sqref="C1:C3009 B1079">
    <cfRule type="containsText" dxfId="10" priority="8" operator="containsText" text="IB">
      <formula>NOT(ISERROR(SEARCH(("IB"),(C1))))</formula>
    </cfRule>
  </conditionalFormatting>
  <conditionalFormatting sqref="J1:J3009">
    <cfRule type="cellIs" dxfId="11" priority="9" operator="equal">
      <formula>0</formula>
    </cfRule>
  </conditionalFormatting>
  <conditionalFormatting sqref="J1:J3009">
    <cfRule type="cellIs" dxfId="12" priority="10" operator="between">
      <formula>0</formula>
      <formula>-0.00035</formula>
    </cfRule>
  </conditionalFormatting>
  <conditionalFormatting sqref="J1:J3009">
    <cfRule type="cellIs" dxfId="13" priority="11" operator="lessThan">
      <formula>-0.0007</formula>
    </cfRule>
  </conditionalFormatting>
  <conditionalFormatting sqref="J1:J3009">
    <cfRule type="cellIs" dxfId="14" priority="12" operator="between">
      <formula>-0.00035</formula>
      <formula>-0.0007</formula>
    </cfRule>
  </conditionalFormatting>
  <dataValidations>
    <dataValidation type="list" allowBlank="1" showErrorMessage="1" sqref="H2:H3009">
      <formula1>"PC,PCVR,Quest"</formula1>
    </dataValidation>
    <dataValidation type="list" allowBlank="1" showErrorMessage="1" sqref="I2:I3009">
      <formula1>"CVS,Sacc"</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13"/>
    <col customWidth="1" min="5" max="5" width="6.25"/>
    <col customWidth="1" min="8" max="9" width="19.5"/>
    <col customWidth="1" min="10" max="10" width="24.38"/>
  </cols>
  <sheetData>
    <row r="1">
      <c r="A1" s="4" t="s">
        <v>1132</v>
      </c>
      <c r="B1" s="4" t="s">
        <v>1133</v>
      </c>
      <c r="C1" s="4" t="s">
        <v>1134</v>
      </c>
      <c r="D1" s="4" t="s">
        <v>218</v>
      </c>
      <c r="E1" s="4" t="s">
        <v>1135</v>
      </c>
      <c r="F1" s="4" t="s">
        <v>1136</v>
      </c>
      <c r="G1" s="4" t="s">
        <v>1137</v>
      </c>
      <c r="H1" s="4" t="s">
        <v>1138</v>
      </c>
      <c r="I1" s="4" t="s">
        <v>1139</v>
      </c>
      <c r="J1" s="4" t="s">
        <v>1140</v>
      </c>
    </row>
    <row r="2">
      <c r="A2" s="4" t="s">
        <v>1141</v>
      </c>
      <c r="B2" s="4" t="s">
        <v>1142</v>
      </c>
      <c r="C2" s="83" t="s">
        <v>410</v>
      </c>
      <c r="D2" s="4" t="s">
        <v>313</v>
      </c>
      <c r="E2" s="83" t="s">
        <v>205</v>
      </c>
      <c r="F2" s="27">
        <f>COUNTIFS('歷史紀錄'!B:B,C2,'歷史紀錄'!I:I,D2)</f>
        <v>10</v>
      </c>
      <c r="G2" s="102" t="s">
        <v>1143</v>
      </c>
      <c r="H2" s="4" t="s">
        <v>1144</v>
      </c>
      <c r="I2" s="4" t="s">
        <v>1145</v>
      </c>
      <c r="J2" s="4" t="s">
        <v>1146</v>
      </c>
    </row>
    <row r="3">
      <c r="A3" s="4" t="s">
        <v>1147</v>
      </c>
      <c r="B3" s="4" t="s">
        <v>1148</v>
      </c>
      <c r="C3" s="83" t="s">
        <v>410</v>
      </c>
      <c r="D3" s="4" t="s">
        <v>226</v>
      </c>
      <c r="E3" s="83" t="s">
        <v>205</v>
      </c>
      <c r="G3" s="102" t="s">
        <v>1149</v>
      </c>
      <c r="H3" s="4" t="s">
        <v>1144</v>
      </c>
      <c r="I3" s="4" t="s">
        <v>1145</v>
      </c>
      <c r="J3" s="4" t="s">
        <v>1150</v>
      </c>
    </row>
    <row r="4">
      <c r="A4" s="4" t="s">
        <v>1151</v>
      </c>
      <c r="B4" s="4" t="s">
        <v>1152</v>
      </c>
      <c r="C4" s="4" t="s">
        <v>862</v>
      </c>
      <c r="D4" s="4" t="s">
        <v>313</v>
      </c>
      <c r="E4" s="83" t="s">
        <v>205</v>
      </c>
      <c r="F4" s="27">
        <f>COUNTIFS('歷史紀錄'!B:B,C4,'歷史紀錄'!I:I,D4)</f>
        <v>53</v>
      </c>
      <c r="G4" s="102" t="s">
        <v>1153</v>
      </c>
      <c r="H4" s="4" t="s">
        <v>1144</v>
      </c>
      <c r="I4" s="4" t="s">
        <v>1154</v>
      </c>
      <c r="J4" s="4" t="s">
        <v>1155</v>
      </c>
    </row>
    <row r="5">
      <c r="A5" s="4" t="s">
        <v>1156</v>
      </c>
      <c r="B5" s="4" t="s">
        <v>1157</v>
      </c>
      <c r="C5" s="4" t="s">
        <v>1158</v>
      </c>
      <c r="D5" s="4" t="s">
        <v>313</v>
      </c>
      <c r="E5" s="83" t="s">
        <v>205</v>
      </c>
      <c r="F5" s="27">
        <f>COUNTIFS('歷史紀錄'!B:B,C5,'歷史紀錄'!I:I,D5)</f>
        <v>0</v>
      </c>
      <c r="I5" s="4" t="s">
        <v>1159</v>
      </c>
    </row>
    <row r="6">
      <c r="A6" s="4" t="s">
        <v>1160</v>
      </c>
      <c r="B6" s="4" t="s">
        <v>1161</v>
      </c>
      <c r="C6" s="4" t="s">
        <v>297</v>
      </c>
      <c r="D6" s="4" t="s">
        <v>226</v>
      </c>
      <c r="E6" s="4" t="s">
        <v>224</v>
      </c>
      <c r="F6" s="27">
        <f>COUNTIFS('歷史紀錄'!B:B,C6,'歷史紀錄'!I:I,D6)</f>
        <v>36</v>
      </c>
      <c r="G6" s="102" t="s">
        <v>1162</v>
      </c>
      <c r="H6" s="4" t="s">
        <v>1144</v>
      </c>
      <c r="I6" s="4" t="s">
        <v>1163</v>
      </c>
      <c r="J6" s="4" t="s">
        <v>1164</v>
      </c>
    </row>
    <row r="7">
      <c r="A7" s="4" t="s">
        <v>1165</v>
      </c>
      <c r="B7" s="4" t="s">
        <v>1166</v>
      </c>
      <c r="C7" s="4" t="s">
        <v>380</v>
      </c>
      <c r="D7" s="4" t="s">
        <v>226</v>
      </c>
      <c r="E7" s="4" t="s">
        <v>224</v>
      </c>
      <c r="F7" s="27">
        <f>COUNTIFS('歷史紀錄'!B:B,C7,'歷史紀錄'!I:I,D7)</f>
        <v>20</v>
      </c>
      <c r="H7" s="4" t="s">
        <v>1144</v>
      </c>
      <c r="I7" s="4" t="s">
        <v>1167</v>
      </c>
      <c r="J7" s="4" t="s">
        <v>1168</v>
      </c>
    </row>
    <row r="8">
      <c r="A8" s="4" t="s">
        <v>1169</v>
      </c>
      <c r="B8" s="4" t="s">
        <v>1170</v>
      </c>
      <c r="C8" s="4" t="s">
        <v>325</v>
      </c>
      <c r="D8" s="4" t="s">
        <v>226</v>
      </c>
      <c r="E8" s="4" t="s">
        <v>224</v>
      </c>
      <c r="F8" s="27">
        <f>COUNTIFS('歷史紀錄'!B:B,C8,'歷史紀錄'!I:I,D8)</f>
        <v>60</v>
      </c>
      <c r="H8" s="4" t="s">
        <v>1144</v>
      </c>
    </row>
    <row r="9">
      <c r="A9" s="4" t="s">
        <v>1171</v>
      </c>
      <c r="B9" s="4" t="s">
        <v>1172</v>
      </c>
      <c r="C9" s="5" t="s">
        <v>1106</v>
      </c>
      <c r="D9" s="4" t="s">
        <v>226</v>
      </c>
      <c r="E9" s="4" t="s">
        <v>224</v>
      </c>
      <c r="F9" s="27">
        <f>COUNTIFS('歷史紀錄'!B:B,C9,'歷史紀錄'!I:I,D9)</f>
        <v>12</v>
      </c>
      <c r="H9" s="4" t="s">
        <v>1144</v>
      </c>
    </row>
    <row r="10">
      <c r="A10" s="4" t="s">
        <v>1173</v>
      </c>
      <c r="B10" s="4" t="s">
        <v>1174</v>
      </c>
      <c r="C10" s="4" t="s">
        <v>579</v>
      </c>
      <c r="D10" s="4" t="s">
        <v>226</v>
      </c>
      <c r="E10" s="4" t="s">
        <v>224</v>
      </c>
      <c r="F10" s="27">
        <f>COUNTIFS('歷史紀錄'!B:B,C10,'歷史紀錄'!I:I,D10)</f>
        <v>23</v>
      </c>
      <c r="H10" s="4" t="s">
        <v>1144</v>
      </c>
    </row>
    <row r="11">
      <c r="A11" s="4" t="s">
        <v>1175</v>
      </c>
      <c r="B11" s="4" t="s">
        <v>1176</v>
      </c>
      <c r="C11" s="4" t="s">
        <v>237</v>
      </c>
      <c r="D11" s="4" t="s">
        <v>226</v>
      </c>
      <c r="E11" s="4" t="s">
        <v>224</v>
      </c>
      <c r="F11" s="27">
        <f>COUNTIFS('歷史紀錄'!B:B,C11,'歷史紀錄'!I:I,D11)</f>
        <v>93</v>
      </c>
      <c r="H11" s="4" t="s">
        <v>1144</v>
      </c>
      <c r="I11" s="4" t="s">
        <v>1177</v>
      </c>
    </row>
    <row r="12">
      <c r="A12" s="4" t="s">
        <v>1178</v>
      </c>
      <c r="B12" s="4" t="s">
        <v>1179</v>
      </c>
      <c r="C12" s="5" t="s">
        <v>261</v>
      </c>
      <c r="D12" s="4" t="s">
        <v>226</v>
      </c>
      <c r="E12" s="4" t="s">
        <v>224</v>
      </c>
      <c r="F12" s="27">
        <f>COUNTIFS('歷史紀錄'!B:B,C12,'歷史紀錄'!I:I,D12)</f>
        <v>16</v>
      </c>
      <c r="H12" s="4" t="s">
        <v>1144</v>
      </c>
      <c r="I12" s="4" t="s">
        <v>1180</v>
      </c>
    </row>
    <row r="13">
      <c r="A13" s="4" t="s">
        <v>1181</v>
      </c>
      <c r="B13" s="4" t="s">
        <v>1182</v>
      </c>
      <c r="C13" s="4" t="s">
        <v>266</v>
      </c>
      <c r="D13" s="4" t="s">
        <v>226</v>
      </c>
      <c r="E13" s="4" t="s">
        <v>224</v>
      </c>
      <c r="F13" s="27">
        <f>COUNTIFS('歷史紀錄'!B:B,C13,'歷史紀錄'!I:I,D13)</f>
        <v>22</v>
      </c>
      <c r="H13" s="4" t="s">
        <v>1144</v>
      </c>
      <c r="I13" s="4" t="s">
        <v>1183</v>
      </c>
    </row>
    <row r="14">
      <c r="A14" s="4" t="s">
        <v>1184</v>
      </c>
      <c r="B14" s="4" t="s">
        <v>1185</v>
      </c>
      <c r="C14" s="4" t="s">
        <v>1186</v>
      </c>
      <c r="D14" s="4" t="s">
        <v>313</v>
      </c>
      <c r="E14" s="4" t="s">
        <v>1187</v>
      </c>
      <c r="G14" s="102" t="s">
        <v>1188</v>
      </c>
      <c r="H14" s="4" t="s">
        <v>231</v>
      </c>
      <c r="I14" s="4" t="s">
        <v>1177</v>
      </c>
      <c r="J14" s="4" t="s">
        <v>1189</v>
      </c>
    </row>
    <row r="15">
      <c r="A15" s="4" t="s">
        <v>1190</v>
      </c>
      <c r="B15" s="4" t="s">
        <v>1185</v>
      </c>
      <c r="C15" s="4" t="s">
        <v>1191</v>
      </c>
      <c r="D15" s="4" t="s">
        <v>313</v>
      </c>
      <c r="E15" s="4" t="s">
        <v>1187</v>
      </c>
      <c r="G15" s="102" t="s">
        <v>1192</v>
      </c>
      <c r="H15" s="4" t="s">
        <v>1193</v>
      </c>
      <c r="I15" s="4" t="s">
        <v>1194</v>
      </c>
      <c r="J15" s="4" t="s">
        <v>1189</v>
      </c>
    </row>
    <row r="16">
      <c r="A16" s="4" t="s">
        <v>1195</v>
      </c>
      <c r="B16" s="4" t="s">
        <v>1196</v>
      </c>
      <c r="C16" s="4" t="s">
        <v>960</v>
      </c>
      <c r="D16" s="4" t="s">
        <v>313</v>
      </c>
      <c r="E16" s="4" t="s">
        <v>1197</v>
      </c>
      <c r="F16" s="27">
        <f>COUNTIFS('歷史紀錄'!B:B,C16,'歷史紀錄'!I:I,D16)</f>
        <v>13</v>
      </c>
      <c r="G16" s="102" t="s">
        <v>1198</v>
      </c>
      <c r="H16" s="4" t="s">
        <v>231</v>
      </c>
      <c r="I16" s="4" t="s">
        <v>1199</v>
      </c>
      <c r="J16" s="4" t="s">
        <v>1200</v>
      </c>
    </row>
    <row r="17">
      <c r="C17" s="4" t="s">
        <v>418</v>
      </c>
      <c r="D17" s="4" t="s">
        <v>226</v>
      </c>
      <c r="E17" s="4" t="s">
        <v>224</v>
      </c>
      <c r="F17" s="27">
        <f>COUNTIFS('歷史紀錄'!B:B,C17,'歷史紀錄'!I:I,D17)</f>
        <v>42</v>
      </c>
      <c r="H17" s="4" t="s">
        <v>1144</v>
      </c>
    </row>
    <row r="18">
      <c r="C18" s="4" t="s">
        <v>445</v>
      </c>
      <c r="D18" s="4" t="s">
        <v>226</v>
      </c>
      <c r="E18" s="4" t="s">
        <v>224</v>
      </c>
      <c r="F18" s="27">
        <f>COUNTIFS('歷史紀錄'!B:B,C18,'歷史紀錄'!I:I,D18)</f>
        <v>110</v>
      </c>
      <c r="H18" s="4" t="s">
        <v>1144</v>
      </c>
    </row>
    <row r="19">
      <c r="C19" s="14" t="s">
        <v>463</v>
      </c>
      <c r="D19" s="4" t="s">
        <v>226</v>
      </c>
      <c r="E19" s="4" t="s">
        <v>224</v>
      </c>
      <c r="F19" s="27">
        <f>COUNTIFS('歷史紀錄'!B:B,C19,'歷史紀錄'!I:I,D19)</f>
        <v>12</v>
      </c>
      <c r="H19" s="4" t="s">
        <v>1144</v>
      </c>
    </row>
    <row r="20">
      <c r="C20" s="4" t="s">
        <v>435</v>
      </c>
      <c r="D20" s="4" t="s">
        <v>226</v>
      </c>
      <c r="E20" s="4" t="s">
        <v>224</v>
      </c>
      <c r="F20" s="27">
        <f>COUNTIFS('歷史紀錄'!B:B,C20,'歷史紀錄'!I:I,D20)</f>
        <v>47</v>
      </c>
      <c r="H20" s="4" t="s">
        <v>1144</v>
      </c>
    </row>
    <row r="21">
      <c r="C21" s="4" t="s">
        <v>398</v>
      </c>
      <c r="D21" s="4" t="s">
        <v>226</v>
      </c>
      <c r="E21" s="4" t="s">
        <v>224</v>
      </c>
      <c r="F21" s="27">
        <f>COUNTIFS('歷史紀錄'!B:B,C21,'歷史紀錄'!I:I,D21)</f>
        <v>71</v>
      </c>
      <c r="H21" s="4" t="s">
        <v>1144</v>
      </c>
    </row>
    <row r="22">
      <c r="C22" s="5" t="s">
        <v>393</v>
      </c>
      <c r="D22" s="4" t="s">
        <v>226</v>
      </c>
      <c r="E22" s="4" t="s">
        <v>224</v>
      </c>
      <c r="F22" s="27">
        <f>COUNTIFS('歷史紀錄'!B:B,C22,'歷史紀錄'!I:I,D22)</f>
        <v>17</v>
      </c>
      <c r="H22" s="4" t="s">
        <v>1144</v>
      </c>
    </row>
    <row r="23">
      <c r="C23" s="4" t="s">
        <v>289</v>
      </c>
      <c r="D23" s="4" t="s">
        <v>226</v>
      </c>
      <c r="E23" s="4" t="s">
        <v>224</v>
      </c>
      <c r="F23" s="27">
        <f>COUNTIFS('歷史紀錄'!B:B,C23,'歷史紀錄'!I:I,D23)</f>
        <v>8</v>
      </c>
      <c r="H23" s="4" t="s">
        <v>1144</v>
      </c>
    </row>
    <row r="24">
      <c r="C24" s="4" t="s">
        <v>550</v>
      </c>
      <c r="D24" s="4" t="s">
        <v>226</v>
      </c>
      <c r="E24" s="4" t="s">
        <v>224</v>
      </c>
      <c r="F24" s="27">
        <f>COUNTIFS('歷史紀錄'!B:B,C24,'歷史紀錄'!I:I,D24)</f>
        <v>17</v>
      </c>
      <c r="H24" s="4" t="s">
        <v>1144</v>
      </c>
    </row>
    <row r="25">
      <c r="C25" s="5" t="s">
        <v>438</v>
      </c>
      <c r="D25" s="4" t="s">
        <v>226</v>
      </c>
      <c r="E25" s="4" t="s">
        <v>224</v>
      </c>
      <c r="F25" s="27">
        <f>COUNTIFS('歷史紀錄'!B:B,C25,'歷史紀錄'!I:I,D25)</f>
        <v>32</v>
      </c>
      <c r="H25" s="4" t="s">
        <v>1144</v>
      </c>
    </row>
    <row r="26">
      <c r="C26" s="14" t="s">
        <v>688</v>
      </c>
      <c r="D26" s="4" t="s">
        <v>226</v>
      </c>
      <c r="E26" s="4" t="s">
        <v>224</v>
      </c>
      <c r="F26" s="27">
        <f>COUNTIFS('歷史紀錄'!B:B,C26,'歷史紀錄'!I:I,D26)</f>
        <v>14</v>
      </c>
      <c r="H26" s="4" t="s">
        <v>1144</v>
      </c>
    </row>
    <row r="27">
      <c r="C27" s="5" t="s">
        <v>308</v>
      </c>
      <c r="D27" s="4" t="s">
        <v>226</v>
      </c>
      <c r="E27" s="4" t="s">
        <v>224</v>
      </c>
      <c r="F27" s="27">
        <f>COUNTIFS('歷史紀錄'!B:B,C27,'歷史紀錄'!I:I,D27)</f>
        <v>14</v>
      </c>
      <c r="H27" s="4" t="s">
        <v>1144</v>
      </c>
    </row>
    <row r="28">
      <c r="C28" s="4" t="s">
        <v>222</v>
      </c>
      <c r="D28" s="4" t="s">
        <v>226</v>
      </c>
      <c r="E28" s="4" t="s">
        <v>224</v>
      </c>
      <c r="F28" s="27">
        <f>COUNTIFS('歷史紀錄'!B:B,C28,'歷史紀錄'!I:I,D28)</f>
        <v>30</v>
      </c>
      <c r="H28" s="4" t="s">
        <v>1144</v>
      </c>
    </row>
    <row r="29">
      <c r="C29" s="4" t="s">
        <v>466</v>
      </c>
      <c r="D29" s="4" t="s">
        <v>226</v>
      </c>
      <c r="E29" s="4" t="s">
        <v>224</v>
      </c>
      <c r="F29" s="27">
        <f>COUNTIFS('歷史紀錄'!B:B,C29,'歷史紀錄'!I:I,D29)</f>
        <v>20</v>
      </c>
      <c r="H29" s="4" t="s">
        <v>1144</v>
      </c>
    </row>
    <row r="30" ht="17.25" customHeight="1">
      <c r="C30" s="4" t="s">
        <v>473</v>
      </c>
      <c r="D30" s="4" t="s">
        <v>226</v>
      </c>
      <c r="E30" s="4" t="s">
        <v>224</v>
      </c>
      <c r="F30" s="27">
        <f>COUNTIFS('歷史紀錄'!B:B,C30,'歷史紀錄'!I:I,D30)</f>
        <v>17</v>
      </c>
      <c r="H30" s="4" t="s">
        <v>1144</v>
      </c>
    </row>
    <row r="31">
      <c r="C31" s="5" t="s">
        <v>1105</v>
      </c>
      <c r="D31" s="4" t="s">
        <v>226</v>
      </c>
      <c r="E31" s="4" t="s">
        <v>224</v>
      </c>
      <c r="F31" s="27">
        <f>COUNTIFS('歷史紀錄'!B:B,C31,'歷史紀錄'!I:I,D31)</f>
        <v>12</v>
      </c>
      <c r="H31" s="4" t="s">
        <v>1144</v>
      </c>
    </row>
    <row r="32">
      <c r="C32" s="5" t="s">
        <v>389</v>
      </c>
      <c r="D32" s="4" t="s">
        <v>226</v>
      </c>
      <c r="E32" s="4" t="s">
        <v>224</v>
      </c>
      <c r="F32" s="27">
        <f>COUNTIFS('歷史紀錄'!B:B,C32,'歷史紀錄'!I:I,D32)</f>
        <v>10</v>
      </c>
      <c r="H32" s="4" t="s">
        <v>1144</v>
      </c>
    </row>
    <row r="33">
      <c r="C33" s="4" t="s">
        <v>856</v>
      </c>
      <c r="D33" s="4" t="s">
        <v>226</v>
      </c>
      <c r="E33" s="4" t="s">
        <v>224</v>
      </c>
      <c r="F33" s="27">
        <f>COUNTIFS('歷史紀錄'!B:B,C33,'歷史紀錄'!I:I,D33)</f>
        <v>20</v>
      </c>
      <c r="H33" s="4" t="s">
        <v>1144</v>
      </c>
    </row>
    <row r="34">
      <c r="C34" s="5" t="s">
        <v>1112</v>
      </c>
      <c r="D34" s="4" t="s">
        <v>226</v>
      </c>
      <c r="E34" s="4" t="s">
        <v>224</v>
      </c>
      <c r="F34" s="27">
        <f>COUNTIFS('歷史紀錄'!B:B,C34,'歷史紀錄'!I:I,D34)</f>
        <v>10</v>
      </c>
      <c r="H34" s="4" t="s">
        <v>1144</v>
      </c>
    </row>
    <row r="35">
      <c r="C35" s="5" t="s">
        <v>707</v>
      </c>
      <c r="D35" s="4" t="s">
        <v>226</v>
      </c>
      <c r="E35" s="4" t="s">
        <v>224</v>
      </c>
      <c r="F35" s="27">
        <f>COUNTIFS('歷史紀錄'!B:B,C35,'歷史紀錄'!I:I,D35)</f>
        <v>21</v>
      </c>
      <c r="H35" s="4" t="s">
        <v>1144</v>
      </c>
    </row>
    <row r="36">
      <c r="C36" s="4" t="s">
        <v>281</v>
      </c>
      <c r="D36" s="4" t="s">
        <v>226</v>
      </c>
      <c r="E36" s="4" t="s">
        <v>224</v>
      </c>
      <c r="F36" s="27">
        <f>COUNTIFS('歷史紀錄'!B:B,C36,'歷史紀錄'!I:I,D36)</f>
        <v>21</v>
      </c>
      <c r="H36" s="4" t="s">
        <v>1144</v>
      </c>
    </row>
    <row r="37">
      <c r="C37" s="4" t="s">
        <v>286</v>
      </c>
      <c r="D37" s="4" t="s">
        <v>226</v>
      </c>
      <c r="E37" s="4" t="s">
        <v>224</v>
      </c>
      <c r="F37" s="27">
        <f>COUNTIFS('歷史紀錄'!B:B,C37,'歷史紀錄'!I:I,D37)</f>
        <v>14</v>
      </c>
      <c r="H37" s="4" t="s">
        <v>1144</v>
      </c>
    </row>
    <row r="38">
      <c r="C38" s="14" t="s">
        <v>322</v>
      </c>
      <c r="D38" s="4" t="s">
        <v>226</v>
      </c>
      <c r="E38" s="4" t="s">
        <v>224</v>
      </c>
      <c r="F38" s="27">
        <f>COUNTIFS('歷史紀錄'!B:B,C38,'歷史紀錄'!I:I,D38)</f>
        <v>15</v>
      </c>
      <c r="H38" s="4" t="s">
        <v>1144</v>
      </c>
    </row>
    <row r="39">
      <c r="C39" s="14" t="s">
        <v>391</v>
      </c>
      <c r="D39" s="4" t="s">
        <v>226</v>
      </c>
      <c r="E39" s="4" t="s">
        <v>224</v>
      </c>
      <c r="F39" s="27">
        <f>COUNTIFS('歷史紀錄'!B:B,C39,'歷史紀錄'!I:I,D39)</f>
        <v>8</v>
      </c>
      <c r="H39" s="4" t="s">
        <v>1144</v>
      </c>
    </row>
    <row r="40">
      <c r="C40" s="5" t="s">
        <v>279</v>
      </c>
      <c r="D40" s="4" t="s">
        <v>226</v>
      </c>
      <c r="E40" s="4" t="s">
        <v>224</v>
      </c>
      <c r="F40" s="27">
        <f>COUNTIFS('歷史紀錄'!B:B,C40,'歷史紀錄'!I:I,D40)</f>
        <v>9</v>
      </c>
      <c r="H40" s="4" t="s">
        <v>1144</v>
      </c>
    </row>
    <row r="41">
      <c r="C41" s="4" t="s">
        <v>593</v>
      </c>
      <c r="D41" s="4" t="s">
        <v>313</v>
      </c>
      <c r="E41" s="4" t="s">
        <v>594</v>
      </c>
      <c r="F41" s="27">
        <f>COUNTIFS('歷史紀錄'!B:B,C41,'歷史紀錄'!I:I,D41)</f>
        <v>31</v>
      </c>
    </row>
    <row r="42">
      <c r="C42" s="4" t="s">
        <v>593</v>
      </c>
      <c r="D42" s="4" t="s">
        <v>313</v>
      </c>
      <c r="E42" s="4" t="s">
        <v>594</v>
      </c>
      <c r="F42" s="27">
        <f>COUNTIFS('歷史紀錄'!B:B,C42,'歷史紀錄'!I:I,D42)</f>
        <v>31</v>
      </c>
    </row>
    <row r="43">
      <c r="C43" s="4" t="s">
        <v>723</v>
      </c>
      <c r="D43" s="4" t="s">
        <v>313</v>
      </c>
      <c r="E43" s="4" t="s">
        <v>594</v>
      </c>
      <c r="F43" s="27">
        <f>COUNTIFS('歷史紀錄'!B:B,C43,'歷史紀錄'!I:I,D43)</f>
        <v>14</v>
      </c>
    </row>
    <row r="44">
      <c r="C44" s="4" t="s">
        <v>632</v>
      </c>
      <c r="D44" s="4" t="s">
        <v>313</v>
      </c>
      <c r="E44" s="4" t="s">
        <v>594</v>
      </c>
      <c r="F44" s="27">
        <f>COUNTIFS('歷史紀錄'!B:B,C44,'歷史紀錄'!I:I,D44)</f>
        <v>6</v>
      </c>
    </row>
    <row r="45">
      <c r="C45" s="4" t="s">
        <v>911</v>
      </c>
      <c r="D45" s="4" t="s">
        <v>313</v>
      </c>
      <c r="E45" s="4" t="s">
        <v>594</v>
      </c>
      <c r="F45" s="27">
        <f>COUNTIFS('歷史紀錄'!B:B,C45,'歷史紀錄'!I:I,D45)</f>
        <v>1</v>
      </c>
    </row>
    <row r="46">
      <c r="C46" s="14" t="s">
        <v>630</v>
      </c>
      <c r="D46" s="4" t="s">
        <v>313</v>
      </c>
      <c r="E46" s="4" t="s">
        <v>594</v>
      </c>
      <c r="F46" s="27">
        <f>COUNTIFS('歷史紀錄'!B:B,C46,'歷史紀錄'!I:I,D46)</f>
        <v>4</v>
      </c>
    </row>
    <row r="47">
      <c r="C47" s="5" t="s">
        <v>527</v>
      </c>
      <c r="D47" s="4" t="s">
        <v>313</v>
      </c>
      <c r="F47" s="27">
        <f>COUNTIFS('歷史紀錄'!B:B,C47,'歷史紀錄'!I:I,D47)</f>
        <v>5</v>
      </c>
    </row>
    <row r="48">
      <c r="C48" s="4" t="s">
        <v>914</v>
      </c>
      <c r="D48" s="4" t="s">
        <v>313</v>
      </c>
      <c r="F48" s="27">
        <f>COUNTIFS('歷史紀錄'!B:B,C48,'歷史紀錄'!I:I,D48)</f>
        <v>19</v>
      </c>
    </row>
    <row r="49">
      <c r="A49" s="4" t="s">
        <v>1201</v>
      </c>
      <c r="B49" s="4" t="s">
        <v>1202</v>
      </c>
      <c r="C49" s="4" t="s">
        <v>1203</v>
      </c>
      <c r="D49" s="4" t="s">
        <v>313</v>
      </c>
      <c r="E49" s="4" t="s">
        <v>1197</v>
      </c>
      <c r="F49" s="27">
        <f>COUNTIFS('歷史紀錄'!B:B,C49,'歷史紀錄'!I:I,D49)</f>
        <v>0</v>
      </c>
      <c r="G49" s="103" t="s">
        <v>1204</v>
      </c>
      <c r="H49" s="4" t="s">
        <v>231</v>
      </c>
      <c r="I49" s="4" t="s">
        <v>1205</v>
      </c>
    </row>
    <row r="51">
      <c r="A51" s="4" t="s">
        <v>1206</v>
      </c>
      <c r="B51" s="4" t="s">
        <v>1207</v>
      </c>
      <c r="C51" s="4" t="s">
        <v>1208</v>
      </c>
      <c r="D51" s="4" t="s">
        <v>313</v>
      </c>
      <c r="E51" s="4" t="s">
        <v>1197</v>
      </c>
      <c r="F51" s="27">
        <f>COUNTIFS('歷史紀錄'!B:B,C51,'歷史紀錄'!I:I,D51)</f>
        <v>0</v>
      </c>
      <c r="G51" s="103" t="s">
        <v>1209</v>
      </c>
      <c r="H51" s="4" t="s">
        <v>231</v>
      </c>
      <c r="I51" s="4" t="s">
        <v>1205</v>
      </c>
    </row>
    <row r="52">
      <c r="A52" s="4" t="s">
        <v>1210</v>
      </c>
      <c r="B52" s="4" t="s">
        <v>1211</v>
      </c>
      <c r="C52" s="4" t="s">
        <v>1212</v>
      </c>
      <c r="D52" s="4" t="s">
        <v>313</v>
      </c>
      <c r="E52" s="4" t="s">
        <v>1197</v>
      </c>
      <c r="F52" s="27">
        <f>COUNTIFS('歷史紀錄'!B:B,C52,'歷史紀錄'!I:I,D52)</f>
        <v>0</v>
      </c>
      <c r="G52" s="102" t="s">
        <v>1213</v>
      </c>
      <c r="H52" s="4" t="s">
        <v>231</v>
      </c>
    </row>
    <row r="54">
      <c r="A54" s="4" t="s">
        <v>1214</v>
      </c>
      <c r="B54" s="4"/>
      <c r="C54" s="4"/>
      <c r="D54" s="4" t="s">
        <v>313</v>
      </c>
    </row>
    <row r="55">
      <c r="A55" s="4" t="s">
        <v>1215</v>
      </c>
      <c r="B55" s="4"/>
      <c r="C55" s="4"/>
      <c r="D55" s="4" t="s">
        <v>313</v>
      </c>
    </row>
    <row r="57">
      <c r="A57" s="4" t="s">
        <v>1216</v>
      </c>
      <c r="B57" s="4" t="s">
        <v>1217</v>
      </c>
      <c r="C57" s="4" t="s">
        <v>944</v>
      </c>
      <c r="D57" s="4" t="s">
        <v>313</v>
      </c>
      <c r="E57" s="4" t="s">
        <v>945</v>
      </c>
      <c r="F57" s="27">
        <f>COUNTIFS('歷史紀錄'!B:B,C57,'歷史紀錄'!I:I,D57)</f>
        <v>4</v>
      </c>
      <c r="G57" s="102" t="s">
        <v>1218</v>
      </c>
      <c r="H57" s="4" t="s">
        <v>1219</v>
      </c>
      <c r="I57" s="4" t="s">
        <v>1220</v>
      </c>
    </row>
    <row r="58">
      <c r="C58" s="4" t="s">
        <v>1010</v>
      </c>
      <c r="D58" s="4" t="s">
        <v>313</v>
      </c>
      <c r="F58" s="27">
        <f>COUNTIFS('歷史紀錄'!B:B,C58,'歷史紀錄'!I:I,D58)</f>
        <v>16</v>
      </c>
    </row>
  </sheetData>
  <conditionalFormatting sqref="C9 C12 C22 C25:C27 C31:C32 C34:C35 C38:C40 C46">
    <cfRule type="containsText" dxfId="2" priority="1" operator="containsText" text="Sacc">
      <formula>NOT(ISERROR(SEARCH(("Sacc"),(C9))))</formula>
    </cfRule>
  </conditionalFormatting>
  <conditionalFormatting sqref="C9 C12 C22 C25:C27 C31:C32 C34:C35 C38:C40 C46">
    <cfRule type="containsText" dxfId="3" priority="2" operator="containsText" text="CVS">
      <formula>NOT(ISERROR(SEARCH(("CVS"),(C9))))</formula>
    </cfRule>
  </conditionalFormatting>
  <conditionalFormatting sqref="C9 C12 C19 C22 C25:C27 C31:C32 C34:C35 C38:C40 C46:C47">
    <cfRule type="containsText" dxfId="4" priority="3" operator="containsText" text="Test Driver">
      <formula>NOT(ISERROR(SEARCH(("Test Driver"),(C9))))</formula>
    </cfRule>
  </conditionalFormatting>
  <hyperlinks>
    <hyperlink r:id="rId1" ref="G2"/>
    <hyperlink r:id="rId2" ref="G3"/>
    <hyperlink r:id="rId3" ref="G4"/>
    <hyperlink r:id="rId4" ref="G6"/>
    <hyperlink r:id="rId5" ref="G14"/>
    <hyperlink r:id="rId6" ref="G15"/>
    <hyperlink r:id="rId7" ref="G16"/>
    <hyperlink r:id="rId8" ref="G49"/>
    <hyperlink r:id="rId9" ref="G51"/>
    <hyperlink r:id="rId10" ref="G52"/>
    <hyperlink r:id="rId11" ref="G57"/>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579</v>
      </c>
      <c r="B1" s="4" t="s">
        <v>381</v>
      </c>
      <c r="D1" s="5" t="str">
        <f>'依賽道-個人紀錄'!A84</f>
        <v>Kinokono_Tenka</v>
      </c>
      <c r="E1" s="5">
        <f>'依賽道-個人紀錄'!B84</f>
        <v>0.002324780093</v>
      </c>
      <c r="F1" s="5" t="str">
        <f>'依賽道-個人紀錄'!C84</f>
        <v>GC8-F (Impreza)</v>
      </c>
      <c r="G1" s="5" t="str">
        <f>'依賽道-個人紀錄'!D84</f>
        <v>PCVR</v>
      </c>
    </row>
    <row r="2">
      <c r="A2" s="4" t="s">
        <v>579</v>
      </c>
      <c r="B2" s="4" t="s">
        <v>383</v>
      </c>
      <c r="D2" s="5" t="str">
        <f>'依賽道-個人紀錄'!E84</f>
        <v>Kinokono_Tenka</v>
      </c>
      <c r="E2" s="5">
        <f>'依賽道-個人紀錄'!F84</f>
        <v>0.002324780093</v>
      </c>
      <c r="F2" s="5" t="str">
        <f>'依賽道-個人紀錄'!G84</f>
        <v>GC8-F (Impreza)</v>
      </c>
      <c r="G2" s="5" t="str">
        <f>'依賽道-個人紀錄'!H84</f>
        <v>PCVR</v>
      </c>
    </row>
    <row r="3">
      <c r="A3" s="4" t="s">
        <v>222</v>
      </c>
      <c r="B3" s="4" t="s">
        <v>223</v>
      </c>
      <c r="D3" s="5" t="str">
        <f>'依賽道-個人紀錄'!A72</f>
        <v>Lolidia</v>
      </c>
      <c r="E3" s="5">
        <f>'依賽道-個人紀錄'!B72</f>
        <v>0.002051909722</v>
      </c>
      <c r="F3" s="5" t="str">
        <f>'依賽道-個人紀錄'!C72</f>
        <v>FD3S (RX7) V2</v>
      </c>
      <c r="G3" s="5" t="str">
        <f>'依賽道-個人紀錄'!D72</f>
        <v>PCVR</v>
      </c>
    </row>
    <row r="4">
      <c r="A4" s="4" t="s">
        <v>222</v>
      </c>
      <c r="B4" s="4" t="s">
        <v>242</v>
      </c>
      <c r="D4" s="5" t="str">
        <f>'依賽道-個人紀錄'!E72</f>
        <v>Redfrogss</v>
      </c>
      <c r="E4" s="5">
        <f>'依賽道-個人紀錄'!F72</f>
        <v>0.002389363426</v>
      </c>
      <c r="F4" s="5" t="str">
        <f>'依賽道-個人紀錄'!G72</f>
        <v>FD3S (RX7) V2                                                 </v>
      </c>
      <c r="G4" s="5" t="str">
        <f>'依賽道-個人紀錄'!H72</f>
        <v>PCVR</v>
      </c>
    </row>
    <row r="5">
      <c r="A5" s="4" t="s">
        <v>237</v>
      </c>
      <c r="B5" s="4" t="s">
        <v>223</v>
      </c>
      <c r="D5" s="5" t="str">
        <f>'依賽道-個人紀錄'!A4</f>
        <v>Lolidia</v>
      </c>
      <c r="E5" s="5">
        <f>'依賽道-個人紀錄'!B4</f>
        <v>0.002393657407</v>
      </c>
      <c r="F5" s="5" t="str">
        <f>'依賽道-個人紀錄'!C4</f>
        <v>AE86T-V2</v>
      </c>
      <c r="G5" s="5" t="str">
        <f>'依賽道-個人紀錄'!D4</f>
        <v>PCVR</v>
      </c>
    </row>
    <row r="6">
      <c r="A6" s="4" t="s">
        <v>237</v>
      </c>
      <c r="B6" s="4" t="s">
        <v>242</v>
      </c>
      <c r="D6" s="5" t="str">
        <f>'依賽道-個人紀錄'!E4</f>
        <v>Lolidia</v>
      </c>
      <c r="E6" s="5">
        <f>'依賽道-個人紀錄'!F4</f>
        <v>0.002610914352</v>
      </c>
      <c r="F6" s="5" t="str">
        <f>'依賽道-個人紀錄'!G4</f>
        <v>AE86T-V2</v>
      </c>
      <c r="G6" s="5" t="str">
        <f>'依賽道-個人紀錄'!H4</f>
        <v>PCVR</v>
      </c>
    </row>
    <row r="7">
      <c r="A7" s="4" t="s">
        <v>261</v>
      </c>
      <c r="B7" s="4" t="s">
        <v>223</v>
      </c>
      <c r="D7" s="5" t="str">
        <f>'依賽道-個人紀錄'!A345</f>
        <v>Lolidia</v>
      </c>
      <c r="E7" s="5">
        <f>'依賽道-個人紀錄'!B345</f>
        <v>0.002673865741</v>
      </c>
      <c r="F7" s="5" t="str">
        <f>'依賽道-個人紀錄'!C345</f>
        <v>AE86T</v>
      </c>
      <c r="G7" s="5" t="str">
        <f>'依賽道-個人紀錄'!D345</f>
        <v>PCVR</v>
      </c>
    </row>
    <row r="8">
      <c r="A8" s="4" t="s">
        <v>261</v>
      </c>
      <c r="B8" s="4" t="s">
        <v>242</v>
      </c>
      <c r="D8" s="5" t="str">
        <f>'依賽道-個人紀錄'!E345</f>
        <v>Test Driver</v>
      </c>
      <c r="E8" s="5">
        <f>'依賽道-個人紀錄'!F345</f>
        <v>0.006944444444</v>
      </c>
      <c r="F8" s="5" t="str">
        <f>'依賽道-個人紀錄'!G345</f>
        <v>AE86T</v>
      </c>
      <c r="G8" s="5" t="str">
        <f>'依賽道-個人紀錄'!H345</f>
        <v/>
      </c>
    </row>
    <row r="9">
      <c r="A9" s="4" t="s">
        <v>266</v>
      </c>
      <c r="B9" s="4" t="s">
        <v>223</v>
      </c>
      <c r="D9" s="5" t="str">
        <f>'依賽道-個人紀錄'!A27</f>
        <v>Lolidia</v>
      </c>
      <c r="E9" s="5">
        <f>'依賽道-個人紀錄'!B27</f>
        <v>0.002543217593</v>
      </c>
      <c r="F9" s="5" t="str">
        <f>'依賽道-個人紀錄'!C27</f>
        <v>AE86T</v>
      </c>
      <c r="G9" s="5" t="str">
        <f>'依賽道-個人紀錄'!D27</f>
        <v>PCVR</v>
      </c>
    </row>
    <row r="10">
      <c r="A10" s="4" t="s">
        <v>266</v>
      </c>
      <c r="B10" s="4" t="s">
        <v>242</v>
      </c>
      <c r="D10" s="5" t="str">
        <f>'依賽道-個人紀錄'!E27</f>
        <v>Test Driver</v>
      </c>
      <c r="E10" s="5">
        <f>'依賽道-個人紀錄'!F27</f>
        <v>0.006944444444</v>
      </c>
      <c r="F10" s="5" t="str">
        <f>'依賽道-個人紀錄'!G27</f>
        <v>AE86T-V2</v>
      </c>
      <c r="G10" s="5" t="str">
        <f>'依賽道-個人紀錄'!H27</f>
        <v/>
      </c>
    </row>
    <row r="11">
      <c r="A11" s="4"/>
      <c r="B11" s="4"/>
    </row>
    <row r="12">
      <c r="A12" s="4"/>
      <c r="B12" s="4"/>
    </row>
    <row r="13">
      <c r="A13" s="4" t="s">
        <v>960</v>
      </c>
      <c r="B13" s="4" t="s">
        <v>223</v>
      </c>
      <c r="D13" s="4" t="s">
        <v>1221</v>
      </c>
      <c r="E13" s="4" t="s">
        <v>1221</v>
      </c>
    </row>
    <row r="14">
      <c r="A14" s="4" t="s">
        <v>297</v>
      </c>
      <c r="B14" s="4" t="s">
        <v>223</v>
      </c>
      <c r="D14" s="5" t="str">
        <f>'依賽道-個人紀錄'!E48</f>
        <v>Yune</v>
      </c>
      <c r="E14" s="5">
        <f>'依賽道-個人紀錄'!F48</f>
        <v>0.002489467593</v>
      </c>
      <c r="F14" s="5" t="str">
        <f>'依賽道-個人紀錄'!G48</f>
        <v>AE86T</v>
      </c>
      <c r="G14" s="5" t="str">
        <f>'依賽道-個人紀錄'!H48</f>
        <v>PC</v>
      </c>
    </row>
    <row r="15">
      <c r="A15" s="83" t="s">
        <v>325</v>
      </c>
      <c r="B15" s="83" t="s">
        <v>223</v>
      </c>
      <c r="D15" s="5" t="str">
        <f>'依賽道-個人紀錄'!A35</f>
        <v>Lolidia</v>
      </c>
      <c r="E15" s="5">
        <f>'依賽道-個人紀錄'!B35</f>
        <v>0.002172326389</v>
      </c>
      <c r="F15" s="5" t="str">
        <f>'依賽道-個人紀錄'!C35</f>
        <v>BNR32</v>
      </c>
      <c r="G15" s="5" t="str">
        <f>'依賽道-個人紀錄'!D35</f>
        <v>PCVR</v>
      </c>
    </row>
    <row r="16">
      <c r="A16" s="83" t="s">
        <v>325</v>
      </c>
      <c r="B16" s="70" t="s">
        <v>242</v>
      </c>
      <c r="D16" s="5" t="str">
        <f>'依賽道-個人紀錄'!E35</f>
        <v>StarRiver Arts</v>
      </c>
      <c r="E16" s="5">
        <f>'依賽道-個人紀錄'!F35</f>
        <v>0.002464525463</v>
      </c>
      <c r="F16" s="5" t="str">
        <f>'依賽道-個人紀錄'!G35</f>
        <v>EVOVII/CT9A</v>
      </c>
      <c r="G16" s="5" t="str">
        <f>'依賽道-個人紀錄'!H35</f>
        <v>PC</v>
      </c>
    </row>
    <row r="17">
      <c r="A17" s="4" t="s">
        <v>380</v>
      </c>
      <c r="B17" s="4" t="s">
        <v>381</v>
      </c>
      <c r="D17" s="5" t="str">
        <f>'依賽道-個人紀錄'!A63</f>
        <v>Kinokono_Tenka</v>
      </c>
      <c r="E17" s="5">
        <f>'依賽道-個人紀錄'!B63</f>
        <v>0.002265289352</v>
      </c>
      <c r="F17" s="5" t="str">
        <f>'依賽道-個人紀錄'!C63</f>
        <v>EG6 (civic)</v>
      </c>
      <c r="G17" s="5" t="str">
        <f>'依賽道-個人紀錄'!D63</f>
        <v>PCVR</v>
      </c>
    </row>
    <row r="18">
      <c r="A18" s="4" t="s">
        <v>380</v>
      </c>
      <c r="B18" s="4" t="s">
        <v>383</v>
      </c>
      <c r="D18" s="5" t="str">
        <f>'依賽道-個人紀錄'!E63</f>
        <v>Redfrogss</v>
      </c>
      <c r="E18" s="5">
        <f>'依賽道-個人紀錄'!F63</f>
        <v>0.002278055556</v>
      </c>
      <c r="F18" s="5" t="str">
        <f>'依賽道-個人紀錄'!G63</f>
        <v>S13</v>
      </c>
      <c r="G18" s="5" t="str">
        <f>'依賽道-個人紀錄'!H63</f>
        <v>PCVR</v>
      </c>
    </row>
    <row r="19">
      <c r="A19" s="4" t="s">
        <v>418</v>
      </c>
      <c r="B19" s="4" t="s">
        <v>419</v>
      </c>
      <c r="D19" s="5" t="str">
        <f>'依賽道-個人紀錄'!A159</f>
        <v>Lolidia</v>
      </c>
      <c r="E19" s="5">
        <f>'依賽道-個人紀錄'!B159</f>
        <v>0.002249224537</v>
      </c>
      <c r="F19" s="5" t="str">
        <f>'依賽道-個人紀錄'!C159</f>
        <v>FD3S (RX7)(ST)</v>
      </c>
      <c r="G19" s="5" t="str">
        <f>'依賽道-個人紀錄'!D159</f>
        <v>PCVR</v>
      </c>
    </row>
    <row r="20">
      <c r="A20" s="4" t="s">
        <v>418</v>
      </c>
      <c r="B20" s="4" t="s">
        <v>421</v>
      </c>
      <c r="D20" s="5" t="str">
        <f>'依賽道-個人紀錄'!A168</f>
        <v>StarRiver Arts</v>
      </c>
      <c r="E20" s="5">
        <f>'依賽道-個人紀錄'!B168</f>
        <v>0.001793599537</v>
      </c>
      <c r="F20" s="5" t="str">
        <f>'依賽道-個人紀錄'!C168</f>
        <v>AE86T</v>
      </c>
      <c r="G20" s="5" t="str">
        <f>'依賽道-個人紀錄'!D168</f>
        <v>PC</v>
      </c>
    </row>
    <row r="21">
      <c r="A21" s="4" t="s">
        <v>418</v>
      </c>
      <c r="B21" s="4" t="s">
        <v>432</v>
      </c>
      <c r="D21" s="5" t="str">
        <f>'依賽道-個人紀錄'!E159</f>
        <v>StarRiver Arts</v>
      </c>
      <c r="E21" s="5">
        <f>'依賽道-個人紀錄'!F159</f>
        <v>0.002911076389</v>
      </c>
      <c r="F21" s="5" t="str">
        <f>'依賽道-個人紀錄'!G159</f>
        <v>FD3S (RX7)(TT)</v>
      </c>
      <c r="G21" s="5" t="str">
        <f>'依賽道-個人紀錄'!H159</f>
        <v>PC</v>
      </c>
    </row>
    <row r="22">
      <c r="A22" s="4" t="s">
        <v>418</v>
      </c>
      <c r="B22" s="4" t="s">
        <v>429</v>
      </c>
      <c r="D22" s="5" t="str">
        <f>'依賽道-個人紀錄'!E168</f>
        <v>StarRiver Arts</v>
      </c>
      <c r="E22" s="5">
        <f>'依賽道-個人紀錄'!F168</f>
        <v>0.002137858796</v>
      </c>
      <c r="F22" s="5" t="str">
        <f>'依賽道-個人紀錄'!G168</f>
        <v>EG6 (civic)</v>
      </c>
      <c r="G22" s="5" t="str">
        <f>'依賽道-個人紀錄'!H168</f>
        <v>PC</v>
      </c>
    </row>
    <row r="23">
      <c r="A23" s="4" t="s">
        <v>435</v>
      </c>
      <c r="B23" s="4" t="s">
        <v>223</v>
      </c>
      <c r="D23" s="5" t="str">
        <f>'依賽道-個人紀錄'!A134</f>
        <v>Lolidia</v>
      </c>
      <c r="E23" s="5">
        <f>'依賽道-個人紀錄'!B134</f>
        <v>0.002457175926</v>
      </c>
      <c r="F23" s="5" t="str">
        <f>'依賽道-個人紀錄'!C134</f>
        <v>AE86T2</v>
      </c>
      <c r="G23" s="5" t="str">
        <f>'依賽道-個人紀錄'!D134</f>
        <v>PCVR</v>
      </c>
    </row>
    <row r="24">
      <c r="A24" s="4" t="s">
        <v>435</v>
      </c>
      <c r="B24" s="4" t="s">
        <v>242</v>
      </c>
      <c r="D24" s="5" t="str">
        <f>'依賽道-個人紀錄'!E134</f>
        <v>LinWu_05</v>
      </c>
      <c r="E24" s="5">
        <f>'依賽道-個人紀錄'!F134</f>
        <v>0.002922071759</v>
      </c>
      <c r="F24" s="5" t="str">
        <f>'依賽道-個人紀錄'!G134</f>
        <v>NA1 (NSX)</v>
      </c>
      <c r="G24" s="5" t="str">
        <f>'依賽道-個人紀錄'!H134</f>
        <v>PC</v>
      </c>
    </row>
    <row r="25">
      <c r="A25" s="4" t="s">
        <v>438</v>
      </c>
      <c r="B25" s="4" t="s">
        <v>223</v>
      </c>
      <c r="D25" s="5" t="str">
        <f>'依賽道-個人紀錄'!A149</f>
        <v>StarRiver Arts</v>
      </c>
      <c r="E25" s="5">
        <f>'依賽道-個人紀錄'!B149</f>
        <v>0.001505787037</v>
      </c>
      <c r="F25" s="5" t="str">
        <f>'依賽道-個人紀錄'!C149</f>
        <v>EVOVI/CP9A</v>
      </c>
      <c r="G25" s="5" t="str">
        <f>'依賽道-個人紀錄'!D149</f>
        <v>PC</v>
      </c>
    </row>
    <row r="26">
      <c r="A26" s="4" t="s">
        <v>438</v>
      </c>
      <c r="B26" s="4" t="s">
        <v>242</v>
      </c>
      <c r="D26" s="5" t="str">
        <f>'依賽道-個人紀錄'!E149</f>
        <v>StarRiver Arts</v>
      </c>
      <c r="E26" s="5">
        <f>'依賽道-個人紀錄'!F149</f>
        <v>0.001754247685</v>
      </c>
      <c r="F26" s="5" t="str">
        <f>'依賽道-個人紀錄'!G149</f>
        <v>EVOVI/CP9A</v>
      </c>
      <c r="G26" s="5" t="str">
        <f>'依賽道-個人紀錄'!H149</f>
        <v>PC</v>
      </c>
    </row>
    <row r="27">
      <c r="A27" s="4" t="s">
        <v>438</v>
      </c>
      <c r="B27" s="4" t="s">
        <v>441</v>
      </c>
      <c r="D27" s="5" t="str">
        <f>'依賽道-個人紀錄'!E154</f>
        <v>StarRiver Arts</v>
      </c>
      <c r="E27" s="5">
        <f>'依賽道-個人紀錄'!F154</f>
        <v>0.00256693287</v>
      </c>
      <c r="F27" s="5" t="str">
        <f>'依賽道-個人紀錄'!G154</f>
        <v>EVOVI/CP9A</v>
      </c>
      <c r="G27" s="5" t="str">
        <f>'依賽道-個人紀錄'!H154</f>
        <v>PC</v>
      </c>
    </row>
    <row r="28">
      <c r="A28" s="4" t="s">
        <v>438</v>
      </c>
      <c r="B28" s="4" t="s">
        <v>443</v>
      </c>
      <c r="D28" s="5" t="str">
        <f>'依賽道-個人紀錄'!A154</f>
        <v>StarRiver Arts</v>
      </c>
      <c r="E28" s="5">
        <f>'依賽道-個人紀錄'!B154</f>
        <v>0.002718935185</v>
      </c>
      <c r="F28" s="5" t="str">
        <f>'依賽道-個人紀錄'!C154</f>
        <v>EVOVI/CP9A</v>
      </c>
      <c r="G28" s="5" t="str">
        <f>'依賽道-個人紀錄'!D154</f>
        <v>PC</v>
      </c>
    </row>
    <row r="29">
      <c r="A29" s="4" t="s">
        <v>688</v>
      </c>
      <c r="B29" s="4" t="s">
        <v>441</v>
      </c>
      <c r="D29" s="5" t="str">
        <f>'依賽道-個人紀錄'!E356</f>
        <v>StarRiver Arts</v>
      </c>
      <c r="E29" s="5">
        <f>'依賽道-個人紀錄'!F356</f>
        <v>0.00246244213</v>
      </c>
      <c r="F29" s="5" t="str">
        <f>'依賽道-個人紀錄'!G356</f>
        <v>NA8C (Mx5 Roadster)</v>
      </c>
      <c r="G29" s="5" t="str">
        <f>'依賽道-個人紀錄'!H356</f>
        <v>PC</v>
      </c>
    </row>
    <row r="30">
      <c r="A30" s="4" t="s">
        <v>688</v>
      </c>
      <c r="B30" s="4" t="s">
        <v>443</v>
      </c>
      <c r="D30" s="5" t="str">
        <f>'依賽道-個人紀錄'!A356</f>
        <v>LinWu_05</v>
      </c>
      <c r="E30" s="5">
        <f>'依賽道-個人紀錄'!B356</f>
        <v>0.00260349537</v>
      </c>
      <c r="F30" s="5" t="str">
        <f>'依賽道-個人紀錄'!C356</f>
        <v>BNR34</v>
      </c>
      <c r="G30" s="5" t="str">
        <f>'依賽道-個人紀錄'!D356</f>
        <v>PC</v>
      </c>
    </row>
    <row r="31">
      <c r="A31" s="4" t="s">
        <v>707</v>
      </c>
      <c r="B31" s="4" t="s">
        <v>446</v>
      </c>
      <c r="D31" s="5" t="str">
        <f>'依賽道-個人紀錄'!A255</f>
        <v>Test Driver</v>
      </c>
      <c r="E31" s="5">
        <f>'依賽道-個人紀錄'!B255</f>
        <v>0.006944444444</v>
      </c>
      <c r="F31" s="5" t="str">
        <f>'依賽道-個人紀錄'!C255</f>
        <v>GXPA16 (GR Yaris)</v>
      </c>
      <c r="G31" s="5" t="str">
        <f>'依賽道-個人紀錄'!D255</f>
        <v/>
      </c>
    </row>
    <row r="32">
      <c r="A32" s="4" t="s">
        <v>707</v>
      </c>
      <c r="B32" s="4" t="s">
        <v>441</v>
      </c>
      <c r="D32" s="5" t="str">
        <f>'依賽道-個人紀錄'!A244</f>
        <v>StarRiver Arts</v>
      </c>
      <c r="E32" s="5">
        <f>'依賽道-個人紀錄'!B244</f>
        <v>0.002812118056</v>
      </c>
      <c r="F32" s="5" t="str">
        <f>'依賽道-個人紀錄'!C244</f>
        <v>GXPA16 (GR Yaris)</v>
      </c>
      <c r="G32" s="5" t="str">
        <f>'依賽道-個人紀錄'!D244</f>
        <v>PC</v>
      </c>
    </row>
    <row r="33">
      <c r="A33" s="4" t="s">
        <v>707</v>
      </c>
      <c r="B33" s="4" t="s">
        <v>443</v>
      </c>
      <c r="D33" s="5" t="str">
        <f>'依賽道-個人紀錄'!E244</f>
        <v>Test Driver</v>
      </c>
      <c r="E33" s="5">
        <f>'依賽道-個人紀錄'!F244</f>
        <v>0.006944444444</v>
      </c>
      <c r="F33" s="5" t="str">
        <f>'依賽道-個人紀錄'!G244</f>
        <v>GXPA16 (GR Yaris)</v>
      </c>
      <c r="G33" s="5" t="str">
        <f>'依賽道-個人紀錄'!H244</f>
        <v/>
      </c>
    </row>
    <row r="34">
      <c r="A34" s="4" t="s">
        <v>710</v>
      </c>
      <c r="B34" s="4" t="s">
        <v>441</v>
      </c>
      <c r="D34" s="5" t="str">
        <f>'依賽道-個人紀錄'!E189</f>
        <v>StarRiver Arts</v>
      </c>
      <c r="E34" s="5">
        <f>'依賽道-個人紀錄'!F189</f>
        <v>0.003980324074</v>
      </c>
      <c r="F34" s="5" t="str">
        <f>'依賽道-個人紀錄'!G189</f>
        <v>FD3S (RX7)</v>
      </c>
      <c r="G34" s="5" t="str">
        <f>'依賽道-個人紀錄'!H189</f>
        <v>PC</v>
      </c>
    </row>
    <row r="35">
      <c r="A35" s="4" t="s">
        <v>710</v>
      </c>
      <c r="B35" s="4" t="s">
        <v>443</v>
      </c>
      <c r="D35" s="5" t="str">
        <f>'依賽道-個人紀錄'!A189</f>
        <v>Test Driver</v>
      </c>
      <c r="E35" s="5">
        <f>'依賽道-個人紀錄'!B189</f>
        <v>0.006944444444</v>
      </c>
      <c r="F35" s="5" t="str">
        <f>'依賽道-個人紀錄'!C189</f>
        <v>FD3S (RX7)</v>
      </c>
      <c r="G35" s="5" t="str">
        <f>'依賽道-個人紀錄'!D189</f>
        <v/>
      </c>
    </row>
    <row r="36">
      <c r="A36" s="4" t="s">
        <v>466</v>
      </c>
      <c r="B36" s="4" t="s">
        <v>381</v>
      </c>
      <c r="D36" s="5" t="str">
        <f>'依賽道-個人紀錄'!A97</f>
        <v>Lolidia</v>
      </c>
      <c r="E36" s="5">
        <f>'依賽道-個人紀錄'!B97</f>
        <v>0.002216678241</v>
      </c>
      <c r="F36" s="5" t="str">
        <f>'依賽道-個人紀錄'!C97</f>
        <v>ER34</v>
      </c>
      <c r="G36" s="5" t="str">
        <f>'依賽道-個人紀錄'!D97</f>
        <v>PCVR</v>
      </c>
    </row>
    <row r="37">
      <c r="A37" s="4" t="s">
        <v>466</v>
      </c>
      <c r="B37" s="4" t="s">
        <v>383</v>
      </c>
      <c r="D37" s="5" t="str">
        <f>'依賽道-個人紀錄'!E97</f>
        <v>Test Driver</v>
      </c>
      <c r="E37" s="5">
        <f>'依賽道-個人紀錄'!F97</f>
        <v>0.006944444444</v>
      </c>
      <c r="F37" s="5" t="str">
        <f>'依賽道-個人紀錄'!G97</f>
        <v>EA11R (Cappuccino)</v>
      </c>
      <c r="G37" s="5" t="str">
        <f>'依賽道-個人紀錄'!H97</f>
        <v/>
      </c>
    </row>
    <row r="38">
      <c r="A38" s="4" t="s">
        <v>473</v>
      </c>
      <c r="B38" s="4" t="s">
        <v>381</v>
      </c>
      <c r="D38" s="5" t="str">
        <f>'依賽道-個人紀錄'!A106</f>
        <v>StarRiver Arts</v>
      </c>
      <c r="E38" s="5">
        <f>'依賽道-個人紀錄'!B106</f>
        <v>0.002518703704</v>
      </c>
      <c r="F38" s="5" t="str">
        <f>'依賽道-個人紀錄'!C106</f>
        <v>SilEighty</v>
      </c>
      <c r="G38" s="5" t="str">
        <f>'依賽道-個人紀錄'!D106</f>
        <v>PC</v>
      </c>
    </row>
    <row r="39">
      <c r="A39" s="4" t="s">
        <v>473</v>
      </c>
      <c r="B39" s="4" t="s">
        <v>383</v>
      </c>
      <c r="D39" s="5" t="str">
        <f>'依賽道-個人紀錄'!E106</f>
        <v>StarRiver Arts</v>
      </c>
      <c r="E39" s="5">
        <f>'依賽道-個人紀錄'!F106</f>
        <v>0.002538194444</v>
      </c>
      <c r="F39" s="5" t="str">
        <f>'依賽道-個人紀錄'!G106</f>
        <v>EVOX/CZ4A</v>
      </c>
      <c r="G39" s="5" t="str">
        <f>'依賽道-個人紀錄'!H106</f>
        <v>PC</v>
      </c>
    </row>
    <row r="40">
      <c r="A40" s="4" t="s">
        <v>550</v>
      </c>
      <c r="B40" s="4" t="s">
        <v>446</v>
      </c>
      <c r="D40" s="5" t="str">
        <f>'依賽道-個人紀錄'!A323</f>
        <v>StarRiver Arts</v>
      </c>
      <c r="E40" s="5">
        <f>'依賽道-個人紀錄'!B323</f>
        <v>0.006263368056</v>
      </c>
      <c r="F40" s="5" t="str">
        <f>'依賽道-個人紀錄'!C323</f>
        <v>SXE10 (Altezza)</v>
      </c>
      <c r="G40" s="5" t="str">
        <f>'依賽道-個人紀錄'!D323</f>
        <v>PC</v>
      </c>
    </row>
    <row r="41">
      <c r="A41" s="4" t="s">
        <v>550</v>
      </c>
      <c r="B41" s="4" t="s">
        <v>441</v>
      </c>
      <c r="D41" s="5" t="str">
        <f>'依賽道-個人紀錄'!A312</f>
        <v>LinWu_05</v>
      </c>
      <c r="E41" s="5">
        <f>'依賽道-個人紀錄'!B312</f>
        <v>0.002636377315</v>
      </c>
      <c r="F41" s="5" t="str">
        <f>'依賽道-個人紀錄'!C312</f>
        <v>EA11R (Cappuccino)</v>
      </c>
      <c r="G41" s="5" t="str">
        <f>'依賽道-個人紀錄'!D312</f>
        <v>PC</v>
      </c>
    </row>
    <row r="42">
      <c r="A42" s="4" t="s">
        <v>550</v>
      </c>
      <c r="B42" s="4" t="s">
        <v>443</v>
      </c>
      <c r="D42" s="5" t="str">
        <f>'依賽道-個人紀錄'!E312</f>
        <v>StarRiver Arts</v>
      </c>
      <c r="E42" s="5">
        <f>'依賽道-個人紀錄'!F312</f>
        <v>0.002908368056</v>
      </c>
      <c r="F42" s="5" t="str">
        <f>'依賽道-個人紀錄'!G312</f>
        <v>EA11R (Cappuccino)</v>
      </c>
      <c r="G42" s="5" t="str">
        <f>'依賽道-個人紀錄'!H312</f>
        <v>PC</v>
      </c>
    </row>
    <row r="43">
      <c r="A43" s="4" t="s">
        <v>445</v>
      </c>
      <c r="B43" s="4" t="s">
        <v>446</v>
      </c>
      <c r="D43" s="5" t="str">
        <f>'依賽道-個人紀錄'!A298</f>
        <v>Lolidia</v>
      </c>
      <c r="E43" s="5">
        <f>'依賽道-個人紀錄'!B298</f>
        <v>0.002380393519</v>
      </c>
      <c r="F43" s="5" t="str">
        <f>'依賽道-個人紀錄'!C298</f>
        <v>AE86T</v>
      </c>
      <c r="G43" s="5" t="str">
        <f>'依賽道-個人紀錄'!D298</f>
        <v>PCVR</v>
      </c>
    </row>
    <row r="44">
      <c r="A44" s="4" t="s">
        <v>445</v>
      </c>
      <c r="B44" s="4" t="s">
        <v>223</v>
      </c>
      <c r="D44" s="5" t="str">
        <f>'依賽道-個人紀錄'!A290</f>
        <v>Lolidia</v>
      </c>
      <c r="E44" s="5">
        <f>'依賽道-個人紀錄'!B290</f>
        <v>0.00113087963</v>
      </c>
      <c r="F44" s="5" t="str">
        <f>'依賽道-個人紀錄'!C290</f>
        <v>AE86T</v>
      </c>
      <c r="G44" s="5" t="str">
        <f>'依賽道-個人紀錄'!D290</f>
        <v>PCVR</v>
      </c>
    </row>
    <row r="45">
      <c r="A45" s="4" t="s">
        <v>445</v>
      </c>
      <c r="B45" s="4" t="s">
        <v>242</v>
      </c>
      <c r="D45" s="5" t="str">
        <f>'依賽道-個人紀錄'!E290</f>
        <v>Lolidia</v>
      </c>
      <c r="E45" s="5">
        <f>'依賽道-個人紀錄'!F290</f>
        <v>0.001216053241</v>
      </c>
      <c r="F45" s="5" t="str">
        <f>'依賽道-個人紀錄'!G290</f>
        <v>EK9 (Civic Type-R)</v>
      </c>
      <c r="G45" s="5" t="str">
        <f>'依賽道-個人紀錄'!H290</f>
        <v>PCVR</v>
      </c>
    </row>
    <row r="46">
      <c r="A46" s="4" t="s">
        <v>445</v>
      </c>
      <c r="B46" s="4" t="s">
        <v>441</v>
      </c>
      <c r="D46" s="5" t="str">
        <f>'依賽道-個人紀錄'!A285</f>
        <v>StarRiver Arts</v>
      </c>
      <c r="E46" s="5">
        <f>'依賽道-個人紀錄'!B285</f>
        <v>0.002533368056</v>
      </c>
      <c r="F46" s="5" t="str">
        <f>'依賽道-個人紀錄'!C285</f>
        <v>R35N3</v>
      </c>
      <c r="G46" s="5" t="str">
        <f>'依賽道-個人紀錄'!D285</f>
        <v>PC</v>
      </c>
    </row>
    <row r="47">
      <c r="A47" s="4" t="s">
        <v>445</v>
      </c>
      <c r="B47" s="4" t="s">
        <v>443</v>
      </c>
      <c r="D47" s="5" t="str">
        <f>'依賽道-個人紀錄'!E285</f>
        <v>Lolidia</v>
      </c>
      <c r="E47" s="5">
        <f>'依賽道-個人紀錄'!F285</f>
        <v>0.002311759259</v>
      </c>
      <c r="F47" s="5" t="str">
        <f>'依賽道-個人紀錄'!G285</f>
        <v>AE86T</v>
      </c>
      <c r="G47" s="5" t="str">
        <f>'依賽道-個人紀錄'!H285</f>
        <v>PCVR</v>
      </c>
    </row>
    <row r="48">
      <c r="A48" s="4" t="s">
        <v>463</v>
      </c>
      <c r="B48" s="4" t="s">
        <v>441</v>
      </c>
      <c r="D48" s="5" t="str">
        <f>'依賽道-個人紀錄'!A336</f>
        <v>LinWu_05</v>
      </c>
      <c r="E48" s="5">
        <f>'依賽道-個人紀錄'!B336</f>
        <v>0.002798414352</v>
      </c>
      <c r="F48" s="5" t="str">
        <f>'依賽道-個人紀錄'!C336</f>
        <v>BNR34</v>
      </c>
      <c r="G48" s="5" t="str">
        <f>'依賽道-個人紀錄'!D336</f>
        <v>PC</v>
      </c>
    </row>
    <row r="49">
      <c r="A49" s="4" t="s">
        <v>463</v>
      </c>
      <c r="B49" s="4" t="s">
        <v>443</v>
      </c>
      <c r="D49" s="5" t="str">
        <f>'依賽道-個人紀錄'!E336</f>
        <v>LinWu_05</v>
      </c>
      <c r="E49" s="5">
        <f>'依賽道-個人紀錄'!F336</f>
        <v>0.002837997685</v>
      </c>
      <c r="F49" s="5" t="str">
        <f>'依賽道-個人紀錄'!G336</f>
        <v>BNR34</v>
      </c>
      <c r="G49" s="5" t="str">
        <f>'依賽道-個人紀錄'!H336</f>
        <v>PC</v>
      </c>
    </row>
    <row r="50">
      <c r="A50" s="4" t="s">
        <v>398</v>
      </c>
      <c r="B50" s="4" t="s">
        <v>381</v>
      </c>
      <c r="D50" s="5" t="str">
        <f>'依賽道-個人紀錄'!A114</f>
        <v>Lolidia</v>
      </c>
      <c r="E50" s="5">
        <f>'依賽道-個人紀錄'!B114</f>
        <v>0.002610347222</v>
      </c>
      <c r="F50" s="5" t="str">
        <f>'依賽道-個人紀錄'!C114</f>
        <v>991(911 GT3)</v>
      </c>
      <c r="G50" s="5" t="str">
        <f>'依賽道-個人紀錄'!D114</f>
        <v>PCVR</v>
      </c>
    </row>
    <row r="51">
      <c r="A51" s="4" t="s">
        <v>398</v>
      </c>
      <c r="B51" s="4" t="s">
        <v>383</v>
      </c>
      <c r="D51" s="5" t="str">
        <f>'依賽道-個人紀錄'!E114</f>
        <v>Redfrogss</v>
      </c>
      <c r="E51" s="5">
        <f>'依賽道-個人紀錄'!F114</f>
        <v>0.002828506944</v>
      </c>
      <c r="F51" s="5" t="str">
        <f>'依賽道-個人紀錄'!G114</f>
        <v>R35N2</v>
      </c>
      <c r="G51" s="5" t="str">
        <f>'依賽道-個人紀錄'!H114</f>
        <v>PCVR</v>
      </c>
    </row>
    <row r="52">
      <c r="A52" s="4" t="s">
        <v>389</v>
      </c>
      <c r="B52" s="4" t="s">
        <v>223</v>
      </c>
      <c r="D52" s="5" t="str">
        <f>'依賽道-個人紀錄'!A233</f>
        <v>Test Driver</v>
      </c>
      <c r="E52" s="5">
        <f>'依賽道-個人紀錄'!B233</f>
        <v>0.006944444444</v>
      </c>
      <c r="F52" s="5" t="str">
        <f>'依賽道-個人紀錄'!C233</f>
        <v>ZZW30 (MR2)</v>
      </c>
      <c r="G52" s="5" t="str">
        <f>'依賽道-個人紀錄'!D233</f>
        <v/>
      </c>
    </row>
    <row r="53">
      <c r="A53" s="4" t="s">
        <v>389</v>
      </c>
      <c r="B53" s="4" t="s">
        <v>242</v>
      </c>
      <c r="D53" s="5" t="str">
        <f>'依賽道-個人紀錄'!E233</f>
        <v>Test Driver</v>
      </c>
      <c r="E53" s="5">
        <f>'依賽道-個人紀錄'!F233</f>
        <v>0.006944444444</v>
      </c>
      <c r="F53" s="5" t="str">
        <f>'依賽道-個人紀錄'!G233</f>
        <v>ZZW30 (MR2)</v>
      </c>
      <c r="G53" s="5" t="str">
        <f>'依賽道-個人紀錄'!H233</f>
        <v/>
      </c>
    </row>
    <row r="54">
      <c r="A54" s="4" t="s">
        <v>322</v>
      </c>
      <c r="B54" s="4" t="s">
        <v>223</v>
      </c>
      <c r="D54" s="5" t="str">
        <f>'依賽道-個人紀錄'!A182</f>
        <v>LinWu_05</v>
      </c>
      <c r="E54" s="5">
        <f>'依賽道-個人紀錄'!B182</f>
        <v>0.002590277778</v>
      </c>
      <c r="F54" s="5" t="str">
        <f>'依賽道-個人紀錄'!C182</f>
        <v>BMW M1</v>
      </c>
      <c r="G54" s="5" t="str">
        <f>'依賽道-個人紀錄'!D182</f>
        <v>PC</v>
      </c>
    </row>
    <row r="55">
      <c r="A55" s="4" t="s">
        <v>322</v>
      </c>
      <c r="B55" s="4" t="s">
        <v>242</v>
      </c>
      <c r="D55" s="5" t="str">
        <f>'依賽道-個人紀錄'!E182</f>
        <v>LinWu_05</v>
      </c>
      <c r="E55" s="5">
        <f>'依賽道-個人紀錄'!F182</f>
        <v>0.002331412037</v>
      </c>
      <c r="F55" s="5" t="str">
        <f>'依賽道-個人紀錄'!G182</f>
        <v>BMW M1</v>
      </c>
      <c r="G55" s="5" t="str">
        <f>'依賽道-個人紀錄'!H182</f>
        <v>PC</v>
      </c>
    </row>
    <row r="56">
      <c r="A56" s="4" t="s">
        <v>308</v>
      </c>
      <c r="B56" s="4" t="s">
        <v>223</v>
      </c>
      <c r="D56" s="5" t="str">
        <f>'依賽道-個人紀錄'!A227</f>
        <v>LinWu_05</v>
      </c>
      <c r="E56" s="5">
        <f>'依賽道-個人紀錄'!B227</f>
        <v>0.002426122685</v>
      </c>
      <c r="F56" s="5" t="str">
        <f>'依賽道-個人紀錄'!C227</f>
        <v>NA6CE (Mx5 Roadster)</v>
      </c>
      <c r="G56" s="5" t="str">
        <f>'依賽道-個人紀錄'!D227</f>
        <v>PC</v>
      </c>
    </row>
    <row r="57">
      <c r="A57" s="4" t="s">
        <v>308</v>
      </c>
      <c r="B57" s="4" t="s">
        <v>242</v>
      </c>
      <c r="D57" s="5" t="str">
        <f>'依賽道-個人紀錄'!E227</f>
        <v>LinWu_05</v>
      </c>
      <c r="E57" s="5">
        <f>'依賽道-個人紀錄'!F227</f>
        <v>0.002460648148</v>
      </c>
      <c r="F57" s="5" t="str">
        <f>'依賽道-個人紀錄'!G227</f>
        <v>NA6CE (Mx5 Roadster)</v>
      </c>
      <c r="G57" s="5" t="str">
        <f>'依賽道-個人紀錄'!H227</f>
        <v>PC</v>
      </c>
    </row>
    <row r="58">
      <c r="A58" s="4" t="s">
        <v>393</v>
      </c>
      <c r="B58" s="4" t="s">
        <v>223</v>
      </c>
      <c r="D58" s="5" t="str">
        <f>'依賽道-個人紀錄'!A214</f>
        <v>StarRiver Arts</v>
      </c>
      <c r="E58" s="5">
        <f>'依賽道-個人紀錄'!B214</f>
        <v>0.002403553241</v>
      </c>
      <c r="F58" s="5" t="str">
        <f>'依賽道-個人紀錄'!C214</f>
        <v>EK9C (Civic Type-R)</v>
      </c>
      <c r="G58" s="5" t="str">
        <f>'依賽道-個人紀錄'!D214</f>
        <v>PC</v>
      </c>
    </row>
    <row r="59">
      <c r="A59" s="4" t="s">
        <v>393</v>
      </c>
      <c r="B59" s="4" t="s">
        <v>242</v>
      </c>
      <c r="C59" s="4"/>
      <c r="D59" s="12" t="str">
        <f>'依賽道-個人紀錄'!E214</f>
        <v>Test Driver</v>
      </c>
      <c r="E59" s="12">
        <f>'依賽道-個人紀錄'!F214</f>
        <v>0.006944444444</v>
      </c>
      <c r="F59" s="12" t="str">
        <f>'依賽道-個人紀錄'!G214</f>
        <v>AE86T</v>
      </c>
      <c r="G59" s="12" t="str">
        <f>'依賽道-個人紀錄'!H214</f>
        <v/>
      </c>
    </row>
    <row r="60">
      <c r="A60" s="4" t="s">
        <v>289</v>
      </c>
      <c r="B60" s="4" t="s">
        <v>223</v>
      </c>
      <c r="D60" s="5" t="str">
        <f>'依賽道-個人紀錄'!A220</f>
        <v>StarRiver Arts</v>
      </c>
      <c r="E60" s="5">
        <f>'依賽道-個人紀錄'!B220</f>
        <v>0.0008250578704</v>
      </c>
      <c r="F60" s="5" t="str">
        <f>'依賽道-個人紀錄'!C220</f>
        <v>EK9 (Civic Type-R)</v>
      </c>
      <c r="G60" s="5" t="str">
        <f>'依賽道-個人紀錄'!D220</f>
        <v>PC</v>
      </c>
    </row>
    <row r="61">
      <c r="A61" s="4" t="s">
        <v>289</v>
      </c>
      <c r="B61" s="4" t="s">
        <v>242</v>
      </c>
      <c r="D61" s="5" t="str">
        <f>'依賽道-個人紀錄'!E220</f>
        <v>LinWu_05</v>
      </c>
      <c r="E61" s="5">
        <f>'依賽道-個人紀錄'!F220</f>
        <v>0.0008899305556</v>
      </c>
      <c r="F61" s="5" t="str">
        <f>'依賽道-個人紀錄'!G220</f>
        <v>BNR32</v>
      </c>
      <c r="G61" s="5" t="str">
        <f>'依賽道-個人紀錄'!H220</f>
        <v>PC</v>
      </c>
    </row>
    <row r="62">
      <c r="A62" s="4" t="s">
        <v>281</v>
      </c>
      <c r="B62" s="4" t="s">
        <v>282</v>
      </c>
      <c r="D62" s="5" t="str">
        <f>'依賽道-個人紀錄'!E274</f>
        <v>LinWu_05</v>
      </c>
      <c r="E62" s="5">
        <f>'依賽道-個人紀錄'!F274</f>
        <v>0.001394270833</v>
      </c>
      <c r="F62" s="5" t="str">
        <f>'依賽道-個人紀錄'!G274</f>
        <v>MCR R34</v>
      </c>
      <c r="G62" s="5" t="str">
        <f>'依賽道-個人紀錄'!H274</f>
        <v>PC</v>
      </c>
    </row>
    <row r="63">
      <c r="A63" s="4" t="s">
        <v>281</v>
      </c>
      <c r="B63" s="4" t="s">
        <v>1079</v>
      </c>
      <c r="D63" s="5" t="str">
        <f>'依賽道-個人紀錄'!A280</f>
        <v>Test Driver</v>
      </c>
      <c r="E63" s="5">
        <f>'依賽道-個人紀錄'!B280</f>
        <v>0.006944444444</v>
      </c>
      <c r="F63" s="5" t="str">
        <f>'依賽道-個人紀錄'!C280</f>
        <v>MCR R34</v>
      </c>
      <c r="G63" s="5" t="str">
        <f>'依賽道-個人紀錄'!D280</f>
        <v/>
      </c>
    </row>
    <row r="64">
      <c r="A64" s="4" t="s">
        <v>281</v>
      </c>
      <c r="B64" s="4" t="s">
        <v>284</v>
      </c>
      <c r="D64" s="5" t="str">
        <f>'依賽道-個人紀錄'!A274</f>
        <v>LinWu_05</v>
      </c>
      <c r="E64" s="5">
        <f>'依賽道-個人紀錄'!B274</f>
        <v>0.002279583333</v>
      </c>
      <c r="F64" s="5" t="str">
        <f>'依賽道-個人紀錄'!C274</f>
        <v>MCR R34</v>
      </c>
      <c r="G64" s="5" t="str">
        <f>'依賽道-個人紀錄'!D274</f>
        <v>PC</v>
      </c>
    </row>
    <row r="65">
      <c r="A65" s="4" t="s">
        <v>286</v>
      </c>
      <c r="B65" s="4" t="s">
        <v>282</v>
      </c>
      <c r="D65" s="5" t="str">
        <f>'依賽道-個人紀錄'!E265</f>
        <v>LinWu_05</v>
      </c>
      <c r="E65" s="5">
        <f>'依賽道-個人紀錄'!F265</f>
        <v>0.0005876851852</v>
      </c>
      <c r="F65" s="5" t="str">
        <f>'依賽道-個人紀錄'!G265</f>
        <v>MCR R34</v>
      </c>
      <c r="G65" s="5" t="str">
        <f>'依賽道-個人紀錄'!H265</f>
        <v>PC</v>
      </c>
    </row>
    <row r="66">
      <c r="A66" s="4" t="s">
        <v>286</v>
      </c>
      <c r="B66" s="4" t="s">
        <v>284</v>
      </c>
      <c r="D66" s="5" t="str">
        <f>'依賽道-個人紀錄'!A265</f>
        <v>LinWu_05</v>
      </c>
      <c r="E66" s="5">
        <f>'依賽道-個人紀錄'!B265</f>
        <v>0.001997743056</v>
      </c>
      <c r="F66" s="5" t="str">
        <f>'依賽道-個人紀錄'!C265</f>
        <v>MCR R34</v>
      </c>
      <c r="G66" s="5" t="str">
        <f>'依賽道-個人紀錄'!D265</f>
        <v>PC</v>
      </c>
    </row>
    <row r="67">
      <c r="A67" s="4" t="s">
        <v>279</v>
      </c>
      <c r="D67" s="5" t="str">
        <f>'依賽道-個人紀錄'!E201</f>
        <v>Kurotsuki.</v>
      </c>
      <c r="E67" s="5">
        <f>'依賽道-個人紀錄'!F201</f>
        <v>0.00250994213</v>
      </c>
      <c r="F67" s="5" t="str">
        <f>'依賽道-個人紀錄'!G201</f>
        <v>CZ9A</v>
      </c>
      <c r="G67" s="5" t="str">
        <f>'依賽道-個人紀錄'!H201</f>
        <v>PC</v>
      </c>
    </row>
    <row r="68">
      <c r="A68" s="4" t="s">
        <v>391</v>
      </c>
      <c r="D68" s="5" t="str">
        <f>'依賽道-個人紀錄'!A201</f>
        <v>LinWu_05</v>
      </c>
      <c r="E68" s="5">
        <f>'依賽道-個人紀錄'!B201</f>
        <v>0.002435960648</v>
      </c>
      <c r="F68" s="5" t="str">
        <f>'依賽道-個人紀錄'!C201</f>
        <v>EVOX/CZ4A</v>
      </c>
      <c r="G68" s="5" t="str">
        <f>'依賽道-個人紀錄'!D201</f>
        <v>PC</v>
      </c>
    </row>
    <row r="69">
      <c r="A69" s="4" t="s">
        <v>744</v>
      </c>
      <c r="D69" s="5" t="str">
        <f>'依賽道-個人紀錄'!A384</f>
        <v>アビドサスヒカリ</v>
      </c>
      <c r="E69" s="5">
        <f>'依賽道-個人紀錄'!B384</f>
        <v>0.001209259259</v>
      </c>
      <c r="F69" s="5" t="str">
        <f>'依賽道-個人紀錄'!C384</f>
        <v>22B</v>
      </c>
      <c r="G69" s="5" t="str">
        <f>'依賽道-個人紀錄'!D384</f>
        <v>PC</v>
      </c>
    </row>
    <row r="70">
      <c r="A70" s="83" t="s">
        <v>410</v>
      </c>
      <c r="B70" s="83" t="s">
        <v>223</v>
      </c>
      <c r="D70" s="5" t="str">
        <f>'依賽道-個人紀錄'!Q4</f>
        <v>MotherEVO</v>
      </c>
      <c r="E70" s="5">
        <f>'依賽道-個人紀錄'!R4</f>
        <v>0.003871030093</v>
      </c>
      <c r="F70" s="5" t="str">
        <f>'依賽道-個人紀錄'!S4</f>
        <v>EVOIII/CE9A</v>
      </c>
      <c r="G70" s="5" t="str">
        <f>'依賽道-個人紀錄'!T4</f>
        <v>PCVR</v>
      </c>
    </row>
    <row r="71">
      <c r="A71" s="4" t="s">
        <v>862</v>
      </c>
      <c r="B71" s="83" t="s">
        <v>223</v>
      </c>
      <c r="D71" s="5" t="str">
        <f>'依賽道-個人紀錄'!Q27</f>
        <v>Lolidia</v>
      </c>
      <c r="E71" s="5">
        <f>'依賽道-個人紀錄'!R27</f>
        <v>0.001018263889</v>
      </c>
      <c r="F71" s="5" t="str">
        <f>'依賽道-個人紀錄'!S27</f>
        <v>EVO3</v>
      </c>
      <c r="G71" s="5" t="str">
        <f>'依賽道-個人紀錄'!T27</f>
        <v>PCVR</v>
      </c>
    </row>
    <row r="73">
      <c r="A73" s="4" t="s">
        <v>513</v>
      </c>
      <c r="B73" s="4" t="s">
        <v>223</v>
      </c>
      <c r="D73" s="5" t="str">
        <f>'依賽道-個人紀錄'!I96</f>
        <v>BannRaven</v>
      </c>
      <c r="E73" s="5">
        <f>'依賽道-個人紀錄'!J96</f>
        <v>0.001563900463</v>
      </c>
      <c r="F73" s="5" t="str">
        <f>'依賽道-個人紀錄'!K96</f>
        <v>NSX</v>
      </c>
      <c r="G73" s="5" t="str">
        <f>'依賽道-個人紀錄'!L96</f>
        <v>PCVR</v>
      </c>
    </row>
    <row r="74">
      <c r="A74" s="4" t="s">
        <v>527</v>
      </c>
      <c r="B74" s="4" t="s">
        <v>383</v>
      </c>
      <c r="D74" s="5" t="str">
        <f>'依賽道-個人紀錄'!M96</f>
        <v>redfrogss</v>
      </c>
      <c r="E74" s="5">
        <f>'依賽道-個人紀錄'!N96</f>
        <v>0.003209108796</v>
      </c>
      <c r="F74" s="5" t="str">
        <f>'依賽道-個人紀錄'!O96</f>
        <v>Wonder-ATTACK-1</v>
      </c>
      <c r="G74" s="5" t="str">
        <f>'依賽道-個人紀錄'!P96</f>
        <v>PCVR</v>
      </c>
    </row>
    <row r="75">
      <c r="A75" s="4" t="s">
        <v>593</v>
      </c>
      <c r="D75" s="5" t="str">
        <f>'依賽道-個人紀錄'!I44</f>
        <v>BannRaven</v>
      </c>
      <c r="E75" s="5">
        <f>'依賽道-個人紀錄'!J44</f>
        <v>0.0008630787037</v>
      </c>
      <c r="F75" s="5" t="str">
        <f>'依賽道-個人紀錄'!K44</f>
        <v>rb21(RedBull)</v>
      </c>
      <c r="G75" s="5" t="str">
        <f>'依賽道-個人紀錄'!L44</f>
        <v>PCVR</v>
      </c>
    </row>
    <row r="76">
      <c r="A76" s="4" t="s">
        <v>608</v>
      </c>
      <c r="E76" s="4" t="s">
        <v>1221</v>
      </c>
    </row>
    <row r="77">
      <c r="A77" s="4" t="s">
        <v>630</v>
      </c>
      <c r="D77" s="27" t="str">
        <f>'依賽道-個人紀錄'!M44</f>
        <v>VRCGPaul</v>
      </c>
      <c r="E77" s="5">
        <f>'依賽道-個人紀錄'!N44</f>
        <v>0.001044884259</v>
      </c>
      <c r="F77" s="5" t="str">
        <f>'依賽道-個人紀錄'!O44</f>
        <v>mcl39(McLaren)</v>
      </c>
      <c r="G77" s="5" t="str">
        <f>'依賽道-個人紀錄'!P44</f>
        <v>PCVR</v>
      </c>
    </row>
    <row r="78">
      <c r="A78" s="4" t="s">
        <v>632</v>
      </c>
      <c r="D78" s="5" t="str">
        <f>'依賽道-個人紀錄'!I63</f>
        <v>ねぎたま</v>
      </c>
      <c r="E78" s="5">
        <f>'依賽道-個人紀錄'!J63</f>
        <v>0.0007215740741</v>
      </c>
      <c r="F78" s="5" t="str">
        <f>'依賽道-個人紀錄'!K63</f>
        <v>rb21(RedBull)</v>
      </c>
      <c r="G78" s="5" t="str">
        <f>'依賽道-個人紀錄'!L63</f>
        <v>PCVR</v>
      </c>
    </row>
    <row r="79">
      <c r="A79" s="4" t="s">
        <v>911</v>
      </c>
      <c r="E79" s="4" t="s">
        <v>1221</v>
      </c>
    </row>
    <row r="81">
      <c r="A81" s="4" t="s">
        <v>914</v>
      </c>
      <c r="B81" s="4" t="s">
        <v>223</v>
      </c>
      <c r="D81" s="5" t="str">
        <f>'依賽道-個人紀錄'!I106</f>
        <v>Lolidia</v>
      </c>
      <c r="E81" s="5">
        <f>'依賽道-個人紀錄'!J106</f>
        <v>0.001200104167</v>
      </c>
      <c r="F81" s="5" t="str">
        <f>'依賽道-個人紀錄'!K106</f>
        <v>GC8-Attack</v>
      </c>
      <c r="G81" s="5" t="str">
        <f>'依賽道-個人紀錄'!L106</f>
        <v>PCVR</v>
      </c>
    </row>
    <row r="82">
      <c r="A82" s="4" t="s">
        <v>723</v>
      </c>
      <c r="B82" s="4" t="s">
        <v>724</v>
      </c>
      <c r="D82" s="5" t="str">
        <f>'依賽道-個人紀錄'!M63</f>
        <v>BannRaven</v>
      </c>
      <c r="E82" s="5">
        <f>'依賽道-個人紀錄'!N63</f>
        <v>0.005019456019</v>
      </c>
      <c r="F82" s="5" t="str">
        <f>'依賽道-個人紀錄'!O63</f>
        <v>NA1 (NSX)</v>
      </c>
      <c r="G82" s="5" t="str">
        <f>'依賽道-個人紀錄'!P63</f>
        <v>PCVR</v>
      </c>
    </row>
    <row r="83">
      <c r="A83" s="4" t="s">
        <v>723</v>
      </c>
      <c r="B83" s="4" t="s">
        <v>726</v>
      </c>
      <c r="D83" s="5" t="str">
        <f>'依賽道-個人紀錄'!I72</f>
        <v>StarRiver Arts</v>
      </c>
      <c r="E83" s="5">
        <f>'依賽道-個人紀錄'!J72</f>
        <v>0.001652581019</v>
      </c>
      <c r="F83" s="5" t="str">
        <f>'依賽道-個人紀錄'!K72</f>
        <v>R35</v>
      </c>
      <c r="G83" s="5" t="str">
        <f>'依賽道-個人紀錄'!L72</f>
        <v>PC</v>
      </c>
    </row>
    <row r="85">
      <c r="A85" s="4" t="s">
        <v>944</v>
      </c>
      <c r="B85" s="4" t="s">
        <v>383</v>
      </c>
      <c r="D85" s="5" t="str">
        <f>'依賽道-個人紀錄'!Q63</f>
        <v/>
      </c>
      <c r="E85" s="5" t="str">
        <f>'依賽道-個人紀錄'!R63</f>
        <v/>
      </c>
      <c r="F85" s="5" t="str">
        <f>'依賽道-個人紀錄'!S63</f>
        <v/>
      </c>
      <c r="G85" s="5" t="str">
        <f>'依賽道-個人紀錄'!T63</f>
        <v/>
      </c>
    </row>
    <row r="86">
      <c r="A86" s="4" t="s">
        <v>1010</v>
      </c>
    </row>
  </sheetData>
  <conditionalFormatting sqref="B1:B66 B70:B71 B73:B74 B79:B83">
    <cfRule type="containsText" dxfId="5" priority="1" operator="containsText" text="CW">
      <formula>NOT(ISERROR(SEARCH(("CW"),(B1))))</formula>
    </cfRule>
  </conditionalFormatting>
  <conditionalFormatting sqref="B1:B66 B70:B71 B73:B74 B79:B83">
    <cfRule type="containsText" dxfId="6" priority="2" operator="containsText" text="CC">
      <formula>NOT(ISERROR(SEARCH(("CC"),(B1))))</formula>
    </cfRule>
  </conditionalFormatting>
  <conditionalFormatting sqref="B1:B66 B70:B71 B73:B74 B79:B83">
    <cfRule type="containsText" dxfId="7" priority="3" operator="containsText" text="UH">
      <formula>NOT(ISERROR(SEARCH(("UH"),(B1))))</formula>
    </cfRule>
  </conditionalFormatting>
  <conditionalFormatting sqref="B1:B66 B70:B71 B73:B74 B79:B83">
    <cfRule type="containsText" dxfId="1" priority="4" operator="containsText" text="DH">
      <formula>NOT(ISERROR(SEARCH(("DH"),(B1))))</formula>
    </cfRule>
  </conditionalFormatting>
  <conditionalFormatting sqref="B1:B66 B70:B71 B73:B74 B79:B83">
    <cfRule type="containsText" dxfId="8" priority="5" operator="containsText" text="Double">
      <formula>NOT(ISERROR(SEARCH(("Double"),(B1))))</formula>
    </cfRule>
  </conditionalFormatting>
  <conditionalFormatting sqref="B1:B66 B70:B71 B73:B74 B79:B83">
    <cfRule type="containsText" dxfId="9" priority="6" operator="containsText" text="OB">
      <formula>NOT(ISERROR(SEARCH(("OB"),(B1))))</formula>
    </cfRule>
  </conditionalFormatting>
  <conditionalFormatting sqref="B1:B66 B70:B71 B73:B74 B79:B83">
    <cfRule type="containsText" dxfId="10" priority="7" operator="containsText" text="IB">
      <formula>NOT(ISERROR(SEARCH(("IB"),(B1))))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5.25"/>
    <col customWidth="1" min="8" max="8" width="15.5"/>
    <col customWidth="1" min="9" max="9" width="14.0"/>
    <col customWidth="1" min="12" max="12" width="5.63"/>
    <col customWidth="1" min="13" max="13" width="4.38"/>
    <col customWidth="1" min="14" max="14" width="7.63"/>
    <col customWidth="1" min="15" max="15" width="4.38"/>
    <col customWidth="1" min="30" max="30" width="12.38"/>
    <col customWidth="1" min="31" max="31" width="4.38"/>
    <col customWidth="1" min="32" max="32" width="7.63"/>
    <col customWidth="1" min="33" max="33" width="4.38"/>
    <col customWidth="1" min="34" max="34" width="6.0"/>
    <col customWidth="1" min="35" max="35" width="3.75"/>
  </cols>
  <sheetData>
    <row r="1">
      <c r="A1" s="104"/>
      <c r="I1" s="87" t="s">
        <v>1222</v>
      </c>
      <c r="J1" s="83"/>
      <c r="K1" s="83"/>
      <c r="L1" s="83"/>
      <c r="M1" s="83"/>
      <c r="N1" s="83"/>
      <c r="O1" s="83"/>
      <c r="P1" s="83"/>
      <c r="Q1" s="71" t="s">
        <v>1223</v>
      </c>
      <c r="U1" s="71" t="s">
        <v>1224</v>
      </c>
      <c r="Y1" s="83"/>
      <c r="Z1" s="105" t="s">
        <v>1225</v>
      </c>
      <c r="AF1" s="83"/>
      <c r="AG1" s="83"/>
      <c r="AH1" s="83"/>
      <c r="AI1" s="83"/>
    </row>
    <row r="2">
      <c r="A2" s="106" t="s">
        <v>1226</v>
      </c>
      <c r="B2" s="106" t="s">
        <v>1227</v>
      </c>
      <c r="C2" s="106" t="s">
        <v>1228</v>
      </c>
      <c r="D2" s="97" t="s">
        <v>1229</v>
      </c>
      <c r="E2" s="107" t="s">
        <v>1230</v>
      </c>
      <c r="F2" s="97" t="s">
        <v>1229</v>
      </c>
      <c r="G2" s="107" t="s">
        <v>1230</v>
      </c>
      <c r="H2" s="107" t="s">
        <v>1231</v>
      </c>
      <c r="I2" s="87"/>
      <c r="J2" s="83"/>
      <c r="K2" s="83"/>
      <c r="L2" s="83"/>
      <c r="M2" s="83"/>
      <c r="N2" s="83"/>
      <c r="O2" s="83"/>
      <c r="P2" s="83"/>
      <c r="Q2" s="69" t="str">
        <f>'依賽道-個人紀錄'!A132</f>
        <v>Tsubaki Downhill椿線/下行</v>
      </c>
      <c r="U2" s="69" t="str">
        <f>'依賽道-車輛紀錄'!A148</f>
        <v>Tsubaki Downhill椿線/下行</v>
      </c>
      <c r="Y2" s="83"/>
      <c r="Z2" s="87" t="s">
        <v>207</v>
      </c>
      <c r="AA2" s="108" t="s">
        <v>1232</v>
      </c>
      <c r="AB2" s="109" t="s">
        <v>1233</v>
      </c>
      <c r="AC2" s="110" t="s">
        <v>1234</v>
      </c>
      <c r="AD2" s="111" t="s">
        <v>1235</v>
      </c>
      <c r="AE2" s="87"/>
      <c r="AF2" s="83"/>
      <c r="AG2" s="83"/>
      <c r="AH2" s="83"/>
      <c r="AI2" s="83"/>
    </row>
    <row r="3">
      <c r="A3" s="70" t="s">
        <v>1236</v>
      </c>
      <c r="B3" s="70" t="s">
        <v>1237</v>
      </c>
      <c r="C3" s="70" t="s">
        <v>1238</v>
      </c>
      <c r="D3" s="14" t="s">
        <v>647</v>
      </c>
      <c r="E3" s="112" t="s">
        <v>1239</v>
      </c>
      <c r="F3" s="113" t="s">
        <v>208</v>
      </c>
      <c r="G3" s="114" t="s">
        <v>169</v>
      </c>
      <c r="H3" s="14" t="s">
        <v>208</v>
      </c>
      <c r="I3" s="87"/>
      <c r="J3" s="83"/>
      <c r="K3" s="83"/>
      <c r="L3" s="83"/>
      <c r="M3" s="83"/>
      <c r="N3" s="83"/>
      <c r="O3" s="83"/>
      <c r="P3" s="83"/>
      <c r="Q3" s="14" t="str">
        <f>'依賽道-個人紀錄'!A133</f>
        <v>Player玩家</v>
      </c>
      <c r="R3" s="14" t="str">
        <f>'依賽道-個人紀錄'!B133</f>
        <v>Time時間</v>
      </c>
      <c r="S3" s="14" t="str">
        <f>'依賽道-個人紀錄'!C133</f>
        <v>Car車種</v>
      </c>
      <c r="T3" s="14" t="str">
        <f>'依賽道-個人紀錄'!D133</f>
        <v>Platform平台</v>
      </c>
      <c r="U3" s="14" t="str">
        <f>'依賽道-車輛紀錄'!A149</f>
        <v>Player玩家</v>
      </c>
      <c r="V3" s="14" t="str">
        <f>'依賽道-車輛紀錄'!B149</f>
        <v>Time時間</v>
      </c>
      <c r="W3" s="14" t="str">
        <f>'依賽道-車輛紀錄'!C149</f>
        <v>Car車種</v>
      </c>
      <c r="X3" s="14" t="str">
        <f>'依賽道-車輛紀錄'!D149</f>
        <v>Platform平台</v>
      </c>
      <c r="Y3" s="83"/>
      <c r="Z3" s="115" t="s">
        <v>208</v>
      </c>
      <c r="AA3" s="108" t="s">
        <v>1240</v>
      </c>
      <c r="AB3" s="111" t="s">
        <v>1241</v>
      </c>
      <c r="AC3" s="100" t="s">
        <v>1242</v>
      </c>
      <c r="AD3" s="87"/>
      <c r="AE3" s="87"/>
      <c r="AF3" s="83"/>
      <c r="AG3" s="83"/>
      <c r="AH3" s="83"/>
      <c r="AI3" s="83"/>
    </row>
    <row r="4">
      <c r="A4" s="70" t="s">
        <v>1243</v>
      </c>
      <c r="B4" s="70" t="s">
        <v>1237</v>
      </c>
      <c r="C4" s="70" t="s">
        <v>1238</v>
      </c>
      <c r="D4" s="14" t="s">
        <v>647</v>
      </c>
      <c r="E4" s="112" t="s">
        <v>1239</v>
      </c>
      <c r="F4" s="113" t="s">
        <v>208</v>
      </c>
      <c r="G4" s="114" t="s">
        <v>169</v>
      </c>
      <c r="I4" s="87"/>
      <c r="J4" s="83"/>
      <c r="K4" s="83"/>
      <c r="L4" s="83"/>
      <c r="M4" s="83"/>
      <c r="N4" s="83"/>
      <c r="O4" s="83"/>
      <c r="P4" s="83"/>
      <c r="Q4" s="14" t="str">
        <f>'依賽道-個人紀錄'!A134</f>
        <v>Lolidia</v>
      </c>
      <c r="R4" s="14">
        <f>'依賽道-個人紀錄'!B134</f>
        <v>0.002457175926</v>
      </c>
      <c r="S4" s="14" t="str">
        <f>'依賽道-個人紀錄'!C134</f>
        <v>AE86T2</v>
      </c>
      <c r="T4" s="14" t="str">
        <f>'依賽道-個人紀錄'!D134</f>
        <v>PCVR</v>
      </c>
      <c r="U4" s="14" t="str">
        <f>'依賽道-車輛紀錄'!A150</f>
        <v>Lolidia</v>
      </c>
      <c r="V4" s="14">
        <f>'依賽道-車輛紀錄'!B150</f>
        <v>0.002457175926</v>
      </c>
      <c r="W4" s="14" t="str">
        <f>'依賽道-車輛紀錄'!C150</f>
        <v>AE86T2</v>
      </c>
      <c r="X4" s="14" t="str">
        <f>'依賽道-車輛紀錄'!D150</f>
        <v>PCVR</v>
      </c>
      <c r="Y4" s="83"/>
      <c r="Z4" s="14" t="s">
        <v>647</v>
      </c>
      <c r="AA4" s="108" t="s">
        <v>1244</v>
      </c>
      <c r="AB4" s="116" t="s">
        <v>1245</v>
      </c>
      <c r="AC4" s="87"/>
      <c r="AD4" s="87"/>
      <c r="AE4" s="87"/>
      <c r="AF4" s="83"/>
      <c r="AG4" s="83"/>
      <c r="AH4" s="83"/>
      <c r="AI4" s="83"/>
    </row>
    <row r="5">
      <c r="A5" s="70" t="s">
        <v>1246</v>
      </c>
      <c r="B5" s="70" t="s">
        <v>1237</v>
      </c>
      <c r="C5" s="70" t="s">
        <v>1238</v>
      </c>
      <c r="D5" s="14" t="s">
        <v>205</v>
      </c>
      <c r="E5" s="117" t="s">
        <v>200</v>
      </c>
      <c r="F5" s="113" t="s">
        <v>207</v>
      </c>
      <c r="G5" s="118" t="s">
        <v>1247</v>
      </c>
      <c r="H5" s="14" t="s">
        <v>207</v>
      </c>
      <c r="I5" s="87"/>
      <c r="J5" s="83"/>
      <c r="K5" s="83"/>
      <c r="L5" s="83"/>
      <c r="M5" s="83"/>
      <c r="N5" s="83"/>
      <c r="O5" s="83"/>
      <c r="P5" s="83"/>
      <c r="Q5" s="14" t="str">
        <f>'依賽道-個人紀錄'!A135</f>
        <v>菲娜 希琉絲</v>
      </c>
      <c r="R5" s="14">
        <f>'依賽道-個人紀錄'!B135</f>
        <v>0.002554976852</v>
      </c>
      <c r="S5" s="14" t="str">
        <f>'依賽道-個人紀錄'!C135</f>
        <v>FD3S (RX7)</v>
      </c>
      <c r="T5" s="14" t="str">
        <f>'依賽道-個人紀錄'!D135</f>
        <v>PC</v>
      </c>
      <c r="U5" s="14" t="str">
        <f>'依賽道-車輛紀錄'!A151</f>
        <v>菲娜 希琉絲</v>
      </c>
      <c r="V5" s="14">
        <f>'依賽道-車輛紀錄'!B151</f>
        <v>0.002554976852</v>
      </c>
      <c r="W5" s="14" t="str">
        <f>'依賽道-車輛紀錄'!C151</f>
        <v>FD3S (RX7)</v>
      </c>
      <c r="X5" s="14" t="str">
        <f>'依賽道-車輛紀錄'!D151</f>
        <v>PC</v>
      </c>
      <c r="Y5" s="83"/>
      <c r="Z5" s="14" t="s">
        <v>489</v>
      </c>
      <c r="AA5" s="108" t="s">
        <v>1248</v>
      </c>
      <c r="AB5" s="87"/>
      <c r="AC5" s="87"/>
      <c r="AD5" s="87"/>
      <c r="AE5" s="87"/>
      <c r="AF5" s="83"/>
      <c r="AG5" s="83"/>
      <c r="AH5" s="83"/>
      <c r="AI5" s="83"/>
    </row>
    <row r="6">
      <c r="A6" s="70" t="s">
        <v>1249</v>
      </c>
      <c r="B6" s="70" t="s">
        <v>1237</v>
      </c>
      <c r="C6" s="70" t="s">
        <v>1238</v>
      </c>
      <c r="D6" s="14" t="s">
        <v>205</v>
      </c>
      <c r="E6" s="117" t="s">
        <v>200</v>
      </c>
      <c r="F6" s="113" t="s">
        <v>207</v>
      </c>
      <c r="G6" s="118" t="s">
        <v>1247</v>
      </c>
      <c r="I6" s="87" t="s">
        <v>214</v>
      </c>
      <c r="J6" s="83" t="s">
        <v>215</v>
      </c>
      <c r="K6" s="83" t="s">
        <v>1230</v>
      </c>
      <c r="L6" s="4" t="s">
        <v>217</v>
      </c>
      <c r="M6" s="4" t="s">
        <v>1250</v>
      </c>
      <c r="N6" s="4" t="s">
        <v>1251</v>
      </c>
      <c r="O6" s="70" t="s">
        <v>1252</v>
      </c>
      <c r="P6" s="83"/>
      <c r="Q6" s="14" t="str">
        <f>'依賽道-個人紀錄'!A136</f>
        <v>ikuhopen</v>
      </c>
      <c r="R6" s="14">
        <f>'依賽道-個人紀錄'!B136</f>
        <v>0.002570150463</v>
      </c>
      <c r="S6" s="14" t="str">
        <f>'依賽道-個人紀錄'!C136</f>
        <v>AE86T2</v>
      </c>
      <c r="T6" s="14" t="str">
        <f>'依賽道-個人紀錄'!D136</f>
        <v>PCVR</v>
      </c>
      <c r="U6" s="14" t="str">
        <f>'依賽道-車輛紀錄'!A152</f>
        <v>LinWu_05</v>
      </c>
      <c r="V6" s="14">
        <f>'依賽道-車輛紀錄'!B152</f>
        <v>0.002626550926</v>
      </c>
      <c r="W6" s="14" t="str">
        <f>'依賽道-車輛紀錄'!C152</f>
        <v>NA1 (NSX)</v>
      </c>
      <c r="X6" s="14" t="str">
        <f>'依賽道-車輛紀錄'!D152</f>
        <v>PC</v>
      </c>
      <c r="Y6" s="83"/>
      <c r="Z6" s="87" t="s">
        <v>206</v>
      </c>
      <c r="AA6" s="110" t="s">
        <v>1253</v>
      </c>
      <c r="AB6" s="119" t="s">
        <v>1254</v>
      </c>
      <c r="AC6" s="87"/>
      <c r="AD6" s="87"/>
      <c r="AE6" s="87"/>
      <c r="AF6" s="83"/>
      <c r="AG6" s="83"/>
      <c r="AH6" s="83"/>
      <c r="AI6" s="83"/>
    </row>
    <row r="7">
      <c r="A7" s="70" t="s">
        <v>1255</v>
      </c>
      <c r="B7" s="70" t="s">
        <v>1237</v>
      </c>
      <c r="C7" s="70" t="s">
        <v>1238</v>
      </c>
      <c r="D7" s="14" t="s">
        <v>205</v>
      </c>
      <c r="E7" s="117" t="s">
        <v>200</v>
      </c>
      <c r="F7" s="120" t="s">
        <v>647</v>
      </c>
      <c r="G7" s="112" t="s">
        <v>1239</v>
      </c>
      <c r="H7" s="14" t="s">
        <v>647</v>
      </c>
      <c r="I7" s="14" t="s">
        <v>647</v>
      </c>
      <c r="J7" s="14">
        <v>0.002554976851851852</v>
      </c>
      <c r="K7" s="14" t="s">
        <v>1239</v>
      </c>
      <c r="L7" s="14" t="s">
        <v>231</v>
      </c>
      <c r="M7" s="70">
        <v>4.0</v>
      </c>
      <c r="N7" s="70">
        <v>9.0</v>
      </c>
      <c r="O7" s="70">
        <v>2.0</v>
      </c>
      <c r="P7" s="83"/>
      <c r="Q7" s="14" t="str">
        <f>'依賽道-個人紀錄'!A137</f>
        <v>LinWu_05</v>
      </c>
      <c r="R7" s="14">
        <f>'依賽道-個人紀錄'!B137</f>
        <v>0.002626550926</v>
      </c>
      <c r="S7" s="14" t="str">
        <f>'依賽道-個人紀錄'!C137</f>
        <v>NA1 (NSX)</v>
      </c>
      <c r="T7" s="14" t="str">
        <f>'依賽道-個人紀錄'!D137</f>
        <v>PC</v>
      </c>
      <c r="U7" s="14" t="str">
        <f>'依賽道-車輛紀錄'!A153</f>
        <v>『Sigma』</v>
      </c>
      <c r="V7" s="14">
        <f>'依賽道-車輛紀錄'!B153</f>
        <v>0.00263162037</v>
      </c>
      <c r="W7" s="14" t="str">
        <f>'依賽道-車輛紀錄'!C153</f>
        <v>FL5 (Civic Type-R)</v>
      </c>
      <c r="X7" s="14" t="str">
        <f>'依賽道-車輛紀錄'!D153</f>
        <v>PC</v>
      </c>
      <c r="Y7" s="83"/>
      <c r="Z7" s="14" t="s">
        <v>209</v>
      </c>
      <c r="AA7" s="110" t="s">
        <v>1256</v>
      </c>
      <c r="AB7" s="119" t="s">
        <v>1257</v>
      </c>
      <c r="AC7" s="87"/>
      <c r="AD7" s="87"/>
      <c r="AE7" s="87"/>
      <c r="AF7" s="83"/>
      <c r="AG7" s="83"/>
      <c r="AH7" s="83"/>
      <c r="AI7" s="83"/>
    </row>
    <row r="8">
      <c r="A8" s="70" t="s">
        <v>1258</v>
      </c>
      <c r="B8" s="70" t="s">
        <v>1237</v>
      </c>
      <c r="C8" s="70" t="s">
        <v>1238</v>
      </c>
      <c r="D8" s="120" t="s">
        <v>205</v>
      </c>
      <c r="E8" s="117" t="s">
        <v>200</v>
      </c>
      <c r="F8" s="14" t="s">
        <v>647</v>
      </c>
      <c r="G8" s="112" t="s">
        <v>1239</v>
      </c>
      <c r="I8" s="14" t="s">
        <v>205</v>
      </c>
      <c r="J8" s="14">
        <v>0.002683449074074074</v>
      </c>
      <c r="K8" s="14" t="s">
        <v>200</v>
      </c>
      <c r="L8" s="14" t="s">
        <v>231</v>
      </c>
      <c r="M8" s="70">
        <v>2.0</v>
      </c>
      <c r="N8" s="70">
        <v>7.0</v>
      </c>
      <c r="O8" s="70">
        <v>5.0</v>
      </c>
      <c r="P8" s="83"/>
      <c r="Q8" s="14" t="str">
        <f>'依賽道-個人紀錄'!A138</f>
        <v>『Sigma』</v>
      </c>
      <c r="R8" s="14">
        <f>'依賽道-個人紀錄'!B138</f>
        <v>0.00263162037</v>
      </c>
      <c r="S8" s="14" t="str">
        <f>'依賽道-個人紀錄'!C138</f>
        <v>FL5 (Civic Type-R)</v>
      </c>
      <c r="T8" s="14" t="str">
        <f>'依賽道-個人紀錄'!D138</f>
        <v>PC</v>
      </c>
      <c r="U8" s="14" t="str">
        <f>'依賽道-車輛紀錄'!A154</f>
        <v>LinWu_05</v>
      </c>
      <c r="V8" s="14">
        <f>'依賽道-車輛紀錄'!B154</f>
        <v>0.002655868056</v>
      </c>
      <c r="W8" s="14" t="str">
        <f>'依賽道-車輛紀錄'!C154</f>
        <v>R35N3</v>
      </c>
      <c r="X8" s="14" t="str">
        <f>'依賽道-車輛紀錄'!D154</f>
        <v>PC</v>
      </c>
      <c r="Y8" s="83"/>
      <c r="Z8" s="87" t="s">
        <v>304</v>
      </c>
      <c r="AA8" s="110" t="s">
        <v>1259</v>
      </c>
      <c r="AB8" s="87"/>
      <c r="AC8" s="87"/>
      <c r="AD8" s="87"/>
      <c r="AE8" s="87"/>
      <c r="AF8" s="83"/>
      <c r="AG8" s="83"/>
      <c r="AH8" s="83"/>
      <c r="AI8" s="83"/>
    </row>
    <row r="9">
      <c r="A9" s="70" t="s">
        <v>1260</v>
      </c>
      <c r="B9" s="70" t="s">
        <v>1237</v>
      </c>
      <c r="C9" s="70" t="s">
        <v>1238</v>
      </c>
      <c r="D9" s="14" t="s">
        <v>205</v>
      </c>
      <c r="E9" s="117" t="s">
        <v>200</v>
      </c>
      <c r="F9" s="14" t="s">
        <v>647</v>
      </c>
      <c r="G9" s="112" t="s">
        <v>1239</v>
      </c>
      <c r="I9" s="14" t="s">
        <v>207</v>
      </c>
      <c r="J9" s="14">
        <v>0.0026996875000000003</v>
      </c>
      <c r="K9" s="14" t="s">
        <v>317</v>
      </c>
      <c r="L9" s="14" t="s">
        <v>231</v>
      </c>
      <c r="M9" s="70">
        <v>5.0</v>
      </c>
      <c r="N9" s="70">
        <v>18.0</v>
      </c>
      <c r="O9" s="70">
        <v>5.0</v>
      </c>
      <c r="P9" s="83"/>
      <c r="Q9" s="14" t="str">
        <f>'依賽道-個人紀錄'!A139</f>
        <v>StarRiver Arts</v>
      </c>
      <c r="R9" s="14">
        <f>'依賽道-個人紀錄'!B139</f>
        <v>0.002683449074</v>
      </c>
      <c r="S9" s="14" t="str">
        <f>'依賽道-個人紀錄'!C139</f>
        <v>FL5 (Civic Type-R)</v>
      </c>
      <c r="T9" s="14" t="str">
        <f>'依賽道-個人紀錄'!D139</f>
        <v>PC</v>
      </c>
      <c r="U9" s="14" t="str">
        <f>'依賽道-車輛紀錄'!A155</f>
        <v>wasdwa</v>
      </c>
      <c r="V9" s="14">
        <f>'依賽道-車輛紀錄'!B155</f>
        <v>0.002864780093</v>
      </c>
      <c r="W9" s="14" t="str">
        <f>'依賽道-車輛紀錄'!C155</f>
        <v>AE86T</v>
      </c>
      <c r="X9" s="14" t="str">
        <f>'依賽道-車輛紀錄'!D155</f>
        <v>PC</v>
      </c>
      <c r="Y9" s="83"/>
      <c r="Z9" s="87" t="s">
        <v>245</v>
      </c>
      <c r="AA9" s="111" t="s">
        <v>1261</v>
      </c>
      <c r="AB9" s="111" t="s">
        <v>1262</v>
      </c>
      <c r="AC9" s="87"/>
      <c r="AD9" s="87"/>
      <c r="AE9" s="87"/>
      <c r="AF9" s="83"/>
      <c r="AG9" s="83"/>
      <c r="AH9" s="83"/>
      <c r="AI9" s="83"/>
    </row>
    <row r="10">
      <c r="A10" s="70" t="s">
        <v>1263</v>
      </c>
      <c r="B10" s="70" t="s">
        <v>1237</v>
      </c>
      <c r="C10" s="70" t="s">
        <v>1238</v>
      </c>
      <c r="D10" s="14" t="s">
        <v>205</v>
      </c>
      <c r="E10" s="117" t="s">
        <v>200</v>
      </c>
      <c r="F10" s="120" t="s">
        <v>647</v>
      </c>
      <c r="G10" s="112" t="s">
        <v>1239</v>
      </c>
      <c r="I10" s="14" t="s">
        <v>208</v>
      </c>
      <c r="J10" s="14">
        <v>0.002700451388888889</v>
      </c>
      <c r="K10" s="14" t="s">
        <v>169</v>
      </c>
      <c r="L10" s="14" t="s">
        <v>225</v>
      </c>
      <c r="M10" s="70">
        <v>3.0</v>
      </c>
      <c r="N10" s="70">
        <v>13.0</v>
      </c>
      <c r="O10" s="70">
        <v>5.0</v>
      </c>
      <c r="P10" s="83"/>
      <c r="Q10" s="14" t="str">
        <f>'依賽道-個人紀錄'!A140</f>
        <v>Yune</v>
      </c>
      <c r="R10" s="14">
        <f>'依賽道-個人紀錄'!B140</f>
        <v>0.002697986111</v>
      </c>
      <c r="S10" s="14" t="str">
        <f>'依賽道-個人紀錄'!C140</f>
        <v>FD3S (RX7)</v>
      </c>
      <c r="T10" s="14" t="str">
        <f>'依賽道-個人紀錄'!D140</f>
        <v>PC</v>
      </c>
      <c r="U10" s="14" t="str">
        <f>'依賽道-車輛紀錄'!A156</f>
        <v>Test Driver</v>
      </c>
      <c r="V10" s="14">
        <f>'依賽道-車輛紀錄'!B156</f>
        <v>0.006944444444</v>
      </c>
      <c r="W10" s="14" t="str">
        <f>'依賽道-車輛紀錄'!C156</f>
        <v>GT86/ZN6</v>
      </c>
      <c r="X10" s="14" t="str">
        <f>'依賽道-車輛紀錄'!D156</f>
        <v/>
      </c>
      <c r="Y10" s="83"/>
      <c r="Z10" s="14" t="s">
        <v>205</v>
      </c>
      <c r="AA10" s="119" t="s">
        <v>1264</v>
      </c>
      <c r="AB10" s="121" t="s">
        <v>1265</v>
      </c>
      <c r="AC10" s="87"/>
      <c r="AD10" s="87"/>
      <c r="AE10" s="87"/>
      <c r="AF10" s="83"/>
      <c r="AG10" s="83"/>
      <c r="AH10" s="83"/>
      <c r="AI10" s="83"/>
    </row>
    <row r="11">
      <c r="A11" s="70" t="s">
        <v>1266</v>
      </c>
      <c r="B11" s="70" t="s">
        <v>1237</v>
      </c>
      <c r="C11" s="70" t="s">
        <v>1238</v>
      </c>
      <c r="D11" s="113" t="s">
        <v>207</v>
      </c>
      <c r="E11" s="118" t="s">
        <v>1247</v>
      </c>
      <c r="F11" s="14" t="s">
        <v>208</v>
      </c>
      <c r="G11" s="114" t="s">
        <v>169</v>
      </c>
      <c r="H11" s="14" t="s">
        <v>207</v>
      </c>
      <c r="I11" s="14" t="s">
        <v>453</v>
      </c>
      <c r="J11" s="83"/>
      <c r="K11" s="83"/>
      <c r="L11" s="14" t="s">
        <v>225</v>
      </c>
      <c r="M11" s="70">
        <v>0.0</v>
      </c>
      <c r="N11" s="70">
        <v>2.0</v>
      </c>
      <c r="O11" s="70">
        <v>1.0</v>
      </c>
      <c r="P11" s="83"/>
      <c r="Q11" s="14" t="str">
        <f>'依賽道-個人紀錄'!A141</f>
        <v>Kinokono_Tenka</v>
      </c>
      <c r="R11" s="14">
        <f>'依賽道-個人紀錄'!B141</f>
        <v>0.002700451389</v>
      </c>
      <c r="S11" s="14" t="str">
        <f>'依賽道-個人紀錄'!C141</f>
        <v>R35N3</v>
      </c>
      <c r="T11" s="14" t="str">
        <f>'依賽道-個人紀錄'!D141</f>
        <v>PCVR</v>
      </c>
      <c r="U11" s="14" t="str">
        <f>'依賽道-車輛紀錄'!A157</f>
        <v>Test Driver</v>
      </c>
      <c r="V11" s="14">
        <f>'依賽道-車輛紀錄'!B157</f>
        <v>0.006944444444</v>
      </c>
      <c r="W11" s="14" t="str">
        <f>'依賽道-車輛紀錄'!C157</f>
        <v>96018(4C)</v>
      </c>
      <c r="X11" s="14" t="str">
        <f>'依賽道-車輛紀錄'!D157</f>
        <v/>
      </c>
      <c r="Y11" s="83"/>
      <c r="Z11" s="14" t="s">
        <v>453</v>
      </c>
      <c r="AA11" s="119" t="s">
        <v>1267</v>
      </c>
      <c r="AB11" s="87"/>
      <c r="AC11" s="87"/>
      <c r="AD11" s="87"/>
      <c r="AE11" s="87"/>
      <c r="AF11" s="83"/>
      <c r="AG11" s="83"/>
      <c r="AH11" s="83"/>
      <c r="AI11" s="83"/>
    </row>
    <row r="12">
      <c r="A12" s="70" t="s">
        <v>1268</v>
      </c>
      <c r="B12" s="70" t="s">
        <v>1237</v>
      </c>
      <c r="C12" s="70" t="s">
        <v>1238</v>
      </c>
      <c r="D12" s="113" t="s">
        <v>207</v>
      </c>
      <c r="E12" s="118" t="s">
        <v>1247</v>
      </c>
      <c r="F12" s="14" t="s">
        <v>208</v>
      </c>
      <c r="G12" s="114" t="s">
        <v>169</v>
      </c>
      <c r="I12" s="83"/>
      <c r="J12" s="83"/>
      <c r="K12" s="83"/>
      <c r="L12" s="83"/>
      <c r="M12" s="83"/>
      <c r="N12" s="83"/>
      <c r="O12" s="83"/>
      <c r="P12" s="83"/>
      <c r="Q12" s="14" t="str">
        <f>'依賽道-個人紀錄'!A142</f>
        <v>Redfrogss</v>
      </c>
      <c r="R12" s="14">
        <f>'依賽道-個人紀錄'!B142</f>
        <v>0.002733287037</v>
      </c>
      <c r="S12" s="14" t="str">
        <f>'依賽道-個人紀錄'!C142</f>
        <v>R35N3</v>
      </c>
      <c r="T12" s="14" t="str">
        <f>'依賽道-個人紀錄'!D142</f>
        <v>PCVR</v>
      </c>
      <c r="U12" s="14" t="str">
        <f>'依賽道-車輛紀錄'!A158</f>
        <v>Test Driver</v>
      </c>
      <c r="V12" s="14">
        <f>'依賽道-車輛紀錄'!B158</f>
        <v>0.006944444444</v>
      </c>
      <c r="W12" s="14" t="str">
        <f>'依賽道-車輛紀錄'!C158</f>
        <v>982(718Cayman)</v>
      </c>
      <c r="X12" s="14" t="str">
        <f>'依賽道-車輛紀錄'!D158</f>
        <v/>
      </c>
      <c r="Y12" s="83"/>
      <c r="Z12" s="83"/>
      <c r="AA12" s="83"/>
      <c r="AB12" s="87"/>
      <c r="AC12" s="87"/>
      <c r="AD12" s="87"/>
      <c r="AE12" s="87"/>
      <c r="AF12" s="83"/>
      <c r="AG12" s="83"/>
      <c r="AH12" s="83"/>
      <c r="AI12" s="83"/>
    </row>
    <row r="13">
      <c r="A13" s="70" t="s">
        <v>1269</v>
      </c>
      <c r="B13" s="70" t="s">
        <v>1237</v>
      </c>
      <c r="C13" s="70" t="s">
        <v>1238</v>
      </c>
      <c r="D13" s="14" t="s">
        <v>647</v>
      </c>
      <c r="E13" s="112" t="s">
        <v>1239</v>
      </c>
      <c r="F13" s="113" t="s">
        <v>208</v>
      </c>
      <c r="G13" s="114" t="s">
        <v>169</v>
      </c>
      <c r="H13" s="14" t="s">
        <v>647</v>
      </c>
      <c r="I13" s="83"/>
      <c r="J13" s="83"/>
      <c r="K13" s="83"/>
      <c r="L13" s="83"/>
      <c r="M13" s="83"/>
      <c r="N13" s="83"/>
      <c r="O13" s="83"/>
      <c r="P13" s="83"/>
      <c r="Q13" s="14" t="str">
        <f>'依賽道-個人紀錄'!A143</f>
        <v>wasdwa</v>
      </c>
      <c r="R13" s="14">
        <f>'依賽道-個人紀錄'!B143</f>
        <v>0.002864780093</v>
      </c>
      <c r="S13" s="14" t="str">
        <f>'依賽道-個人紀錄'!C143</f>
        <v>AE86T</v>
      </c>
      <c r="T13" s="14" t="str">
        <f>'依賽道-個人紀錄'!D143</f>
        <v>PC</v>
      </c>
      <c r="U13" s="14" t="str">
        <f>'依賽道-車輛紀錄'!A159</f>
        <v>Test Driver</v>
      </c>
      <c r="V13" s="14">
        <f>'依賽道-車輛紀錄'!B159</f>
        <v>0.006944444444</v>
      </c>
      <c r="W13" s="14" t="str">
        <f>'依賽道-車輛紀錄'!C159</f>
        <v>FT86</v>
      </c>
      <c r="X13" s="14" t="str">
        <f>'依賽道-車輛紀錄'!D159</f>
        <v/>
      </c>
      <c r="Y13" s="83"/>
      <c r="Z13" s="87" t="s">
        <v>275</v>
      </c>
      <c r="AA13" s="87" t="s">
        <v>1270</v>
      </c>
      <c r="AB13" s="87"/>
      <c r="AC13" s="87"/>
      <c r="AD13" s="87"/>
      <c r="AE13" s="87"/>
      <c r="AF13" s="83"/>
      <c r="AG13" s="83"/>
      <c r="AH13" s="83"/>
      <c r="AI13" s="83"/>
    </row>
    <row r="14">
      <c r="A14" s="70" t="s">
        <v>1271</v>
      </c>
      <c r="B14" s="70" t="s">
        <v>1237</v>
      </c>
      <c r="C14" s="70" t="s">
        <v>1238</v>
      </c>
      <c r="D14" s="120" t="s">
        <v>647</v>
      </c>
      <c r="E14" s="112" t="s">
        <v>1239</v>
      </c>
      <c r="F14" s="14" t="s">
        <v>208</v>
      </c>
      <c r="G14" s="114" t="s">
        <v>169</v>
      </c>
      <c r="I14" s="83"/>
      <c r="J14" s="83"/>
      <c r="K14" s="83"/>
      <c r="L14" s="83"/>
      <c r="M14" s="83"/>
      <c r="N14" s="83"/>
      <c r="O14" s="83"/>
      <c r="P14" s="83"/>
      <c r="Q14" s="14" t="str">
        <f>'依賽道-個人紀錄'!A144</f>
        <v>Test Driver</v>
      </c>
      <c r="R14" s="14">
        <f>'依賽道-個人紀錄'!B144</f>
        <v>0.006944444444</v>
      </c>
      <c r="S14" s="14" t="str">
        <f>'依賽道-個人紀錄'!C144</f>
        <v>GT86/ZN6</v>
      </c>
      <c r="T14" s="14" t="str">
        <f>'依賽道-個人紀錄'!D144</f>
        <v/>
      </c>
      <c r="U14" s="14" t="str">
        <f>'依賽道-車輛紀錄'!A160</f>
        <v/>
      </c>
      <c r="V14" s="14" t="str">
        <f>'依賽道-車輛紀錄'!B160</f>
        <v/>
      </c>
      <c r="W14" s="14" t="str">
        <f>'依賽道-車輛紀錄'!C160</f>
        <v/>
      </c>
      <c r="X14" s="14" t="str">
        <f>'依賽道-車輛紀錄'!D160</f>
        <v/>
      </c>
      <c r="Y14" s="83"/>
      <c r="Z14" s="87"/>
      <c r="AA14" s="87"/>
      <c r="AB14" s="87"/>
      <c r="AC14" s="87"/>
      <c r="AD14" s="87"/>
      <c r="AE14" s="87"/>
      <c r="AF14" s="83"/>
      <c r="AG14" s="83"/>
      <c r="AH14" s="83"/>
      <c r="AI14" s="83"/>
    </row>
    <row r="15">
      <c r="A15" s="70" t="s">
        <v>1272</v>
      </c>
      <c r="B15" s="70" t="s">
        <v>1237</v>
      </c>
      <c r="C15" s="70" t="s">
        <v>1238</v>
      </c>
      <c r="D15" s="120" t="s">
        <v>647</v>
      </c>
      <c r="E15" s="112" t="s">
        <v>1239</v>
      </c>
      <c r="F15" s="14" t="s">
        <v>208</v>
      </c>
      <c r="G15" s="114" t="s">
        <v>169</v>
      </c>
      <c r="I15" s="83"/>
      <c r="J15" s="83"/>
      <c r="K15" s="83"/>
      <c r="L15" s="83"/>
      <c r="M15" s="83"/>
      <c r="N15" s="83"/>
      <c r="O15" s="83"/>
      <c r="P15" s="83"/>
      <c r="Q15" s="14" t="str">
        <f>'依賽道-個人紀錄'!A145</f>
        <v/>
      </c>
      <c r="R15" s="14" t="str">
        <f>'依賽道-個人紀錄'!B145</f>
        <v/>
      </c>
      <c r="S15" s="14" t="str">
        <f>'依賽道-個人紀錄'!C145</f>
        <v/>
      </c>
      <c r="T15" s="14"/>
      <c r="U15" s="14"/>
      <c r="V15" s="14"/>
      <c r="W15" s="14"/>
      <c r="X15" s="14"/>
      <c r="Y15" s="83"/>
      <c r="Z15" s="122" t="s">
        <v>1273</v>
      </c>
      <c r="AF15" s="83"/>
      <c r="AG15" s="83"/>
      <c r="AH15" s="83"/>
      <c r="AI15" s="83"/>
    </row>
    <row r="16">
      <c r="A16" s="70" t="s">
        <v>1274</v>
      </c>
      <c r="B16" s="70" t="s">
        <v>1237</v>
      </c>
      <c r="C16" s="70" t="s">
        <v>1238</v>
      </c>
      <c r="D16" s="14" t="s">
        <v>647</v>
      </c>
      <c r="E16" s="112" t="s">
        <v>1239</v>
      </c>
      <c r="F16" s="113" t="s">
        <v>207</v>
      </c>
      <c r="G16" s="118" t="s">
        <v>1247</v>
      </c>
      <c r="H16" s="14" t="s">
        <v>207</v>
      </c>
      <c r="I16" s="83"/>
      <c r="J16" s="83"/>
      <c r="K16" s="83"/>
      <c r="L16" s="83"/>
      <c r="M16" s="83"/>
      <c r="N16" s="83"/>
      <c r="O16" s="83"/>
      <c r="P16" s="83"/>
      <c r="Q16" s="14"/>
      <c r="R16" s="14"/>
      <c r="S16" s="14"/>
      <c r="T16" s="14"/>
      <c r="U16" s="14"/>
      <c r="V16" s="14"/>
      <c r="W16" s="14"/>
      <c r="X16" s="14"/>
      <c r="Y16" s="83"/>
      <c r="Z16" s="87" t="s">
        <v>214</v>
      </c>
      <c r="AA16" s="4" t="s">
        <v>217</v>
      </c>
      <c r="AB16" s="4" t="s">
        <v>1251</v>
      </c>
      <c r="AC16" s="70" t="s">
        <v>1252</v>
      </c>
      <c r="AD16" s="70" t="s">
        <v>1275</v>
      </c>
      <c r="AE16" s="83"/>
      <c r="AF16" s="83"/>
      <c r="AG16" s="83"/>
      <c r="AH16" s="70"/>
      <c r="AI16" s="70"/>
    </row>
    <row r="17">
      <c r="A17" s="70" t="s">
        <v>1276</v>
      </c>
      <c r="B17" s="87" t="s">
        <v>1237</v>
      </c>
      <c r="C17" s="87" t="s">
        <v>1238</v>
      </c>
      <c r="D17" s="14" t="s">
        <v>647</v>
      </c>
      <c r="E17" s="112" t="s">
        <v>1239</v>
      </c>
      <c r="F17" s="113" t="s">
        <v>207</v>
      </c>
      <c r="G17" s="123" t="s">
        <v>1247</v>
      </c>
      <c r="I17" s="83"/>
      <c r="J17" s="83"/>
      <c r="K17" s="83"/>
      <c r="L17" s="83"/>
      <c r="M17" s="83"/>
      <c r="N17" s="83"/>
      <c r="O17" s="83"/>
      <c r="P17" s="83"/>
      <c r="Q17" s="14"/>
      <c r="R17" s="14"/>
      <c r="S17" s="14"/>
      <c r="T17" s="14"/>
      <c r="U17" s="14"/>
      <c r="V17" s="14"/>
      <c r="W17" s="14"/>
      <c r="X17" s="14"/>
      <c r="Y17" s="83"/>
      <c r="Z17" s="14" t="s">
        <v>207</v>
      </c>
      <c r="AA17" s="14" t="s">
        <v>225</v>
      </c>
      <c r="AB17" s="70">
        <v>18.0</v>
      </c>
      <c r="AC17" s="70">
        <v>5.0</v>
      </c>
      <c r="AD17" s="83">
        <f t="shared" ref="AD17:AD32" si="1">AB17/AC17</f>
        <v>3.6</v>
      </c>
      <c r="AE17" s="70">
        <v>3.0</v>
      </c>
      <c r="AF17" s="83"/>
      <c r="AG17" s="83"/>
      <c r="AH17" s="83"/>
      <c r="AI17" s="83"/>
    </row>
    <row r="18">
      <c r="A18" s="87"/>
      <c r="B18" s="87"/>
      <c r="C18" s="87"/>
      <c r="D18" s="87"/>
      <c r="E18" s="87"/>
      <c r="F18" s="87"/>
      <c r="G18" s="87"/>
      <c r="H18" s="87"/>
      <c r="I18" s="83"/>
      <c r="J18" s="83"/>
      <c r="K18" s="83"/>
      <c r="L18" s="83"/>
      <c r="M18" s="83"/>
      <c r="N18" s="83"/>
      <c r="O18" s="83"/>
      <c r="P18" s="83"/>
      <c r="Q18" s="14"/>
      <c r="R18" s="14"/>
      <c r="S18" s="14"/>
      <c r="T18" s="14"/>
      <c r="U18" s="14"/>
      <c r="V18" s="14"/>
      <c r="W18" s="14"/>
      <c r="X18" s="14"/>
      <c r="Y18" s="83"/>
      <c r="Z18" s="14" t="s">
        <v>208</v>
      </c>
      <c r="AA18" s="14" t="s">
        <v>225</v>
      </c>
      <c r="AB18" s="70">
        <v>13.0</v>
      </c>
      <c r="AC18" s="70">
        <v>5.0</v>
      </c>
      <c r="AD18" s="83">
        <f t="shared" si="1"/>
        <v>2.6</v>
      </c>
      <c r="AE18" s="70">
        <v>5.0</v>
      </c>
      <c r="AF18" s="83"/>
      <c r="AG18" s="83"/>
      <c r="AH18" s="83"/>
      <c r="AI18" s="83"/>
    </row>
    <row r="19">
      <c r="A19" s="87"/>
      <c r="B19" s="87"/>
      <c r="C19" s="87"/>
      <c r="D19" s="87"/>
      <c r="E19" s="87"/>
      <c r="F19" s="87"/>
      <c r="G19" s="87"/>
      <c r="H19" s="87"/>
      <c r="I19" s="87"/>
      <c r="J19" s="14"/>
      <c r="K19" s="14"/>
      <c r="L19" s="83"/>
      <c r="M19" s="83"/>
      <c r="N19" s="83"/>
      <c r="O19" s="83"/>
      <c r="P19" s="83"/>
      <c r="Q19" s="14"/>
      <c r="R19" s="14"/>
      <c r="S19" s="14"/>
      <c r="T19" s="14"/>
      <c r="U19" s="14"/>
      <c r="V19" s="14"/>
      <c r="W19" s="14"/>
      <c r="X19" s="14"/>
      <c r="Y19" s="83"/>
      <c r="Z19" s="14" t="s">
        <v>647</v>
      </c>
      <c r="AA19" s="14" t="s">
        <v>225</v>
      </c>
      <c r="AB19" s="70">
        <v>9.0</v>
      </c>
      <c r="AC19" s="70">
        <v>2.0</v>
      </c>
      <c r="AD19" s="83">
        <f t="shared" si="1"/>
        <v>4.5</v>
      </c>
      <c r="AE19" s="70">
        <v>2.0</v>
      </c>
      <c r="AF19" s="83"/>
      <c r="AG19" s="83"/>
      <c r="AH19" s="83"/>
      <c r="AI19" s="83"/>
    </row>
    <row r="20">
      <c r="A20" s="87"/>
      <c r="B20" s="87"/>
      <c r="C20" s="87"/>
      <c r="D20" s="87"/>
      <c r="E20" s="87"/>
      <c r="F20" s="87"/>
      <c r="G20" s="87"/>
      <c r="H20" s="87"/>
      <c r="I20" s="87"/>
      <c r="J20" s="14"/>
      <c r="K20" s="14"/>
      <c r="L20" s="83"/>
      <c r="M20" s="83"/>
      <c r="N20" s="83"/>
      <c r="O20" s="83"/>
      <c r="P20" s="83"/>
      <c r="Q20" s="14"/>
      <c r="R20" s="14"/>
      <c r="S20" s="14"/>
      <c r="T20" s="14"/>
      <c r="U20" s="14"/>
      <c r="V20" s="14"/>
      <c r="W20" s="14"/>
      <c r="X20" s="14"/>
      <c r="Y20" s="83"/>
      <c r="Z20" s="14" t="s">
        <v>205</v>
      </c>
      <c r="AA20" s="14" t="s">
        <v>231</v>
      </c>
      <c r="AB20" s="70">
        <v>7.0</v>
      </c>
      <c r="AC20" s="70">
        <v>5.0</v>
      </c>
      <c r="AD20" s="83">
        <f t="shared" si="1"/>
        <v>1.4</v>
      </c>
      <c r="AE20" s="70">
        <v>9.0</v>
      </c>
      <c r="AF20" s="83"/>
      <c r="AG20" s="83"/>
      <c r="AH20" s="83"/>
      <c r="AI20" s="83"/>
    </row>
    <row r="21">
      <c r="A21" s="87"/>
      <c r="B21" s="87"/>
      <c r="C21" s="87"/>
      <c r="D21" s="87"/>
      <c r="E21" s="87"/>
      <c r="F21" s="87"/>
      <c r="G21" s="87"/>
      <c r="H21" s="87"/>
      <c r="I21" s="87"/>
      <c r="J21" s="14"/>
      <c r="K21" s="14"/>
      <c r="L21" s="83"/>
      <c r="M21" s="83"/>
      <c r="N21" s="83"/>
      <c r="O21" s="83"/>
      <c r="P21" s="83"/>
      <c r="Q21" s="14"/>
      <c r="R21" s="14"/>
      <c r="S21" s="14"/>
      <c r="T21" s="14"/>
      <c r="U21" s="14"/>
      <c r="V21" s="14"/>
      <c r="W21" s="14"/>
      <c r="X21" s="14"/>
      <c r="Y21" s="83"/>
      <c r="Z21" s="14" t="s">
        <v>245</v>
      </c>
      <c r="AA21" s="14" t="s">
        <v>231</v>
      </c>
      <c r="AB21" s="70">
        <v>7.0</v>
      </c>
      <c r="AC21" s="70">
        <v>4.0</v>
      </c>
      <c r="AD21" s="83">
        <f t="shared" si="1"/>
        <v>1.75</v>
      </c>
      <c r="AE21" s="70">
        <v>8.0</v>
      </c>
      <c r="AF21" s="83"/>
      <c r="AG21" s="83"/>
      <c r="AH21" s="83"/>
      <c r="AI21" s="83"/>
    </row>
    <row r="22">
      <c r="A22" s="87"/>
      <c r="B22" s="87"/>
      <c r="C22" s="87"/>
      <c r="D22" s="87"/>
      <c r="E22" s="87"/>
      <c r="F22" s="87"/>
      <c r="G22" s="87"/>
      <c r="H22" s="87"/>
      <c r="I22" s="87"/>
      <c r="J22" s="14"/>
      <c r="K22" s="14"/>
      <c r="L22" s="83"/>
      <c r="M22" s="83"/>
      <c r="N22" s="83"/>
      <c r="O22" s="83"/>
      <c r="P22" s="83"/>
      <c r="Q22" s="14"/>
      <c r="R22" s="14"/>
      <c r="S22" s="14"/>
      <c r="T22" s="14"/>
      <c r="U22" s="14"/>
      <c r="V22" s="14"/>
      <c r="W22" s="14"/>
      <c r="X22" s="14"/>
      <c r="Y22" s="83"/>
      <c r="Z22" s="14" t="s">
        <v>206</v>
      </c>
      <c r="AA22" s="14" t="s">
        <v>231</v>
      </c>
      <c r="AB22" s="70">
        <v>6.0</v>
      </c>
      <c r="AC22" s="70">
        <v>2.0</v>
      </c>
      <c r="AD22" s="83">
        <f t="shared" si="1"/>
        <v>3</v>
      </c>
      <c r="AE22" s="70">
        <v>4.0</v>
      </c>
      <c r="AF22" s="83"/>
      <c r="AG22" s="83"/>
      <c r="AH22" s="83"/>
      <c r="AI22" s="83"/>
    </row>
    <row r="23">
      <c r="A23" s="87"/>
      <c r="B23" s="87"/>
      <c r="C23" s="87"/>
      <c r="D23" s="87"/>
      <c r="E23" s="87"/>
      <c r="F23" s="87"/>
      <c r="G23" s="87"/>
      <c r="H23" s="87"/>
      <c r="I23" s="87"/>
      <c r="J23" s="14"/>
      <c r="K23" s="14"/>
      <c r="L23" s="83"/>
      <c r="M23" s="83"/>
      <c r="N23" s="83"/>
      <c r="O23" s="83"/>
      <c r="P23" s="83"/>
      <c r="Q23" s="14"/>
      <c r="R23" s="14"/>
      <c r="S23" s="14"/>
      <c r="T23" s="14"/>
      <c r="U23" s="14"/>
      <c r="V23" s="14"/>
      <c r="W23" s="14"/>
      <c r="X23" s="14"/>
      <c r="Y23" s="83"/>
      <c r="Z23" s="70" t="s">
        <v>209</v>
      </c>
      <c r="AA23" s="14" t="s">
        <v>225</v>
      </c>
      <c r="AB23" s="91">
        <v>6.0</v>
      </c>
      <c r="AC23" s="91">
        <v>2.0</v>
      </c>
      <c r="AD23" s="83">
        <f t="shared" si="1"/>
        <v>3</v>
      </c>
      <c r="AE23" s="70">
        <v>4.0</v>
      </c>
      <c r="AF23" s="83"/>
      <c r="AG23" s="83"/>
      <c r="AH23" s="83"/>
      <c r="AI23" s="83"/>
    </row>
    <row r="24">
      <c r="A24" s="87"/>
      <c r="B24" s="87"/>
      <c r="C24" s="87"/>
      <c r="D24" s="87"/>
      <c r="E24" s="87"/>
      <c r="F24" s="87"/>
      <c r="G24" s="87"/>
      <c r="H24" s="87"/>
      <c r="I24" s="87"/>
      <c r="J24" s="14"/>
      <c r="K24" s="14"/>
      <c r="L24" s="83"/>
      <c r="M24" s="83"/>
      <c r="N24" s="83"/>
      <c r="O24" s="83"/>
      <c r="P24" s="83"/>
      <c r="Q24" s="14"/>
      <c r="R24" s="14"/>
      <c r="S24" s="14"/>
      <c r="T24" s="14"/>
      <c r="U24" s="14"/>
      <c r="V24" s="14"/>
      <c r="W24" s="14"/>
      <c r="X24" s="14"/>
      <c r="Y24" s="83"/>
      <c r="Z24" s="5" t="s">
        <v>489</v>
      </c>
      <c r="AA24" s="5" t="s">
        <v>225</v>
      </c>
      <c r="AB24" s="70">
        <v>5.0</v>
      </c>
      <c r="AC24" s="70">
        <v>1.0</v>
      </c>
      <c r="AD24" s="83">
        <f t="shared" si="1"/>
        <v>5</v>
      </c>
      <c r="AE24" s="70">
        <v>1.0</v>
      </c>
      <c r="AF24" s="83"/>
      <c r="AG24" s="83"/>
      <c r="AH24" s="83"/>
      <c r="AI24" s="83"/>
    </row>
    <row r="25">
      <c r="A25" s="87"/>
      <c r="B25" s="124"/>
      <c r="C25" s="124"/>
      <c r="D25" s="87"/>
      <c r="E25" s="87"/>
      <c r="F25" s="87"/>
      <c r="G25" s="87"/>
      <c r="H25" s="87"/>
      <c r="I25" s="87"/>
      <c r="J25" s="14"/>
      <c r="K25" s="14"/>
      <c r="L25" s="83"/>
      <c r="M25" s="83"/>
      <c r="N25" s="83"/>
      <c r="O25" s="83"/>
      <c r="P25" s="83"/>
      <c r="Q25" s="14"/>
      <c r="R25" s="14"/>
      <c r="S25" s="14"/>
      <c r="T25" s="14"/>
      <c r="U25" s="14"/>
      <c r="V25" s="14"/>
      <c r="W25" s="14"/>
      <c r="X25" s="14"/>
      <c r="Y25" s="83"/>
      <c r="Z25" s="70" t="s">
        <v>1277</v>
      </c>
      <c r="AA25" s="5" t="s">
        <v>225</v>
      </c>
      <c r="AB25" s="70">
        <v>5.0</v>
      </c>
      <c r="AC25" s="70">
        <v>2.0</v>
      </c>
      <c r="AD25" s="83">
        <f t="shared" si="1"/>
        <v>2.5</v>
      </c>
      <c r="AE25" s="70">
        <v>6.0</v>
      </c>
      <c r="AF25" s="83"/>
      <c r="AG25" s="83"/>
      <c r="AH25" s="83"/>
      <c r="AI25" s="83"/>
    </row>
    <row r="26">
      <c r="A26" s="87" t="s">
        <v>1278</v>
      </c>
      <c r="B26" s="14" t="s">
        <v>207</v>
      </c>
      <c r="C26" s="118" t="s">
        <v>1247</v>
      </c>
      <c r="D26" s="14" t="s">
        <v>225</v>
      </c>
      <c r="E26" s="87"/>
      <c r="F26" s="87"/>
      <c r="G26" s="87"/>
      <c r="H26" s="87"/>
      <c r="I26" s="14"/>
      <c r="J26" s="14"/>
      <c r="K26" s="14"/>
      <c r="L26" s="14"/>
      <c r="M26" s="83"/>
      <c r="N26" s="83"/>
      <c r="O26" s="83"/>
      <c r="P26" s="83"/>
      <c r="Q26" s="14"/>
      <c r="R26" s="14"/>
      <c r="S26" s="14"/>
      <c r="T26" s="14"/>
      <c r="U26" s="14"/>
      <c r="V26" s="14"/>
      <c r="W26" s="14"/>
      <c r="X26" s="14"/>
      <c r="Y26" s="83"/>
      <c r="Z26" s="14" t="s">
        <v>275</v>
      </c>
      <c r="AA26" s="14" t="s">
        <v>231</v>
      </c>
      <c r="AB26" s="70">
        <v>2.0</v>
      </c>
      <c r="AC26" s="70">
        <v>2.0</v>
      </c>
      <c r="AD26" s="83">
        <f t="shared" si="1"/>
        <v>1</v>
      </c>
      <c r="AE26" s="70"/>
      <c r="AF26" s="83"/>
      <c r="AG26" s="83"/>
      <c r="AH26" s="83"/>
      <c r="AI26" s="83"/>
    </row>
    <row r="27">
      <c r="A27" s="87" t="s">
        <v>1279</v>
      </c>
      <c r="B27" s="14" t="s">
        <v>647</v>
      </c>
      <c r="C27" s="112" t="s">
        <v>1239</v>
      </c>
      <c r="D27" s="14" t="s">
        <v>225</v>
      </c>
      <c r="E27" s="87"/>
      <c r="F27" s="87"/>
      <c r="G27" s="87"/>
      <c r="H27" s="87"/>
      <c r="I27" s="14"/>
      <c r="J27" s="83"/>
      <c r="K27" s="83"/>
      <c r="L27" s="83"/>
      <c r="M27" s="83"/>
      <c r="N27" s="83"/>
      <c r="O27" s="83"/>
      <c r="P27" s="83"/>
      <c r="Q27" s="14"/>
      <c r="R27" s="14"/>
      <c r="S27" s="14"/>
      <c r="T27" s="14"/>
      <c r="U27" s="14"/>
      <c r="V27" s="14"/>
      <c r="W27" s="14"/>
      <c r="X27" s="14"/>
      <c r="Y27" s="83"/>
      <c r="Z27" s="70" t="s">
        <v>1280</v>
      </c>
      <c r="AA27" s="14"/>
      <c r="AB27" s="70">
        <v>2.0</v>
      </c>
      <c r="AC27" s="70">
        <v>2.0</v>
      </c>
      <c r="AD27" s="83">
        <f t="shared" si="1"/>
        <v>1</v>
      </c>
      <c r="AE27" s="70"/>
      <c r="AF27" s="83"/>
      <c r="AG27" s="83"/>
      <c r="AH27" s="83"/>
      <c r="AI27" s="83"/>
    </row>
    <row r="28">
      <c r="A28" s="87" t="s">
        <v>1281</v>
      </c>
      <c r="B28" s="14" t="s">
        <v>208</v>
      </c>
      <c r="C28" s="114" t="s">
        <v>169</v>
      </c>
      <c r="D28" s="14" t="s">
        <v>225</v>
      </c>
      <c r="E28" s="87"/>
      <c r="F28" s="87"/>
      <c r="G28" s="87"/>
      <c r="H28" s="87"/>
      <c r="I28" s="87"/>
      <c r="J28" s="83"/>
      <c r="K28" s="83"/>
      <c r="L28" s="83"/>
      <c r="M28" s="83"/>
      <c r="N28" s="83"/>
      <c r="O28" s="83"/>
      <c r="P28" s="83"/>
      <c r="Q28" s="14"/>
      <c r="R28" s="14"/>
      <c r="S28" s="14"/>
      <c r="T28" s="14"/>
      <c r="U28" s="87"/>
      <c r="V28" s="87"/>
      <c r="W28" s="87"/>
      <c r="X28" s="87"/>
      <c r="Y28" s="83"/>
      <c r="Z28" s="14" t="s">
        <v>453</v>
      </c>
      <c r="AA28" s="14" t="s">
        <v>225</v>
      </c>
      <c r="AB28" s="70">
        <v>2.0</v>
      </c>
      <c r="AC28" s="70">
        <v>1.0</v>
      </c>
      <c r="AD28" s="83">
        <f t="shared" si="1"/>
        <v>2</v>
      </c>
      <c r="AE28" s="70">
        <v>7.0</v>
      </c>
      <c r="AF28" s="83"/>
      <c r="AG28" s="83"/>
      <c r="AH28" s="83"/>
      <c r="AI28" s="83"/>
    </row>
    <row r="29">
      <c r="A29" s="87" t="s">
        <v>1282</v>
      </c>
      <c r="B29" s="14" t="s">
        <v>205</v>
      </c>
      <c r="C29" s="117" t="s">
        <v>200</v>
      </c>
      <c r="D29" s="14" t="s">
        <v>231</v>
      </c>
      <c r="E29" s="87"/>
      <c r="F29" s="87"/>
      <c r="G29" s="87"/>
      <c r="H29" s="87"/>
      <c r="I29" s="87"/>
      <c r="J29" s="83"/>
      <c r="K29" s="83"/>
      <c r="L29" s="83"/>
      <c r="M29" s="83"/>
      <c r="N29" s="83"/>
      <c r="O29" s="83"/>
      <c r="P29" s="83"/>
      <c r="Q29" s="14"/>
      <c r="R29" s="14"/>
      <c r="S29" s="14"/>
      <c r="T29" s="14"/>
      <c r="U29" s="87"/>
      <c r="V29" s="87"/>
      <c r="W29" s="87"/>
      <c r="X29" s="87"/>
      <c r="Y29" s="83"/>
      <c r="Z29" s="5" t="s">
        <v>229</v>
      </c>
      <c r="AA29" s="70" t="s">
        <v>231</v>
      </c>
      <c r="AB29" s="70">
        <v>2.0</v>
      </c>
      <c r="AC29" s="70">
        <v>2.0</v>
      </c>
      <c r="AD29" s="83">
        <f t="shared" si="1"/>
        <v>1</v>
      </c>
      <c r="AE29" s="83"/>
      <c r="AF29" s="83"/>
      <c r="AG29" s="83"/>
      <c r="AH29" s="83"/>
      <c r="AI29" s="83"/>
    </row>
    <row r="30">
      <c r="A30" s="104" t="s">
        <v>1283</v>
      </c>
      <c r="I30" s="87" t="s">
        <v>1222</v>
      </c>
      <c r="J30" s="83"/>
      <c r="K30" s="83"/>
      <c r="L30" s="83"/>
      <c r="M30" s="83"/>
      <c r="N30" s="83"/>
      <c r="O30" s="83"/>
      <c r="P30" s="83"/>
      <c r="Q30" s="71" t="s">
        <v>1223</v>
      </c>
      <c r="U30" s="71" t="s">
        <v>1224</v>
      </c>
      <c r="Y30" s="83"/>
      <c r="Z30" s="4" t="s">
        <v>235</v>
      </c>
      <c r="AA30" s="70" t="s">
        <v>231</v>
      </c>
      <c r="AB30" s="70">
        <v>1.0</v>
      </c>
      <c r="AC30" s="70">
        <v>1.0</v>
      </c>
      <c r="AD30" s="83">
        <f t="shared" si="1"/>
        <v>1</v>
      </c>
      <c r="AE30" s="83"/>
      <c r="AF30" s="83"/>
      <c r="AG30" s="83"/>
      <c r="AH30" s="83"/>
      <c r="AI30" s="83"/>
    </row>
    <row r="31">
      <c r="A31" s="106" t="s">
        <v>1226</v>
      </c>
      <c r="B31" s="106" t="s">
        <v>1227</v>
      </c>
      <c r="C31" s="106" t="s">
        <v>1228</v>
      </c>
      <c r="D31" s="97" t="s">
        <v>1229</v>
      </c>
      <c r="E31" s="107" t="s">
        <v>1230</v>
      </c>
      <c r="F31" s="97" t="s">
        <v>1229</v>
      </c>
      <c r="G31" s="107" t="s">
        <v>1230</v>
      </c>
      <c r="H31" s="107" t="s">
        <v>1231</v>
      </c>
      <c r="I31" s="83"/>
      <c r="J31" s="83"/>
      <c r="K31" s="83"/>
      <c r="L31" s="83"/>
      <c r="M31" s="83"/>
      <c r="N31" s="83"/>
      <c r="O31" s="83"/>
      <c r="P31" s="83"/>
      <c r="Q31" s="69" t="str">
        <f>'依賽道-個人紀錄'!A112</f>
        <v>Odawara Clockwise小田原/順向</v>
      </c>
      <c r="U31" s="69" t="str">
        <f>'依賽道-車輛紀錄'!A136</f>
        <v>Odawara Clockwise小田原/順向</v>
      </c>
      <c r="Y31" s="83"/>
      <c r="Z31" s="70" t="s">
        <v>1284</v>
      </c>
      <c r="AA31" s="70" t="s">
        <v>231</v>
      </c>
      <c r="AB31" s="70">
        <v>1.0</v>
      </c>
      <c r="AC31" s="70">
        <v>1.0</v>
      </c>
      <c r="AD31" s="83">
        <f t="shared" si="1"/>
        <v>1</v>
      </c>
      <c r="AE31" s="83"/>
      <c r="AF31" s="83"/>
      <c r="AG31" s="83"/>
      <c r="AH31" s="83"/>
      <c r="AI31" s="83"/>
    </row>
    <row r="32">
      <c r="A32" s="87" t="s">
        <v>1285</v>
      </c>
      <c r="B32" s="87"/>
      <c r="C32" s="87"/>
      <c r="D32" s="70" t="s">
        <v>245</v>
      </c>
      <c r="E32" s="14" t="s">
        <v>176</v>
      </c>
      <c r="F32" s="113" t="s">
        <v>453</v>
      </c>
      <c r="G32" s="125" t="s">
        <v>169</v>
      </c>
      <c r="H32" s="126" t="s">
        <v>453</v>
      </c>
      <c r="I32" s="83"/>
      <c r="J32" s="83"/>
      <c r="K32" s="83"/>
      <c r="L32" s="83"/>
      <c r="M32" s="83"/>
      <c r="N32" s="83"/>
      <c r="O32" s="83"/>
      <c r="P32" s="83"/>
      <c r="Q32" s="14" t="str">
        <f>'依賽道-個人紀錄'!A113</f>
        <v>Player玩家</v>
      </c>
      <c r="R32" s="14" t="str">
        <f>'依賽道-個人紀錄'!B113</f>
        <v>Time時間</v>
      </c>
      <c r="S32" s="14" t="str">
        <f>'依賽道-個人紀錄'!C113</f>
        <v>Car車種</v>
      </c>
      <c r="T32" s="14" t="str">
        <f>'依賽道-個人紀錄'!D113</f>
        <v>Platform平台</v>
      </c>
      <c r="U32" s="14" t="str">
        <f>'依賽道-車輛紀錄'!A137</f>
        <v>Player玩家</v>
      </c>
      <c r="V32" s="14" t="str">
        <f>'依賽道-車輛紀錄'!B137</f>
        <v>Time時間</v>
      </c>
      <c r="W32" s="14" t="str">
        <f>'依賽道-車輛紀錄'!C137</f>
        <v>Car車種</v>
      </c>
      <c r="X32" s="14" t="str">
        <f>'依賽道-車輛紀錄'!D137</f>
        <v>Platform平台</v>
      </c>
      <c r="Y32" s="83"/>
      <c r="Z32" s="4" t="s">
        <v>347</v>
      </c>
      <c r="AB32" s="4">
        <v>1.0</v>
      </c>
      <c r="AC32" s="4">
        <v>1.0</v>
      </c>
      <c r="AD32" s="83">
        <f t="shared" si="1"/>
        <v>1</v>
      </c>
      <c r="AE32" s="83"/>
      <c r="AF32" s="83"/>
      <c r="AG32" s="83"/>
      <c r="AH32" s="83"/>
      <c r="AI32" s="83"/>
    </row>
    <row r="33">
      <c r="A33" s="87" t="s">
        <v>1286</v>
      </c>
      <c r="B33" s="87"/>
      <c r="C33" s="87"/>
      <c r="D33" s="120" t="s">
        <v>205</v>
      </c>
      <c r="E33" s="14" t="s">
        <v>176</v>
      </c>
      <c r="F33" s="70" t="s">
        <v>1284</v>
      </c>
      <c r="G33" s="87"/>
      <c r="H33" s="14" t="s">
        <v>205</v>
      </c>
      <c r="I33" s="83"/>
      <c r="J33" s="83"/>
      <c r="K33" s="83"/>
      <c r="L33" s="83"/>
      <c r="M33" s="83"/>
      <c r="N33" s="83"/>
      <c r="O33" s="83"/>
      <c r="P33" s="83"/>
      <c r="Q33" s="14" t="str">
        <f>'依賽道-個人紀錄'!A114</f>
        <v>Lolidia</v>
      </c>
      <c r="R33" s="14">
        <f>'依賽道-個人紀錄'!B114</f>
        <v>0.002610347222</v>
      </c>
      <c r="S33" s="14" t="str">
        <f>'依賽道-個人紀錄'!C114</f>
        <v>991(911 GT3)</v>
      </c>
      <c r="T33" s="14" t="str">
        <f>'依賽道-個人紀錄'!D114</f>
        <v>PCVR</v>
      </c>
      <c r="U33" s="14" t="str">
        <f>'依賽道-車輛紀錄'!A138</f>
        <v>Lolidia</v>
      </c>
      <c r="V33" s="14">
        <f>'依賽道-車輛紀錄'!B138</f>
        <v>0.002610347222</v>
      </c>
      <c r="W33" s="14" t="str">
        <f>'依賽道-車輛紀錄'!C138</f>
        <v>991(911 GT3)</v>
      </c>
      <c r="X33" s="14" t="str">
        <f>'依賽道-車輛紀錄'!D138</f>
        <v>PCVR</v>
      </c>
      <c r="Y33" s="83"/>
      <c r="Z33" s="83"/>
      <c r="AA33" s="83"/>
      <c r="AB33" s="83"/>
      <c r="AC33" s="83"/>
      <c r="AD33" s="83"/>
      <c r="AE33" s="83"/>
      <c r="AF33" s="83"/>
      <c r="AG33" s="83"/>
      <c r="AH33" s="83"/>
      <c r="AI33" s="83"/>
    </row>
    <row r="34">
      <c r="A34" s="87" t="s">
        <v>1287</v>
      </c>
      <c r="B34" s="87"/>
      <c r="C34" s="87"/>
      <c r="D34" s="14" t="s">
        <v>275</v>
      </c>
      <c r="E34" s="87"/>
      <c r="F34" s="113" t="s">
        <v>453</v>
      </c>
      <c r="G34" s="125" t="s">
        <v>169</v>
      </c>
      <c r="H34" s="126" t="s">
        <v>453</v>
      </c>
      <c r="I34" s="83"/>
      <c r="J34" s="83"/>
      <c r="K34" s="83"/>
      <c r="L34" s="83"/>
      <c r="M34" s="83"/>
      <c r="N34" s="83"/>
      <c r="O34" s="83"/>
      <c r="P34" s="83"/>
      <c r="Q34" s="14" t="str">
        <f>'依賽道-個人紀錄'!A115</f>
        <v>ikuhopen</v>
      </c>
      <c r="R34" s="14">
        <f>'依賽道-個人紀錄'!B115</f>
        <v>0.002687303241</v>
      </c>
      <c r="S34" s="14" t="str">
        <f>'依賽道-個人紀錄'!C115</f>
        <v>991(911 GT3)</v>
      </c>
      <c r="T34" s="14" t="str">
        <f>'依賽道-個人紀錄'!D115</f>
        <v>PCVR</v>
      </c>
      <c r="U34" s="14" t="str">
        <f>'依賽道-車輛紀錄'!A139</f>
        <v>Lolidia</v>
      </c>
      <c r="V34" s="14">
        <f>'依賽道-車輛紀錄'!B139</f>
        <v>0.002672256944</v>
      </c>
      <c r="W34" s="14" t="str">
        <f>'依賽道-車輛紀錄'!C139</f>
        <v>GT86/ZN6</v>
      </c>
      <c r="X34" s="14" t="str">
        <f>'依賽道-車輛紀錄'!D139</f>
        <v>PCVR</v>
      </c>
      <c r="Y34" s="83"/>
      <c r="Z34" s="127" t="s">
        <v>1288</v>
      </c>
      <c r="AA34" s="83"/>
      <c r="AB34" s="70">
        <v>0.0</v>
      </c>
      <c r="AC34" s="70">
        <v>0.0</v>
      </c>
      <c r="AD34" s="83"/>
      <c r="AE34" s="83"/>
      <c r="AF34" s="83"/>
      <c r="AG34" s="83"/>
      <c r="AH34" s="83"/>
      <c r="AI34" s="83"/>
    </row>
    <row r="35">
      <c r="A35" s="87" t="s">
        <v>1289</v>
      </c>
      <c r="B35" s="87"/>
      <c r="C35" s="87"/>
      <c r="D35" s="120" t="s">
        <v>647</v>
      </c>
      <c r="E35" s="14" t="s">
        <v>176</v>
      </c>
      <c r="F35" s="70" t="s">
        <v>1280</v>
      </c>
      <c r="G35" s="87"/>
      <c r="H35" s="14" t="s">
        <v>647</v>
      </c>
      <c r="I35" s="87" t="s">
        <v>214</v>
      </c>
      <c r="J35" s="83" t="s">
        <v>215</v>
      </c>
      <c r="K35" s="83" t="s">
        <v>1230</v>
      </c>
      <c r="L35" s="4" t="s">
        <v>217</v>
      </c>
      <c r="M35" s="4" t="s">
        <v>1250</v>
      </c>
      <c r="N35" s="4" t="s">
        <v>1251</v>
      </c>
      <c r="O35" s="83"/>
      <c r="P35" s="83"/>
      <c r="Q35" s="14" t="str">
        <f>'依賽道-個人紀錄'!A116</f>
        <v>菲娜 希琉絲</v>
      </c>
      <c r="R35" s="14">
        <f>'依賽道-個人紀錄'!B116</f>
        <v>0.0027121875</v>
      </c>
      <c r="S35" s="125" t="str">
        <f>'依賽道-個人紀錄'!C116</f>
        <v>GT86/ZN6</v>
      </c>
      <c r="T35" s="14" t="str">
        <f>'依賽道-個人紀錄'!D116</f>
        <v>PCVR</v>
      </c>
      <c r="U35" s="14" t="str">
        <f>'依賽道-車輛紀錄'!A140</f>
        <v>Lolidia</v>
      </c>
      <c r="V35" s="14">
        <f>'依賽道-車輛紀錄'!B140</f>
        <v>0.002706793981</v>
      </c>
      <c r="W35" s="14" t="str">
        <f>'依賽道-車輛紀錄'!C140</f>
        <v>DB42 (GR Supra)</v>
      </c>
      <c r="X35" s="14" t="str">
        <f>'依賽道-車輛紀錄'!D140</f>
        <v>PCVR</v>
      </c>
      <c r="Y35" s="83"/>
      <c r="Z35" s="83"/>
      <c r="AA35" s="83"/>
      <c r="AB35" s="83"/>
      <c r="AC35" s="83"/>
      <c r="AD35" s="83"/>
      <c r="AE35" s="83"/>
      <c r="AF35" s="70"/>
      <c r="AG35" s="70"/>
      <c r="AH35" s="83"/>
      <c r="AI35" s="83"/>
    </row>
    <row r="36">
      <c r="A36" s="70" t="s">
        <v>1290</v>
      </c>
      <c r="B36" s="87"/>
      <c r="C36" s="87"/>
      <c r="D36" s="14" t="s">
        <v>208</v>
      </c>
      <c r="E36" s="87"/>
      <c r="F36" s="120" t="s">
        <v>207</v>
      </c>
      <c r="G36" s="87"/>
      <c r="H36" s="14" t="s">
        <v>207</v>
      </c>
      <c r="I36" s="14" t="s">
        <v>207</v>
      </c>
      <c r="J36" s="14">
        <v>0.0026873032407407405</v>
      </c>
      <c r="K36" s="14" t="s">
        <v>139</v>
      </c>
      <c r="L36" s="14" t="s">
        <v>225</v>
      </c>
      <c r="M36" s="70">
        <v>3.0</v>
      </c>
      <c r="N36" s="70">
        <v>13.0</v>
      </c>
      <c r="O36" s="70">
        <v>4.0</v>
      </c>
      <c r="P36" s="83"/>
      <c r="Q36" s="14" t="str">
        <f>'依賽道-個人紀錄'!A117</f>
        <v>Redfrogss</v>
      </c>
      <c r="R36" s="14">
        <f>'依賽道-個人紀錄'!B117</f>
        <v>0.002764178241</v>
      </c>
      <c r="S36" s="125" t="str">
        <f>'依賽道-個人紀錄'!C117</f>
        <v>R35N3</v>
      </c>
      <c r="T36" s="14" t="str">
        <f>'依賽道-個人紀錄'!D117</f>
        <v>PCVR</v>
      </c>
      <c r="U36" s="14" t="str">
        <f>'依賽道-車輛紀錄'!A141</f>
        <v>菲娜 希琉絲</v>
      </c>
      <c r="V36" s="14">
        <f>'依賽道-車輛紀錄'!B141</f>
        <v>0.002728784722</v>
      </c>
      <c r="W36" s="14" t="str">
        <f>'依賽道-車輛紀錄'!C141</f>
        <v>R35N3</v>
      </c>
      <c r="X36" s="14" t="str">
        <f>'依賽道-車輛紀錄'!D141</f>
        <v>PCVR</v>
      </c>
      <c r="Y36" s="83"/>
      <c r="Z36" s="83"/>
      <c r="AA36" s="83"/>
      <c r="AB36" s="83"/>
      <c r="AC36" s="83"/>
      <c r="AD36" s="83"/>
      <c r="AE36" s="70"/>
      <c r="AF36" s="70"/>
      <c r="AG36" s="70"/>
      <c r="AH36" s="83"/>
      <c r="AI36" s="83"/>
    </row>
    <row r="37">
      <c r="A37" s="70" t="s">
        <v>1291</v>
      </c>
      <c r="B37" s="87"/>
      <c r="C37" s="87"/>
      <c r="D37" s="14" t="s">
        <v>205</v>
      </c>
      <c r="E37" s="126" t="s">
        <v>139</v>
      </c>
      <c r="F37" s="120" t="s">
        <v>206</v>
      </c>
      <c r="G37" s="125" t="s">
        <v>169</v>
      </c>
      <c r="H37" s="14" t="s">
        <v>206</v>
      </c>
      <c r="I37" s="14" t="s">
        <v>647</v>
      </c>
      <c r="J37" s="14">
        <v>0.0027287847222222223</v>
      </c>
      <c r="K37" s="125" t="s">
        <v>169</v>
      </c>
      <c r="L37" s="14" t="s">
        <v>225</v>
      </c>
      <c r="M37" s="70">
        <v>5.0</v>
      </c>
      <c r="N37" s="70">
        <v>5.0</v>
      </c>
      <c r="O37" s="70">
        <v>1.0</v>
      </c>
      <c r="P37" s="83"/>
      <c r="Q37" s="14" t="str">
        <f>'依賽道-個人紀錄'!A118</f>
        <v>ZihChin</v>
      </c>
      <c r="R37" s="14">
        <f>'依賽道-個人紀錄'!B118</f>
        <v>0.002791319444</v>
      </c>
      <c r="S37" s="14" t="str">
        <f>'依賽道-個人紀錄'!C118</f>
        <v>GT86/ZN6</v>
      </c>
      <c r="T37" s="14" t="str">
        <f>'依賽道-個人紀錄'!D118</f>
        <v>PC</v>
      </c>
      <c r="U37" s="14" t="str">
        <f>'依賽道-車輛紀錄'!A142</f>
        <v>菲娜 希琉絲</v>
      </c>
      <c r="V37" s="14">
        <f>'依賽道-車輛紀錄'!B142</f>
        <v>0.002777106481</v>
      </c>
      <c r="W37" s="14" t="str">
        <f>'依賽道-車輛紀錄'!C142</f>
        <v>GT86/ZN6 V2</v>
      </c>
      <c r="X37" s="14" t="str">
        <f>'依賽道-車輛紀錄'!D142</f>
        <v>PCVR</v>
      </c>
      <c r="Y37" s="83"/>
      <c r="Z37" s="70"/>
      <c r="AA37" s="83"/>
      <c r="AB37" s="83"/>
      <c r="AC37" s="83"/>
      <c r="AD37" s="70"/>
      <c r="AE37" s="70"/>
      <c r="AF37" s="83"/>
      <c r="AG37" s="83"/>
      <c r="AH37" s="83"/>
      <c r="AI37" s="83"/>
    </row>
    <row r="38">
      <c r="A38" s="128" t="s">
        <v>1292</v>
      </c>
      <c r="B38" s="87"/>
      <c r="C38" s="87"/>
      <c r="D38" s="70" t="s">
        <v>245</v>
      </c>
      <c r="E38" s="87"/>
      <c r="F38" s="70" t="s">
        <v>1284</v>
      </c>
      <c r="G38" s="87"/>
      <c r="H38" s="14" t="s">
        <v>275</v>
      </c>
      <c r="I38" s="14" t="s">
        <v>275</v>
      </c>
      <c r="J38" s="14">
        <v>0.0027979050925925927</v>
      </c>
      <c r="K38" s="14" t="s">
        <v>176</v>
      </c>
      <c r="L38" s="14" t="s">
        <v>231</v>
      </c>
      <c r="M38" s="70">
        <v>1.0</v>
      </c>
      <c r="N38" s="70">
        <v>2.0</v>
      </c>
      <c r="O38" s="70">
        <v>2.0</v>
      </c>
      <c r="P38" s="83"/>
      <c r="Q38" s="14" t="str">
        <f>'依賽道-個人紀錄'!A119</f>
        <v>江柚凝</v>
      </c>
      <c r="R38" s="14">
        <f>'依賽道-個人紀錄'!B119</f>
        <v>0.002805752315</v>
      </c>
      <c r="S38" s="125" t="str">
        <f>'依賽道-個人紀錄'!C119</f>
        <v>R35N3</v>
      </c>
      <c r="T38" s="14" t="str">
        <f>'依賽道-個人紀錄'!D119</f>
        <v>PCVR</v>
      </c>
      <c r="U38" s="14" t="str">
        <f>'依賽道-車輛紀錄'!A143</f>
        <v>Redfrogss</v>
      </c>
      <c r="V38" s="14">
        <f>'依賽道-車輛紀錄'!B143</f>
        <v>0.002811342593</v>
      </c>
      <c r="W38" s="14" t="str">
        <f>'依賽道-車輛紀錄'!C143</f>
        <v>R35N2</v>
      </c>
      <c r="X38" s="14" t="str">
        <f>'依賽道-車輛紀錄'!D143</f>
        <v>PCVR</v>
      </c>
      <c r="Y38" s="83"/>
      <c r="Z38" s="83"/>
      <c r="AA38" s="83"/>
      <c r="AB38" s="83"/>
      <c r="AC38" s="83"/>
      <c r="AD38" s="83"/>
      <c r="AE38" s="83"/>
      <c r="AF38" s="83"/>
      <c r="AG38" s="83"/>
      <c r="AH38" s="83"/>
      <c r="AI38" s="83"/>
    </row>
    <row r="39">
      <c r="A39" s="129"/>
      <c r="B39" s="87"/>
      <c r="C39" s="87"/>
      <c r="D39" s="120" t="s">
        <v>275</v>
      </c>
      <c r="E39" s="87"/>
      <c r="F39" s="87"/>
      <c r="G39" s="87"/>
      <c r="I39" s="14" t="s">
        <v>453</v>
      </c>
      <c r="J39" s="14">
        <v>0.0028110532407407407</v>
      </c>
      <c r="K39" s="125" t="s">
        <v>169</v>
      </c>
      <c r="L39" s="14" t="s">
        <v>225</v>
      </c>
      <c r="M39" s="70">
        <v>2.0</v>
      </c>
      <c r="N39" s="70">
        <v>2.0</v>
      </c>
      <c r="O39" s="70">
        <v>1.0</v>
      </c>
      <c r="P39" s="83"/>
      <c r="Q39" s="14" t="str">
        <f>'依賽道-個人紀錄'!A120</f>
        <v>Yune</v>
      </c>
      <c r="R39" s="14">
        <f>'依賽道-個人紀錄'!B120</f>
        <v>0.002828981481</v>
      </c>
      <c r="S39" s="14" t="str">
        <f>'依賽道-個人紀錄'!C120</f>
        <v>GT86/ZN6</v>
      </c>
      <c r="T39" s="14" t="str">
        <f>'依賽道-個人紀錄'!D120</f>
        <v>PC</v>
      </c>
      <c r="U39" s="14" t="str">
        <f>'依賽道-車輛紀錄'!A144</f>
        <v>アビドサスヒカリ</v>
      </c>
      <c r="V39" s="14">
        <f>'依賽道-車輛紀錄'!B144</f>
        <v>0.002932465278</v>
      </c>
      <c r="W39" s="14" t="str">
        <f>'依賽道-車輛紀錄'!C144</f>
        <v>982(718Cayman)</v>
      </c>
      <c r="X39" s="14" t="str">
        <f>'依賽道-車輛紀錄'!D144</f>
        <v>PC</v>
      </c>
      <c r="Y39" s="83"/>
      <c r="Z39" s="83"/>
      <c r="AA39" s="83"/>
      <c r="AB39" s="83"/>
      <c r="AD39" s="83"/>
      <c r="AE39" s="83"/>
      <c r="AF39" s="83"/>
      <c r="AG39" s="83"/>
      <c r="AH39" s="83"/>
      <c r="AI39" s="83"/>
    </row>
    <row r="40">
      <c r="A40" s="128" t="s">
        <v>1293</v>
      </c>
      <c r="B40" s="87"/>
      <c r="C40" s="87"/>
      <c r="D40" s="70" t="s">
        <v>1280</v>
      </c>
      <c r="E40" s="87"/>
      <c r="F40" s="14" t="s">
        <v>205</v>
      </c>
      <c r="G40" s="126" t="s">
        <v>139</v>
      </c>
      <c r="H40" s="14" t="s">
        <v>208</v>
      </c>
      <c r="I40" s="14" t="s">
        <v>245</v>
      </c>
      <c r="J40" s="14">
        <v>0.0028289814814814814</v>
      </c>
      <c r="K40" s="14" t="s">
        <v>176</v>
      </c>
      <c r="L40" s="14" t="s">
        <v>231</v>
      </c>
      <c r="M40" s="70">
        <v>1.0</v>
      </c>
      <c r="N40" s="70">
        <v>7.0</v>
      </c>
      <c r="O40" s="70">
        <v>4.0</v>
      </c>
      <c r="P40" s="83"/>
      <c r="Q40" s="14" t="str">
        <f>'依賽道-個人紀錄'!A121</f>
        <v>LinWu_05</v>
      </c>
      <c r="R40" s="14">
        <f>'依賽道-個人紀錄'!B121</f>
        <v>0.002862083333</v>
      </c>
      <c r="S40" s="125" t="str">
        <f>'依賽道-個人紀錄'!C121</f>
        <v>R35N3</v>
      </c>
      <c r="T40" s="14" t="str">
        <f>'依賽道-個人紀錄'!D121</f>
        <v>PC</v>
      </c>
      <c r="U40" s="14" t="str">
        <f>'依賽道-車輛紀錄'!A145</f>
        <v>StarRiver Arts</v>
      </c>
      <c r="V40" s="14">
        <f>'依賽道-車輛紀錄'!B145</f>
        <v>0.003042534722</v>
      </c>
      <c r="W40" s="14" t="str">
        <f>'依賽道-車輛紀錄'!C145</f>
        <v>96018(4C)</v>
      </c>
      <c r="X40" s="14" t="str">
        <f>'依賽道-車輛紀錄'!D145</f>
        <v>PC</v>
      </c>
      <c r="Y40" s="83"/>
      <c r="Z40" s="83"/>
      <c r="AA40" s="83"/>
      <c r="AB40" s="83"/>
      <c r="AC40" s="83"/>
      <c r="AD40" s="83"/>
      <c r="AE40" s="83"/>
      <c r="AF40" s="83"/>
      <c r="AG40" s="83"/>
      <c r="AH40" s="83"/>
      <c r="AI40" s="83"/>
    </row>
    <row r="41">
      <c r="A41" s="129"/>
      <c r="B41" s="87"/>
      <c r="C41" s="87"/>
      <c r="D41" s="120" t="s">
        <v>208</v>
      </c>
      <c r="E41" s="87"/>
      <c r="F41" s="87"/>
      <c r="G41" s="87"/>
      <c r="I41" s="14" t="s">
        <v>205</v>
      </c>
      <c r="J41" s="14">
        <v>0.002908946759259259</v>
      </c>
      <c r="K41" s="14" t="s">
        <v>176</v>
      </c>
      <c r="L41" s="14" t="s">
        <v>231</v>
      </c>
      <c r="M41" s="70">
        <v>1.0</v>
      </c>
      <c r="N41" s="70">
        <v>5.0</v>
      </c>
      <c r="O41" s="70">
        <v>4.0</v>
      </c>
      <c r="P41" s="83"/>
      <c r="Q41" s="14" t="str">
        <f>'依賽道-個人紀錄'!A122</f>
        <v>StarRiver Arts</v>
      </c>
      <c r="R41" s="14">
        <f>'依賽道-個人紀錄'!B122</f>
        <v>0.0028996875</v>
      </c>
      <c r="S41" s="14" t="str">
        <f>'依賽道-個人紀錄'!C122</f>
        <v>GT86/ZN6</v>
      </c>
      <c r="T41" s="14" t="str">
        <f>'依賽道-個人紀錄'!D122</f>
        <v>PC</v>
      </c>
      <c r="U41" s="14" t="str">
        <f>'依賽道-車輛紀錄'!A146</f>
        <v/>
      </c>
      <c r="V41" s="14" t="str">
        <f>'依賽道-車輛紀錄'!B146</f>
        <v/>
      </c>
      <c r="W41" s="14" t="str">
        <f>'依賽道-車輛紀錄'!C146</f>
        <v/>
      </c>
      <c r="X41" s="14" t="str">
        <f>'依賽道-車輛紀錄'!D146</f>
        <v/>
      </c>
      <c r="Y41" s="83"/>
      <c r="Z41" s="130"/>
      <c r="AA41" s="83"/>
      <c r="AB41" s="83"/>
      <c r="AC41" s="83"/>
      <c r="AD41" s="83"/>
      <c r="AE41" s="83"/>
      <c r="AF41" s="83"/>
      <c r="AG41" s="83"/>
      <c r="AH41" s="83"/>
      <c r="AI41" s="83"/>
    </row>
    <row r="42">
      <c r="A42" s="70" t="s">
        <v>1294</v>
      </c>
      <c r="B42" s="87"/>
      <c r="C42" s="87"/>
      <c r="D42" s="14" t="s">
        <v>453</v>
      </c>
      <c r="E42" s="125" t="s">
        <v>169</v>
      </c>
      <c r="F42" s="120" t="s">
        <v>647</v>
      </c>
      <c r="G42" s="14" t="s">
        <v>176</v>
      </c>
      <c r="H42" s="14" t="s">
        <v>647</v>
      </c>
      <c r="I42" s="14" t="s">
        <v>206</v>
      </c>
      <c r="J42" s="14">
        <v>0.002918796296296296</v>
      </c>
      <c r="K42" s="125" t="s">
        <v>169</v>
      </c>
      <c r="L42" s="14" t="s">
        <v>231</v>
      </c>
      <c r="M42" s="70">
        <v>4.0</v>
      </c>
      <c r="N42" s="70">
        <v>6.0</v>
      </c>
      <c r="O42" s="70">
        <v>2.0</v>
      </c>
      <c r="P42" s="83"/>
      <c r="Q42" s="14" t="str">
        <f>'依賽道-個人紀錄'!A123</f>
        <v>Kinokono_Tenka</v>
      </c>
      <c r="R42" s="14">
        <f>'依賽道-個人紀錄'!B123</f>
        <v>0.002923576389</v>
      </c>
      <c r="S42" s="125" t="str">
        <f>'依賽道-個人紀錄'!C123</f>
        <v>R35N3</v>
      </c>
      <c r="T42" s="14" t="str">
        <f>'依賽道-個人紀錄'!D123</f>
        <v>PCVR</v>
      </c>
      <c r="U42" s="14"/>
      <c r="V42" s="14" t="str">
        <f>'依賽道-車輛紀錄'!B147</f>
        <v/>
      </c>
      <c r="W42" s="14" t="str">
        <f>'依賽道-車輛紀錄'!C147</f>
        <v/>
      </c>
      <c r="X42" s="14" t="str">
        <f>'依賽道-車輛紀錄'!D147</f>
        <v/>
      </c>
      <c r="Y42" s="83"/>
      <c r="Z42" s="83"/>
      <c r="AA42" s="83"/>
      <c r="AB42" s="83"/>
      <c r="AC42" s="83"/>
      <c r="AD42" s="83"/>
      <c r="AE42" s="83"/>
      <c r="AF42" s="83"/>
      <c r="AG42" s="83"/>
      <c r="AH42" s="83"/>
      <c r="AI42" s="83"/>
    </row>
    <row r="43">
      <c r="A43" s="70" t="s">
        <v>1295</v>
      </c>
      <c r="B43" s="87"/>
      <c r="C43" s="87"/>
      <c r="D43" s="14" t="s">
        <v>207</v>
      </c>
      <c r="E43" s="126" t="s">
        <v>139</v>
      </c>
      <c r="F43" s="120" t="s">
        <v>206</v>
      </c>
      <c r="G43" s="125" t="s">
        <v>169</v>
      </c>
      <c r="H43" s="14" t="s">
        <v>206</v>
      </c>
      <c r="I43" s="14" t="s">
        <v>208</v>
      </c>
      <c r="J43" s="14">
        <v>0.0029235763888888888</v>
      </c>
      <c r="K43" s="125" t="s">
        <v>169</v>
      </c>
      <c r="L43" s="14" t="s">
        <v>225</v>
      </c>
      <c r="M43" s="70">
        <v>1.0</v>
      </c>
      <c r="N43" s="70">
        <v>10.0</v>
      </c>
      <c r="O43" s="70">
        <v>4.0</v>
      </c>
      <c r="P43" s="83"/>
      <c r="Q43" s="14" t="str">
        <f>'依賽道-個人紀錄'!A124</f>
        <v>アビドサスヒカリ</v>
      </c>
      <c r="R43" s="14">
        <f>'依賽道-個人紀錄'!B124</f>
        <v>0.002932465278</v>
      </c>
      <c r="S43" s="14" t="str">
        <f>'依賽道-個人紀錄'!C124</f>
        <v>982(718Cayman)</v>
      </c>
      <c r="T43" s="14" t="str">
        <f>'依賽道-個人紀錄'!D124</f>
        <v>PC</v>
      </c>
      <c r="U43" s="14"/>
      <c r="V43" s="14"/>
      <c r="W43" s="14"/>
      <c r="X43" s="14"/>
      <c r="Y43" s="83"/>
      <c r="Z43" s="83"/>
      <c r="AA43" s="83"/>
      <c r="AB43" s="83"/>
      <c r="AC43" s="83"/>
      <c r="AD43" s="83"/>
      <c r="AE43" s="83"/>
      <c r="AF43" s="83"/>
      <c r="AG43" s="83"/>
      <c r="AH43" s="83"/>
      <c r="AI43" s="83"/>
    </row>
    <row r="44">
      <c r="A44" s="128" t="s">
        <v>1296</v>
      </c>
      <c r="B44" s="87"/>
      <c r="C44" s="87"/>
      <c r="D44" s="14" t="s">
        <v>275</v>
      </c>
      <c r="E44" s="87"/>
      <c r="F44" s="14" t="s">
        <v>208</v>
      </c>
      <c r="G44" s="87"/>
      <c r="H44" s="87"/>
      <c r="I44" s="70" t="s">
        <v>1284</v>
      </c>
      <c r="J44" s="14"/>
      <c r="K44" s="14"/>
      <c r="L44" s="14"/>
      <c r="M44" s="70">
        <v>1.0</v>
      </c>
      <c r="N44" s="70">
        <v>1.0</v>
      </c>
      <c r="O44" s="70">
        <v>1.0</v>
      </c>
      <c r="P44" s="83"/>
      <c r="Q44" s="14" t="str">
        <f>'依賽道-個人紀錄'!A125</f>
        <v>Sakanakokokoko</v>
      </c>
      <c r="R44" s="14">
        <f>'依賽道-個人紀錄'!B125</f>
        <v>0.003146215278</v>
      </c>
      <c r="S44" s="125" t="str">
        <f>'依賽道-個人紀錄'!C125</f>
        <v>R35N3</v>
      </c>
      <c r="T44" s="14" t="str">
        <f>'依賽道-個人紀錄'!D125</f>
        <v>PC</v>
      </c>
      <c r="U44" s="14"/>
      <c r="V44" s="14"/>
      <c r="W44" s="14"/>
      <c r="X44" s="14"/>
      <c r="Y44" s="83"/>
      <c r="Z44" s="83"/>
      <c r="AA44" s="83"/>
      <c r="AB44" s="83"/>
      <c r="AC44" s="83"/>
      <c r="AD44" s="83"/>
      <c r="AE44" s="83"/>
      <c r="AF44" s="83"/>
      <c r="AG44" s="83"/>
      <c r="AH44" s="83"/>
      <c r="AI44" s="83"/>
    </row>
    <row r="45">
      <c r="A45" s="129"/>
      <c r="B45" s="87"/>
      <c r="C45" s="87"/>
      <c r="D45" s="120" t="s">
        <v>453</v>
      </c>
      <c r="E45" s="87"/>
      <c r="F45" s="120" t="s">
        <v>207</v>
      </c>
      <c r="G45" s="87"/>
      <c r="H45" s="87"/>
      <c r="I45" s="70" t="s">
        <v>1280</v>
      </c>
      <c r="J45" s="14"/>
      <c r="K45" s="14"/>
      <c r="L45" s="14"/>
      <c r="M45" s="70">
        <v>1.0</v>
      </c>
      <c r="N45" s="70">
        <v>2.0</v>
      </c>
      <c r="O45" s="70">
        <v>2.0</v>
      </c>
      <c r="P45" s="83"/>
      <c r="Q45" s="14" t="str">
        <f>'依賽道-個人紀錄'!A126</f>
        <v>-Zaten-</v>
      </c>
      <c r="R45" s="14">
        <f>'依賽道-個人紀錄'!B126</f>
        <v>0.003465625</v>
      </c>
      <c r="S45" s="125" t="str">
        <f>'依賽道-個人紀錄'!C126</f>
        <v>R35N2</v>
      </c>
      <c r="T45" s="14" t="str">
        <f>'依賽道-個人紀錄'!D126</f>
        <v>PC</v>
      </c>
      <c r="U45" s="14"/>
      <c r="V45" s="14"/>
      <c r="W45" s="14"/>
      <c r="X45" s="14"/>
      <c r="Y45" s="83"/>
      <c r="Z45" s="83"/>
      <c r="AA45" s="83"/>
      <c r="AB45" s="83"/>
      <c r="AC45" s="83"/>
      <c r="AD45" s="83"/>
      <c r="AE45" s="83"/>
      <c r="AF45" s="83"/>
      <c r="AG45" s="83"/>
      <c r="AH45" s="83"/>
      <c r="AI45" s="83"/>
    </row>
    <row r="46">
      <c r="A46" s="70" t="s">
        <v>1297</v>
      </c>
      <c r="B46" s="14"/>
      <c r="C46" s="87"/>
      <c r="D46" s="14" t="s">
        <v>647</v>
      </c>
      <c r="E46" s="14" t="s">
        <v>176</v>
      </c>
      <c r="F46" s="120" t="s">
        <v>206</v>
      </c>
      <c r="G46" s="125" t="s">
        <v>169</v>
      </c>
      <c r="H46" s="14" t="s">
        <v>206</v>
      </c>
      <c r="I46" s="87"/>
      <c r="J46" s="14"/>
      <c r="K46" s="14"/>
      <c r="L46" s="14"/>
      <c r="M46" s="83"/>
      <c r="N46" s="83"/>
      <c r="O46" s="83"/>
      <c r="P46" s="83"/>
      <c r="Q46" s="14" t="str">
        <f>'依賽道-個人紀錄'!A127</f>
        <v/>
      </c>
      <c r="R46" s="14" t="str">
        <f>'依賽道-個人紀錄'!B127</f>
        <v/>
      </c>
      <c r="S46" s="14" t="str">
        <f>'依賽道-個人紀錄'!C127</f>
        <v/>
      </c>
      <c r="T46" s="14" t="str">
        <f>'依賽道-個人紀錄'!D127</f>
        <v/>
      </c>
      <c r="U46" s="14"/>
      <c r="V46" s="14"/>
      <c r="W46" s="14"/>
      <c r="X46" s="14"/>
      <c r="Y46" s="83"/>
      <c r="Z46" s="83"/>
      <c r="AA46" s="83"/>
      <c r="AB46" s="83"/>
      <c r="AC46" s="83"/>
      <c r="AD46" s="83"/>
      <c r="AE46" s="83"/>
      <c r="AF46" s="83"/>
      <c r="AG46" s="83"/>
      <c r="AH46" s="83"/>
      <c r="AI46" s="83"/>
    </row>
    <row r="47">
      <c r="A47" s="128" t="s">
        <v>1298</v>
      </c>
      <c r="B47" s="126"/>
      <c r="C47" s="131"/>
      <c r="D47" s="126" t="s">
        <v>207</v>
      </c>
      <c r="E47" s="126" t="s">
        <v>139</v>
      </c>
      <c r="F47" s="126" t="s">
        <v>453</v>
      </c>
      <c r="G47" s="125" t="s">
        <v>169</v>
      </c>
      <c r="H47" s="132" t="s">
        <v>647</v>
      </c>
      <c r="I47" s="87"/>
      <c r="J47" s="14"/>
      <c r="K47" s="14"/>
      <c r="L47" s="83"/>
      <c r="M47" s="83"/>
      <c r="N47" s="83"/>
      <c r="O47" s="83"/>
      <c r="P47" s="83"/>
      <c r="Q47" s="14" t="str">
        <f>'依賽道-個人紀錄'!A128</f>
        <v/>
      </c>
      <c r="R47" s="14" t="str">
        <f>'依賽道-個人紀錄'!B128</f>
        <v/>
      </c>
      <c r="S47" s="14" t="str">
        <f>'依賽道-個人紀錄'!C128</f>
        <v/>
      </c>
      <c r="T47" s="14" t="str">
        <f>'依賽道-個人紀錄'!D128</f>
        <v/>
      </c>
      <c r="U47" s="14"/>
      <c r="V47" s="14"/>
      <c r="W47" s="14"/>
      <c r="X47" s="14"/>
      <c r="Y47" s="83"/>
      <c r="Z47" s="83"/>
      <c r="AA47" s="83"/>
      <c r="AB47" s="83"/>
      <c r="AC47" s="83"/>
      <c r="AD47" s="83"/>
      <c r="AE47" s="83"/>
      <c r="AF47" s="83"/>
      <c r="AG47" s="83"/>
      <c r="AH47" s="83"/>
      <c r="AI47" s="83"/>
    </row>
    <row r="48">
      <c r="A48" s="129"/>
      <c r="B48" s="133"/>
      <c r="C48" s="134"/>
      <c r="D48" s="135" t="s">
        <v>647</v>
      </c>
      <c r="E48" s="133" t="s">
        <v>176</v>
      </c>
      <c r="F48" s="134"/>
      <c r="G48" s="134"/>
      <c r="H48" s="136"/>
      <c r="I48" s="87"/>
      <c r="J48" s="14"/>
      <c r="K48" s="14"/>
      <c r="L48" s="83"/>
      <c r="M48" s="83"/>
      <c r="N48" s="83"/>
      <c r="O48" s="83"/>
      <c r="P48" s="83"/>
      <c r="Q48" s="14" t="str">
        <f>'依賽道-個人紀錄'!A129</f>
        <v/>
      </c>
      <c r="R48" s="14" t="str">
        <f>'依賽道-個人紀錄'!B129</f>
        <v/>
      </c>
      <c r="S48" s="14" t="str">
        <f>'依賽道-個人紀錄'!C129</f>
        <v/>
      </c>
      <c r="T48" s="14" t="str">
        <f>'依賽道-個人紀錄'!D129</f>
        <v/>
      </c>
      <c r="U48" s="14"/>
      <c r="V48" s="14"/>
      <c r="W48" s="14"/>
      <c r="X48" s="14"/>
      <c r="Y48" s="83"/>
      <c r="Z48" s="83"/>
      <c r="AA48" s="83"/>
      <c r="AB48" s="83"/>
      <c r="AC48" s="83"/>
      <c r="AD48" s="83"/>
      <c r="AE48" s="83"/>
      <c r="AF48" s="83"/>
      <c r="AG48" s="83"/>
      <c r="AH48" s="83"/>
      <c r="AI48" s="83"/>
    </row>
    <row r="49">
      <c r="A49" s="70" t="s">
        <v>1299</v>
      </c>
      <c r="B49" s="14"/>
      <c r="C49" s="87"/>
      <c r="D49" s="120" t="s">
        <v>647</v>
      </c>
      <c r="E49" s="14" t="s">
        <v>176</v>
      </c>
      <c r="F49" s="14" t="s">
        <v>206</v>
      </c>
      <c r="G49" s="125" t="s">
        <v>169</v>
      </c>
      <c r="H49" s="14" t="s">
        <v>647</v>
      </c>
      <c r="I49" s="87"/>
      <c r="J49" s="14"/>
      <c r="K49" s="14"/>
      <c r="L49" s="83"/>
      <c r="M49" s="83"/>
      <c r="N49" s="83"/>
      <c r="O49" s="83"/>
      <c r="P49" s="83"/>
      <c r="Q49" s="14" t="str">
        <f>'依賽道-個人紀錄'!A130</f>
        <v/>
      </c>
      <c r="R49" s="14" t="str">
        <f>'依賽道-個人紀錄'!B130</f>
        <v/>
      </c>
      <c r="S49" s="14" t="str">
        <f>'依賽道-個人紀錄'!C130</f>
        <v/>
      </c>
      <c r="T49" s="14" t="str">
        <f>'依賽道-個人紀錄'!D130</f>
        <v/>
      </c>
      <c r="U49" s="14"/>
      <c r="V49" s="14"/>
      <c r="W49" s="14"/>
      <c r="X49" s="14"/>
      <c r="Y49" s="83"/>
      <c r="Z49" s="83"/>
      <c r="AA49" s="83"/>
      <c r="AB49" s="83"/>
      <c r="AC49" s="83"/>
      <c r="AD49" s="83"/>
      <c r="AE49" s="83"/>
      <c r="AF49" s="83"/>
      <c r="AG49" s="83"/>
      <c r="AH49" s="83"/>
      <c r="AI49" s="83"/>
    </row>
    <row r="50">
      <c r="A50" s="70" t="s">
        <v>1300</v>
      </c>
      <c r="B50" s="14"/>
      <c r="C50" s="87"/>
      <c r="D50" s="120" t="s">
        <v>647</v>
      </c>
      <c r="E50" s="14" t="s">
        <v>176</v>
      </c>
      <c r="F50" s="14" t="s">
        <v>206</v>
      </c>
      <c r="G50" s="125" t="s">
        <v>169</v>
      </c>
      <c r="H50" s="14" t="s">
        <v>647</v>
      </c>
      <c r="I50" s="87"/>
      <c r="J50" s="14"/>
      <c r="K50" s="14"/>
      <c r="L50" s="83"/>
      <c r="M50" s="83"/>
      <c r="N50" s="83"/>
      <c r="O50" s="83"/>
      <c r="P50" s="83"/>
      <c r="Q50" s="14" t="str">
        <f>'依賽道-個人紀錄'!A131</f>
        <v/>
      </c>
      <c r="R50" s="14" t="str">
        <f>'依賽道-個人紀錄'!B131</f>
        <v/>
      </c>
      <c r="S50" s="14" t="str">
        <f>'依賽道-個人紀錄'!C131</f>
        <v/>
      </c>
      <c r="T50" s="14" t="str">
        <f>'依賽道-個人紀錄'!D131</f>
        <v/>
      </c>
      <c r="U50" s="14"/>
      <c r="V50" s="14"/>
      <c r="W50" s="14"/>
      <c r="X50" s="14"/>
      <c r="Y50" s="83"/>
      <c r="Z50" s="83"/>
      <c r="AA50" s="83"/>
      <c r="AB50" s="83"/>
      <c r="AC50" s="83"/>
      <c r="AD50" s="83"/>
      <c r="AE50" s="83"/>
      <c r="AF50" s="83"/>
      <c r="AG50" s="83"/>
      <c r="AH50" s="83"/>
      <c r="AI50" s="83"/>
    </row>
    <row r="51">
      <c r="A51" s="87"/>
      <c r="B51" s="87"/>
      <c r="C51" s="87"/>
      <c r="D51" s="87"/>
      <c r="E51" s="87"/>
      <c r="F51" s="87"/>
      <c r="G51" s="87"/>
      <c r="H51" s="87"/>
      <c r="I51" s="87"/>
      <c r="J51" s="14"/>
      <c r="K51" s="14"/>
      <c r="L51" s="83"/>
      <c r="M51" s="83"/>
      <c r="N51" s="83"/>
      <c r="O51" s="83"/>
      <c r="P51" s="83"/>
      <c r="Q51" s="14"/>
      <c r="R51" s="14"/>
      <c r="S51" s="14"/>
      <c r="T51" s="14"/>
      <c r="U51" s="14"/>
      <c r="V51" s="14"/>
      <c r="W51" s="14"/>
      <c r="X51" s="14"/>
      <c r="Y51" s="83"/>
      <c r="Z51" s="83"/>
      <c r="AA51" s="83"/>
      <c r="AB51" s="83"/>
      <c r="AC51" s="83"/>
      <c r="AD51" s="83"/>
      <c r="AE51" s="83"/>
      <c r="AF51" s="83"/>
      <c r="AG51" s="83"/>
      <c r="AH51" s="83"/>
      <c r="AI51" s="83"/>
    </row>
    <row r="52">
      <c r="A52" s="87"/>
      <c r="B52" s="87"/>
      <c r="C52" s="87"/>
      <c r="D52" s="87"/>
      <c r="E52" s="87"/>
      <c r="F52" s="87"/>
      <c r="G52" s="87"/>
      <c r="H52" s="87"/>
      <c r="I52" s="87"/>
      <c r="J52" s="14"/>
      <c r="K52" s="14"/>
      <c r="L52" s="83"/>
      <c r="M52" s="83"/>
      <c r="N52" s="83"/>
      <c r="O52" s="83"/>
      <c r="P52" s="83"/>
      <c r="Q52" s="14" t="str">
        <f>'依賽道-個人紀錄'!A127</f>
        <v/>
      </c>
      <c r="R52" s="14" t="str">
        <f>'依賽道-個人紀錄'!B127</f>
        <v/>
      </c>
      <c r="S52" s="14" t="str">
        <f>'依賽道-個人紀錄'!C127</f>
        <v/>
      </c>
      <c r="T52" s="14" t="str">
        <f>'依賽道-個人紀錄'!D127</f>
        <v/>
      </c>
      <c r="U52" s="14"/>
      <c r="V52" s="14"/>
      <c r="W52" s="14"/>
      <c r="X52" s="14"/>
      <c r="Y52" s="83"/>
      <c r="Z52" s="83"/>
      <c r="AA52" s="83"/>
      <c r="AB52" s="83"/>
      <c r="AC52" s="83"/>
      <c r="AD52" s="83"/>
      <c r="AE52" s="83"/>
      <c r="AF52" s="83"/>
      <c r="AG52" s="83"/>
      <c r="AH52" s="83"/>
      <c r="AI52" s="83"/>
    </row>
    <row r="53">
      <c r="A53" s="87"/>
      <c r="B53" s="87"/>
      <c r="C53" s="87"/>
      <c r="D53" s="87"/>
      <c r="E53" s="87"/>
      <c r="F53" s="87"/>
      <c r="G53" s="87"/>
      <c r="H53" s="87"/>
      <c r="I53" s="87"/>
      <c r="J53" s="14"/>
      <c r="K53" s="14"/>
      <c r="L53" s="83"/>
      <c r="M53" s="83"/>
      <c r="N53" s="83"/>
      <c r="O53" s="83"/>
      <c r="P53" s="83"/>
      <c r="Q53" s="14" t="str">
        <f>'依賽道-個人紀錄'!A128</f>
        <v/>
      </c>
      <c r="R53" s="14" t="str">
        <f>'依賽道-個人紀錄'!B128</f>
        <v/>
      </c>
      <c r="S53" s="14" t="str">
        <f>'依賽道-個人紀錄'!C128</f>
        <v/>
      </c>
      <c r="T53" s="14" t="str">
        <f>'依賽道-個人紀錄'!D128</f>
        <v/>
      </c>
      <c r="U53" s="14" t="str">
        <f>'依賽道-車輛紀錄'!A146</f>
        <v/>
      </c>
      <c r="V53" s="14" t="str">
        <f>'依賽道-車輛紀錄'!B146</f>
        <v/>
      </c>
      <c r="W53" s="14" t="str">
        <f>'依賽道-車輛紀錄'!C146</f>
        <v/>
      </c>
      <c r="X53" s="14" t="str">
        <f>'依賽道-車輛紀錄'!D146</f>
        <v/>
      </c>
      <c r="Y53" s="83"/>
      <c r="Z53" s="83"/>
      <c r="AA53" s="83"/>
      <c r="AB53" s="83"/>
      <c r="AC53" s="83"/>
      <c r="AD53" s="83"/>
      <c r="AE53" s="83"/>
      <c r="AF53" s="83"/>
      <c r="AG53" s="83"/>
      <c r="AH53" s="83"/>
      <c r="AI53" s="83"/>
    </row>
    <row r="54">
      <c r="A54" s="87"/>
      <c r="B54" s="124"/>
      <c r="C54" s="14"/>
      <c r="D54" s="87"/>
      <c r="E54" s="87"/>
      <c r="F54" s="87"/>
      <c r="G54" s="87"/>
      <c r="H54" s="87"/>
      <c r="I54" s="87"/>
      <c r="J54" s="14"/>
      <c r="K54" s="14"/>
      <c r="L54" s="83"/>
      <c r="M54" s="83"/>
      <c r="N54" s="83"/>
      <c r="O54" s="83"/>
      <c r="P54" s="83"/>
      <c r="Q54" s="14" t="str">
        <f>'依賽道-個人紀錄'!A129</f>
        <v/>
      </c>
      <c r="R54" s="14" t="str">
        <f>'依賽道-個人紀錄'!B129</f>
        <v/>
      </c>
      <c r="S54" s="14" t="str">
        <f>'依賽道-個人紀錄'!C129</f>
        <v/>
      </c>
      <c r="T54" s="14" t="str">
        <f>'依賽道-個人紀錄'!D129</f>
        <v/>
      </c>
      <c r="U54" s="14" t="str">
        <f>'依賽道-車輛紀錄'!A147</f>
        <v/>
      </c>
      <c r="V54" s="14" t="str">
        <f>'依賽道-車輛紀錄'!B147</f>
        <v/>
      </c>
      <c r="W54" s="14" t="str">
        <f>'依賽道-車輛紀錄'!C147</f>
        <v/>
      </c>
      <c r="X54" s="14" t="str">
        <f>'依賽道-車輛紀錄'!D147</f>
        <v/>
      </c>
      <c r="Y54" s="83"/>
      <c r="Z54" s="83"/>
      <c r="AA54" s="83"/>
      <c r="AB54" s="83"/>
      <c r="AC54" s="83"/>
      <c r="AD54" s="83"/>
      <c r="AE54" s="83"/>
      <c r="AF54" s="83"/>
      <c r="AG54" s="83"/>
      <c r="AH54" s="83"/>
      <c r="AI54" s="83"/>
    </row>
    <row r="55">
      <c r="A55" s="87" t="s">
        <v>1278</v>
      </c>
      <c r="B55" s="14" t="s">
        <v>647</v>
      </c>
      <c r="C55" s="137" t="s">
        <v>176</v>
      </c>
      <c r="D55" s="87"/>
      <c r="E55" s="87"/>
      <c r="F55" s="87"/>
      <c r="G55" s="87"/>
      <c r="H55" s="87"/>
      <c r="I55" s="14"/>
      <c r="J55" s="14"/>
      <c r="K55" s="14"/>
      <c r="L55" s="14"/>
      <c r="M55" s="83"/>
      <c r="N55" s="83"/>
      <c r="O55" s="83"/>
      <c r="P55" s="83"/>
      <c r="Q55" s="14" t="str">
        <f>'依賽道-個人紀錄'!A130</f>
        <v/>
      </c>
      <c r="R55" s="14" t="str">
        <f>'依賽道-個人紀錄'!B130</f>
        <v/>
      </c>
      <c r="S55" s="14" t="str">
        <f>'依賽道-個人紀錄'!C130</f>
        <v/>
      </c>
      <c r="T55" s="14" t="str">
        <f>'依賽道-個人紀錄'!D130</f>
        <v/>
      </c>
      <c r="U55" s="87"/>
      <c r="V55" s="87"/>
      <c r="W55" s="87"/>
      <c r="X55" s="87"/>
      <c r="Y55" s="83"/>
      <c r="Z55" s="83"/>
      <c r="AA55" s="83"/>
      <c r="AB55" s="83"/>
      <c r="AC55" s="83"/>
      <c r="AD55" s="83"/>
      <c r="AE55" s="83"/>
      <c r="AF55" s="83"/>
      <c r="AG55" s="83"/>
      <c r="AH55" s="83"/>
      <c r="AI55" s="83"/>
    </row>
    <row r="56">
      <c r="A56" s="87" t="s">
        <v>1279</v>
      </c>
      <c r="B56" s="14" t="s">
        <v>206</v>
      </c>
      <c r="C56" s="125" t="s">
        <v>169</v>
      </c>
      <c r="D56" s="87"/>
      <c r="E56" s="87"/>
      <c r="F56" s="87"/>
      <c r="G56" s="87"/>
      <c r="H56" s="87"/>
      <c r="I56" s="14"/>
      <c r="J56" s="83"/>
      <c r="K56" s="83"/>
      <c r="L56" s="83"/>
      <c r="M56" s="83"/>
      <c r="N56" s="83"/>
      <c r="O56" s="83"/>
      <c r="P56" s="83"/>
      <c r="Q56" s="14" t="str">
        <f>'依賽道-個人紀錄'!A130</f>
        <v/>
      </c>
      <c r="R56" s="14" t="str">
        <f>'依賽道-個人紀錄'!B130</f>
        <v/>
      </c>
      <c r="S56" s="14" t="str">
        <f>'依賽道-個人紀錄'!C130</f>
        <v/>
      </c>
      <c r="T56" s="14" t="str">
        <f>'依賽道-個人紀錄'!D130</f>
        <v/>
      </c>
      <c r="U56" s="87"/>
      <c r="V56" s="87"/>
      <c r="W56" s="87"/>
      <c r="X56" s="87"/>
      <c r="Y56" s="83"/>
      <c r="Z56" s="83"/>
      <c r="AA56" s="83"/>
      <c r="AB56" s="83"/>
      <c r="AC56" s="83"/>
      <c r="AD56" s="83"/>
      <c r="AE56" s="83"/>
      <c r="AF56" s="83"/>
      <c r="AG56" s="83"/>
      <c r="AH56" s="83"/>
      <c r="AI56" s="83"/>
    </row>
    <row r="57">
      <c r="A57" s="87" t="s">
        <v>1281</v>
      </c>
      <c r="B57" s="14" t="s">
        <v>207</v>
      </c>
      <c r="C57" s="138" t="s">
        <v>139</v>
      </c>
      <c r="D57" s="87"/>
      <c r="E57" s="87"/>
      <c r="F57" s="87"/>
      <c r="G57" s="87"/>
      <c r="H57" s="87"/>
      <c r="I57" s="87"/>
      <c r="J57" s="83"/>
      <c r="K57" s="83"/>
      <c r="L57" s="83"/>
      <c r="M57" s="83"/>
      <c r="N57" s="83"/>
      <c r="O57" s="83"/>
      <c r="P57" s="83"/>
      <c r="Q57" s="14" t="str">
        <f>'依賽道-個人紀錄'!A131</f>
        <v/>
      </c>
      <c r="R57" s="14" t="str">
        <f>'依賽道-個人紀錄'!B131</f>
        <v/>
      </c>
      <c r="S57" s="14" t="str">
        <f>'依賽道-個人紀錄'!C131</f>
        <v/>
      </c>
      <c r="T57" s="14" t="str">
        <f>'依賽道-個人紀錄'!D131</f>
        <v/>
      </c>
      <c r="U57" s="87"/>
      <c r="V57" s="87"/>
      <c r="W57" s="87"/>
      <c r="X57" s="87"/>
      <c r="Y57" s="83"/>
      <c r="Z57" s="83"/>
      <c r="AA57" s="83"/>
      <c r="AB57" s="83"/>
      <c r="AC57" s="83"/>
      <c r="AD57" s="83"/>
      <c r="AE57" s="83"/>
      <c r="AF57" s="83"/>
      <c r="AG57" s="83"/>
      <c r="AH57" s="83"/>
      <c r="AI57" s="83"/>
    </row>
    <row r="58">
      <c r="A58" s="87" t="s">
        <v>1282</v>
      </c>
      <c r="B58" s="14" t="s">
        <v>453</v>
      </c>
      <c r="C58" s="125" t="s">
        <v>169</v>
      </c>
      <c r="D58" s="87"/>
      <c r="E58" s="87"/>
      <c r="F58" s="87"/>
      <c r="G58" s="87"/>
      <c r="H58" s="87"/>
      <c r="I58" s="87"/>
      <c r="J58" s="83"/>
      <c r="K58" s="83"/>
      <c r="L58" s="83"/>
      <c r="M58" s="83"/>
      <c r="N58" s="83"/>
      <c r="O58" s="83"/>
      <c r="P58" s="83"/>
      <c r="Q58" s="87"/>
      <c r="R58" s="87"/>
      <c r="S58" s="87"/>
      <c r="T58" s="87"/>
      <c r="U58" s="87"/>
      <c r="V58" s="87"/>
      <c r="W58" s="87"/>
      <c r="X58" s="87"/>
      <c r="Y58" s="83"/>
      <c r="Z58" s="83"/>
      <c r="AA58" s="83"/>
      <c r="AB58" s="83"/>
      <c r="AC58" s="83"/>
      <c r="AD58" s="83"/>
      <c r="AE58" s="83"/>
      <c r="AF58" s="83"/>
      <c r="AG58" s="83"/>
      <c r="AH58" s="83"/>
      <c r="AI58" s="83"/>
    </row>
    <row r="59">
      <c r="A59" s="104" t="s">
        <v>1301</v>
      </c>
      <c r="I59" s="70" t="s">
        <v>1222</v>
      </c>
      <c r="J59" s="83"/>
      <c r="L59" s="83"/>
      <c r="M59" s="83"/>
      <c r="N59" s="83"/>
      <c r="O59" s="83"/>
      <c r="P59" s="83"/>
      <c r="Q59" s="67" t="s">
        <v>1223</v>
      </c>
      <c r="U59" s="67" t="s">
        <v>1224</v>
      </c>
      <c r="Z59" s="83"/>
      <c r="AA59" s="83"/>
      <c r="AB59" s="83"/>
      <c r="AC59" s="83"/>
      <c r="AD59" s="83"/>
      <c r="AE59" s="83"/>
      <c r="AF59" s="83"/>
      <c r="AG59" s="83"/>
    </row>
    <row r="60">
      <c r="A60" s="106" t="s">
        <v>1226</v>
      </c>
      <c r="B60" s="106" t="s">
        <v>1227</v>
      </c>
      <c r="C60" s="106" t="s">
        <v>1228</v>
      </c>
      <c r="D60" s="97" t="s">
        <v>1229</v>
      </c>
      <c r="E60" s="107" t="s">
        <v>1230</v>
      </c>
      <c r="F60" s="97" t="s">
        <v>1229</v>
      </c>
      <c r="G60" s="107" t="s">
        <v>1230</v>
      </c>
      <c r="H60" s="107" t="s">
        <v>1231</v>
      </c>
      <c r="I60" s="70" t="s">
        <v>1302</v>
      </c>
      <c r="J60" s="139" t="s">
        <v>1303</v>
      </c>
      <c r="K60" s="140" t="s">
        <v>145</v>
      </c>
      <c r="L60" s="83"/>
      <c r="M60" s="83"/>
      <c r="N60" s="83"/>
      <c r="O60" s="83"/>
      <c r="P60" s="83"/>
      <c r="Q60" s="141" t="str">
        <f>'依賽道-個人紀錄'!A296</f>
        <v>Tsukuba Fruits Line DOUBLE 筑波 折返跑</v>
      </c>
      <c r="U60" s="141" t="str">
        <f>'依賽道-車輛紀錄'!A326</f>
        <v>Gunsai Touge (Cross Platform) Full Course 群サイ 全程</v>
      </c>
    </row>
    <row r="61">
      <c r="A61" s="87" t="s">
        <v>1285</v>
      </c>
      <c r="B61" s="70" t="s">
        <v>1304</v>
      </c>
      <c r="C61" s="87" t="s">
        <v>1305</v>
      </c>
      <c r="D61" s="5" t="s">
        <v>229</v>
      </c>
      <c r="E61" s="140" t="s">
        <v>145</v>
      </c>
      <c r="F61" s="142" t="s">
        <v>208</v>
      </c>
      <c r="G61" s="139" t="s">
        <v>1303</v>
      </c>
      <c r="H61" s="87" t="s">
        <v>208</v>
      </c>
      <c r="I61" s="70" t="s">
        <v>1306</v>
      </c>
      <c r="J61" s="143" t="s">
        <v>123</v>
      </c>
      <c r="K61" s="144" t="s">
        <v>1307</v>
      </c>
      <c r="L61" s="83"/>
      <c r="M61" s="83"/>
      <c r="N61" s="83"/>
      <c r="O61" s="83"/>
      <c r="P61" s="83"/>
      <c r="Q61" s="5" t="str">
        <f>'依賽道-個人紀錄'!A297</f>
        <v>Player玩家</v>
      </c>
      <c r="R61" s="5" t="str">
        <f>'依賽道-個人紀錄'!B297</f>
        <v>Time時間</v>
      </c>
      <c r="S61" s="5" t="str">
        <f>'依賽道-個人紀錄'!C297</f>
        <v>Car車種</v>
      </c>
      <c r="T61" s="5" t="str">
        <f>'依賽道-個人紀錄'!D297</f>
        <v>Platform平台</v>
      </c>
      <c r="U61" s="5" t="str">
        <f>'依賽道-車輛紀錄'!A327</f>
        <v>Player玩家</v>
      </c>
      <c r="V61" s="5" t="str">
        <f>'依賽道-車輛紀錄'!B327</f>
        <v>Time時間</v>
      </c>
      <c r="W61" s="5" t="str">
        <f>'依賽道-車輛紀錄'!C327</f>
        <v>Car車種</v>
      </c>
      <c r="X61" s="5" t="str">
        <f>'依賽道-車輛紀錄'!D327</f>
        <v>Platform平台</v>
      </c>
    </row>
    <row r="62">
      <c r="A62" s="87" t="s">
        <v>1286</v>
      </c>
      <c r="B62" s="70" t="s">
        <v>1304</v>
      </c>
      <c r="C62" s="87" t="s">
        <v>1305</v>
      </c>
      <c r="D62" s="4" t="s">
        <v>235</v>
      </c>
      <c r="E62" s="140" t="s">
        <v>145</v>
      </c>
      <c r="F62" s="145" t="s">
        <v>205</v>
      </c>
      <c r="G62" s="116" t="s">
        <v>854</v>
      </c>
      <c r="H62" s="4" t="s">
        <v>205</v>
      </c>
      <c r="I62" s="70" t="s">
        <v>1308</v>
      </c>
      <c r="J62" s="116" t="s">
        <v>854</v>
      </c>
      <c r="K62" s="146" t="s">
        <v>126</v>
      </c>
      <c r="L62" s="83"/>
      <c r="M62" s="83"/>
      <c r="N62" s="83"/>
      <c r="O62" s="83"/>
      <c r="P62" s="83"/>
      <c r="Q62" s="5" t="str">
        <f>'依賽道-個人紀錄'!A298</f>
        <v>Lolidia</v>
      </c>
      <c r="R62" s="5">
        <f>'依賽道-個人紀錄'!B298</f>
        <v>0.002380393519</v>
      </c>
      <c r="S62" s="5" t="str">
        <f>'依賽道-個人紀錄'!C298</f>
        <v>AE86T</v>
      </c>
      <c r="T62" s="5" t="str">
        <f>'依賽道-個人紀錄'!D298</f>
        <v>PCVR</v>
      </c>
      <c r="U62" s="5" t="str">
        <f>'依賽道-車輛紀錄'!A328</f>
        <v>LinWu_05</v>
      </c>
      <c r="V62" s="5">
        <f>'依賽道-車輛紀錄'!B328</f>
        <v>0.001997743056</v>
      </c>
      <c r="W62" s="5" t="str">
        <f>'依賽道-車輛紀錄'!C328</f>
        <v>MCR R34</v>
      </c>
      <c r="X62" s="5" t="str">
        <f>'依賽道-車輛紀錄'!D328</f>
        <v>PC</v>
      </c>
    </row>
    <row r="63">
      <c r="A63" s="87" t="s">
        <v>1287</v>
      </c>
      <c r="B63" s="70" t="s">
        <v>1304</v>
      </c>
      <c r="C63" s="87" t="s">
        <v>1305</v>
      </c>
      <c r="D63" s="145" t="s">
        <v>207</v>
      </c>
      <c r="E63" s="139" t="s">
        <v>1303</v>
      </c>
      <c r="F63" s="70" t="s">
        <v>275</v>
      </c>
      <c r="G63" s="140" t="s">
        <v>145</v>
      </c>
      <c r="H63" s="4" t="s">
        <v>207</v>
      </c>
      <c r="I63" s="83"/>
      <c r="J63" s="83"/>
      <c r="K63" s="83"/>
      <c r="L63" s="83"/>
      <c r="M63" s="83"/>
      <c r="N63" s="83"/>
      <c r="O63" s="83"/>
      <c r="P63" s="83"/>
      <c r="Q63" s="5" t="str">
        <f>'依賽道-個人紀錄'!A299</f>
        <v>Kinokono_Tenka</v>
      </c>
      <c r="R63" s="5">
        <f>'依賽道-個人紀錄'!B299</f>
        <v>0.002527164352</v>
      </c>
      <c r="S63" s="5" t="str">
        <f>'依賽道-個人紀錄'!C299</f>
        <v>EK9 (Civic Type-R)</v>
      </c>
      <c r="T63" s="5" t="str">
        <f>'依賽道-個人紀錄'!D299</f>
        <v>PCVR</v>
      </c>
      <c r="U63" s="5" t="str">
        <f>'依賽道-車輛紀錄'!A329</f>
        <v>Test Driver</v>
      </c>
      <c r="V63" s="5">
        <f>'依賽道-車輛紀錄'!B329</f>
        <v>0.006944444444</v>
      </c>
      <c r="W63" s="5" t="str">
        <f>'依賽道-車輛紀錄'!C329</f>
        <v>AE86T-Street</v>
      </c>
      <c r="X63" s="5" t="str">
        <f>'依賽道-車輛紀錄'!D329</f>
        <v/>
      </c>
      <c r="Z63" s="5"/>
      <c r="AA63" s="5"/>
      <c r="AB63" s="5"/>
      <c r="AC63" s="5"/>
    </row>
    <row r="64">
      <c r="A64" s="87" t="s">
        <v>1289</v>
      </c>
      <c r="B64" s="70" t="s">
        <v>1304</v>
      </c>
      <c r="C64" s="87" t="s">
        <v>1305</v>
      </c>
      <c r="D64" s="70" t="s">
        <v>1280</v>
      </c>
      <c r="E64" s="139" t="s">
        <v>1303</v>
      </c>
      <c r="F64" s="147" t="s">
        <v>245</v>
      </c>
      <c r="G64" s="146" t="s">
        <v>126</v>
      </c>
      <c r="H64" s="70" t="s">
        <v>245</v>
      </c>
      <c r="I64" s="83" t="s">
        <v>214</v>
      </c>
      <c r="J64" s="83" t="s">
        <v>215</v>
      </c>
      <c r="K64" s="83" t="s">
        <v>1230</v>
      </c>
      <c r="L64" s="4" t="s">
        <v>217</v>
      </c>
      <c r="M64" s="4" t="s">
        <v>1250</v>
      </c>
      <c r="N64" s="4" t="s">
        <v>1251</v>
      </c>
      <c r="O64" s="83"/>
      <c r="P64" s="83"/>
      <c r="Q64" s="5" t="str">
        <f>'依賽道-個人紀錄'!A300</f>
        <v>Yune</v>
      </c>
      <c r="R64" s="5">
        <f>'依賽道-個人紀錄'!B300</f>
        <v>0.002537037037</v>
      </c>
      <c r="S64" s="5" t="str">
        <f>'依賽道-個人紀錄'!C300</f>
        <v>BNR32 Gr.A</v>
      </c>
      <c r="T64" s="5" t="str">
        <f>'依賽道-個人紀錄'!D300</f>
        <v>PC</v>
      </c>
      <c r="U64" s="5" t="str">
        <f>'依賽道-車輛紀錄'!A330</f>
        <v>Test Driver</v>
      </c>
      <c r="V64" s="5">
        <f>'依賽道-車輛紀錄'!B330</f>
        <v>0.006944444444</v>
      </c>
      <c r="W64" s="5" t="str">
        <f>'依賽道-車輛紀錄'!C330</f>
        <v>DB42 (Ridox-GR Supra)</v>
      </c>
      <c r="X64" s="5" t="str">
        <f>'依賽道-車輛紀錄'!D330</f>
        <v/>
      </c>
      <c r="AA64" s="5"/>
      <c r="AB64" s="5"/>
      <c r="AC64" s="5"/>
    </row>
    <row r="65">
      <c r="A65" s="87"/>
      <c r="B65" s="70" t="s">
        <v>1304</v>
      </c>
      <c r="C65" s="87" t="s">
        <v>1305</v>
      </c>
      <c r="D65" s="87" t="s">
        <v>208</v>
      </c>
      <c r="E65" s="116" t="s">
        <v>854</v>
      </c>
      <c r="F65" s="148" t="s">
        <v>209</v>
      </c>
      <c r="G65" s="143" t="s">
        <v>123</v>
      </c>
      <c r="H65" s="5" t="s">
        <v>209</v>
      </c>
      <c r="I65" s="5" t="s">
        <v>209</v>
      </c>
      <c r="J65" s="5"/>
      <c r="K65" s="5"/>
      <c r="L65" s="5" t="s">
        <v>225</v>
      </c>
      <c r="M65" s="70">
        <v>4.0</v>
      </c>
      <c r="N65" s="70">
        <v>6.0</v>
      </c>
      <c r="O65" s="70">
        <v>2.0</v>
      </c>
      <c r="P65" s="83"/>
      <c r="Q65" s="5" t="str">
        <f>'依賽道-個人紀錄'!A301</f>
        <v>江柚凝</v>
      </c>
      <c r="R65" s="5">
        <f>'依賽道-個人紀錄'!B301</f>
        <v>0.002570266204</v>
      </c>
      <c r="S65" s="5" t="str">
        <f>'依賽道-個人紀錄'!C301</f>
        <v>AE86T</v>
      </c>
      <c r="T65" s="5" t="str">
        <f>'依賽道-個人紀錄'!D301</f>
        <v>PCVR</v>
      </c>
      <c r="U65" s="5" t="str">
        <f>'依賽道-車輛紀錄'!A331</f>
        <v>Test Driver</v>
      </c>
      <c r="V65" s="5">
        <f>'依賽道-車輛紀錄'!B331</f>
        <v>0.006944444444</v>
      </c>
      <c r="W65" s="5" t="str">
        <f>'依賽道-車輛紀錄'!C331</f>
        <v>S15 (Nob Taniguchi's)</v>
      </c>
      <c r="X65" s="5" t="str">
        <f>'依賽道-車輛紀錄'!D331</f>
        <v/>
      </c>
    </row>
    <row r="66">
      <c r="A66" s="87" t="s">
        <v>1294</v>
      </c>
      <c r="B66" s="70" t="s">
        <v>1304</v>
      </c>
      <c r="C66" s="87" t="s">
        <v>1305</v>
      </c>
      <c r="D66" s="4" t="s">
        <v>205</v>
      </c>
      <c r="E66" s="143" t="s">
        <v>123</v>
      </c>
      <c r="F66" s="148" t="s">
        <v>209</v>
      </c>
      <c r="G66" s="116" t="s">
        <v>854</v>
      </c>
      <c r="H66" s="5" t="s">
        <v>209</v>
      </c>
      <c r="I66" s="4" t="s">
        <v>205</v>
      </c>
      <c r="J66" s="5"/>
      <c r="K66" s="70"/>
      <c r="L66" s="70" t="s">
        <v>231</v>
      </c>
      <c r="M66" s="70">
        <v>2.0</v>
      </c>
      <c r="N66" s="70">
        <v>4.0</v>
      </c>
      <c r="O66" s="70">
        <v>3.0</v>
      </c>
      <c r="P66" s="83"/>
      <c r="Q66" s="5" t="str">
        <f>'依賽道-個人紀錄'!A302</f>
        <v>StarRiver Arts</v>
      </c>
      <c r="R66" s="5">
        <f>'依賽道-個人紀錄'!B302</f>
        <v>0.002595868056</v>
      </c>
      <c r="S66" s="5" t="str">
        <f>'依賽道-個人紀錄'!C302</f>
        <v>BNR34</v>
      </c>
      <c r="T66" s="5" t="str">
        <f>'依賽道-個人紀錄'!D302</f>
        <v>PC</v>
      </c>
      <c r="U66" s="5" t="str">
        <f>'依賽道-車輛紀錄'!A332</f>
        <v>Test Driver</v>
      </c>
      <c r="V66" s="5">
        <f>'依賽道-車輛紀錄'!B332</f>
        <v>0.006944444444</v>
      </c>
      <c r="W66" s="5" t="str">
        <f>'依賽道-車輛紀錄'!C332</f>
        <v>AP1 (J's Racing S2000)</v>
      </c>
      <c r="X66" s="5" t="str">
        <f>'依賽道-車輛紀錄'!D332</f>
        <v/>
      </c>
      <c r="Z66" s="5"/>
      <c r="AA66" s="5"/>
      <c r="AD66" s="70"/>
    </row>
    <row r="67">
      <c r="A67" s="87" t="s">
        <v>1295</v>
      </c>
      <c r="B67" s="70" t="s">
        <v>1304</v>
      </c>
      <c r="C67" s="87" t="s">
        <v>1305</v>
      </c>
      <c r="D67" s="145" t="s">
        <v>207</v>
      </c>
      <c r="E67" s="143" t="s">
        <v>123</v>
      </c>
      <c r="F67" s="70" t="s">
        <v>245</v>
      </c>
      <c r="G67" s="144" t="s">
        <v>1307</v>
      </c>
      <c r="H67" s="4" t="s">
        <v>207</v>
      </c>
      <c r="I67" s="5" t="s">
        <v>229</v>
      </c>
      <c r="J67" s="14"/>
      <c r="K67" s="14"/>
      <c r="L67" s="70" t="s">
        <v>231</v>
      </c>
      <c r="M67" s="70">
        <v>1.0</v>
      </c>
      <c r="N67" s="70">
        <v>2.0</v>
      </c>
      <c r="O67" s="70">
        <v>2.0</v>
      </c>
      <c r="P67" s="83"/>
      <c r="Q67" s="5" t="str">
        <f>'依賽道-個人紀錄'!A303</f>
        <v>ikuhopen</v>
      </c>
      <c r="R67" s="5">
        <f>'依賽道-個人紀錄'!B303</f>
        <v>0.002604479167</v>
      </c>
      <c r="S67" s="5" t="str">
        <f>'依賽道-個人紀錄'!C303</f>
        <v>BNR32 Gr.A</v>
      </c>
      <c r="T67" s="5" t="str">
        <f>'依賽道-個人紀錄'!D303</f>
        <v>PCVR</v>
      </c>
      <c r="U67" s="5" t="str">
        <f>'依賽道-車輛紀錄'!A333</f>
        <v>Test Driver</v>
      </c>
      <c r="V67" s="5">
        <f>'依賽道-車輛紀錄'!B333</f>
        <v>0.006944444444</v>
      </c>
      <c r="W67" s="5" t="str">
        <f>'依賽道-車輛紀錄'!C333</f>
        <v>FD3S (RX7 FEED)</v>
      </c>
      <c r="X67" s="5" t="str">
        <f>'依賽道-車輛紀錄'!D333</f>
        <v/>
      </c>
    </row>
    <row r="68">
      <c r="A68" s="87" t="s">
        <v>1309</v>
      </c>
      <c r="B68" s="70" t="s">
        <v>1304</v>
      </c>
      <c r="C68" s="87" t="s">
        <v>1305</v>
      </c>
      <c r="D68" s="4" t="s">
        <v>205</v>
      </c>
      <c r="E68" s="140" t="s">
        <v>145</v>
      </c>
      <c r="F68" s="147" t="s">
        <v>245</v>
      </c>
      <c r="G68" s="139" t="s">
        <v>1303</v>
      </c>
      <c r="H68" s="70" t="s">
        <v>245</v>
      </c>
      <c r="I68" s="4" t="s">
        <v>207</v>
      </c>
      <c r="J68" s="14"/>
      <c r="K68" s="70"/>
      <c r="L68" s="5" t="s">
        <v>225</v>
      </c>
      <c r="M68" s="70">
        <v>5.0</v>
      </c>
      <c r="N68" s="70">
        <v>10.0</v>
      </c>
      <c r="O68" s="70">
        <v>3.0</v>
      </c>
      <c r="P68" s="83"/>
      <c r="Q68" s="5" t="str">
        <f>'依賽道-個人紀錄'!A304</f>
        <v>LinWu_05</v>
      </c>
      <c r="R68" s="5">
        <f>'依賽道-個人紀錄'!B304</f>
        <v>0.002605127315</v>
      </c>
      <c r="S68" s="5" t="str">
        <f>'依賽道-個人紀錄'!C304</f>
        <v>BNR34</v>
      </c>
      <c r="T68" s="5" t="str">
        <f>'依賽道-個人紀錄'!D304</f>
        <v>PC</v>
      </c>
      <c r="U68" s="27" t="str">
        <f>'依賽道-車輛紀錄'!A347</f>
        <v>Gunsai Touge Full Course 群サイ 全程</v>
      </c>
      <c r="V68" s="27" t="str">
        <f>'依賽道-車輛紀錄'!B347</f>
        <v/>
      </c>
      <c r="W68" s="27" t="str">
        <f>'依賽道-車輛紀錄'!C347</f>
        <v/>
      </c>
      <c r="X68" s="27" t="str">
        <f>'依賽道-車輛紀錄'!D347</f>
        <v/>
      </c>
    </row>
    <row r="69">
      <c r="A69" s="87" t="s">
        <v>1310</v>
      </c>
      <c r="B69" s="70" t="s">
        <v>1304</v>
      </c>
      <c r="C69" s="87" t="s">
        <v>1305</v>
      </c>
      <c r="D69" s="145" t="s">
        <v>207</v>
      </c>
      <c r="E69" s="116" t="s">
        <v>854</v>
      </c>
      <c r="F69" s="5" t="s">
        <v>209</v>
      </c>
      <c r="G69" s="140" t="s">
        <v>145</v>
      </c>
      <c r="H69" s="4" t="s">
        <v>207</v>
      </c>
      <c r="I69" s="87" t="s">
        <v>208</v>
      </c>
      <c r="J69" s="5"/>
      <c r="K69" s="5"/>
      <c r="L69" s="5" t="s">
        <v>225</v>
      </c>
      <c r="M69" s="70">
        <v>1.0</v>
      </c>
      <c r="N69" s="70">
        <v>9.0</v>
      </c>
      <c r="O69" s="70">
        <v>3.0</v>
      </c>
      <c r="P69" s="83"/>
      <c r="Q69" s="5" t="str">
        <f>'依賽道-個人紀錄'!A305</f>
        <v>アビドサスヒカリ</v>
      </c>
      <c r="R69" s="5">
        <f>'依賽道-個人紀錄'!B305</f>
        <v>0.00260837963</v>
      </c>
      <c r="S69" s="5" t="str">
        <f>'依賽道-個人紀錄'!C305</f>
        <v>AE86T</v>
      </c>
      <c r="T69" s="5" t="str">
        <f>'依賽道-個人紀錄'!D305</f>
        <v>PCVR</v>
      </c>
      <c r="U69" s="5" t="str">
        <f>'依賽道-車輛紀錄'!A348</f>
        <v>Player玩家</v>
      </c>
      <c r="V69" s="5" t="str">
        <f>'依賽道-車輛紀錄'!B348</f>
        <v>Time時間</v>
      </c>
      <c r="W69" s="5" t="str">
        <f>'依賽道-車輛紀錄'!C348</f>
        <v>Car車種</v>
      </c>
      <c r="X69" s="5" t="str">
        <f>'依賽道-車輛紀錄'!D348</f>
        <v>Platform平台</v>
      </c>
    </row>
    <row r="70">
      <c r="A70" s="87"/>
      <c r="B70" s="5"/>
      <c r="C70" s="87"/>
      <c r="H70" s="14"/>
      <c r="I70" s="4" t="s">
        <v>235</v>
      </c>
      <c r="J70" s="14"/>
      <c r="K70" s="14"/>
      <c r="L70" s="70" t="s">
        <v>231</v>
      </c>
      <c r="M70" s="70">
        <v>1.0</v>
      </c>
      <c r="N70" s="70">
        <v>1.0</v>
      </c>
      <c r="O70" s="70">
        <v>1.0</v>
      </c>
      <c r="P70" s="83"/>
      <c r="Q70" s="5" t="str">
        <f>'依賽道-個人紀錄'!A306</f>
        <v>ZihChin</v>
      </c>
      <c r="R70" s="5">
        <f>'依賽道-個人紀錄'!B306</f>
        <v>0.002709178241</v>
      </c>
      <c r="S70" s="5" t="str">
        <f>'依賽道-個人紀錄'!C306</f>
        <v>BNR32 Gr.A</v>
      </c>
      <c r="T70" s="5" t="str">
        <f>'依賽道-個人紀錄'!D306</f>
        <v>PC</v>
      </c>
      <c r="U70" s="5" t="str">
        <f>'依賽道-車輛紀錄'!A349</f>
        <v>LinWu_05</v>
      </c>
      <c r="V70" s="5">
        <f>'依賽道-車輛紀錄'!B349</f>
        <v>0.002279583333</v>
      </c>
      <c r="W70" s="5" t="str">
        <f>'依賽道-車輛紀錄'!C349</f>
        <v>MCR R34</v>
      </c>
      <c r="X70" s="5" t="str">
        <f>'依賽道-車輛紀錄'!D349</f>
        <v>PC</v>
      </c>
    </row>
    <row r="71">
      <c r="A71" s="87"/>
      <c r="B71" s="149"/>
      <c r="C71" s="14"/>
      <c r="D71" s="87"/>
      <c r="E71" s="87"/>
      <c r="F71" s="87"/>
      <c r="G71" s="87"/>
      <c r="H71" s="87"/>
      <c r="I71" s="70" t="s">
        <v>1280</v>
      </c>
      <c r="J71" s="14"/>
      <c r="K71" s="14"/>
      <c r="L71" s="70" t="s">
        <v>231</v>
      </c>
      <c r="M71" s="70">
        <v>1.0</v>
      </c>
      <c r="N71" s="70">
        <v>1.0</v>
      </c>
      <c r="O71" s="70">
        <v>1.0</v>
      </c>
      <c r="P71" s="83"/>
      <c r="Q71" s="5" t="str">
        <f>'依賽道-個人紀錄'!A308</f>
        <v>Test Driver</v>
      </c>
      <c r="R71" s="5">
        <f>'依賽道-個人紀錄'!B308</f>
        <v>0.006944444444</v>
      </c>
      <c r="S71" s="5" t="str">
        <f>'依賽道-個人紀錄'!C308</f>
        <v>R35 Nismo</v>
      </c>
      <c r="T71" s="5" t="str">
        <f>'依賽道-個人紀錄'!D308</f>
        <v/>
      </c>
      <c r="U71" s="5" t="str">
        <f>'依賽道-車輛紀錄'!A356</f>
        <v/>
      </c>
      <c r="V71" s="5" t="str">
        <f>'依賽道-車輛紀錄'!B356</f>
        <v/>
      </c>
      <c r="W71" s="5" t="str">
        <f>'依賽道-車輛紀錄'!C356</f>
        <v/>
      </c>
      <c r="X71" s="5" t="str">
        <f>'依賽道-車輛紀錄'!D356</f>
        <v/>
      </c>
      <c r="Z71" s="87"/>
      <c r="AA71" s="87"/>
      <c r="AB71" s="87"/>
      <c r="AC71" s="87"/>
      <c r="AD71" s="87"/>
      <c r="AE71" s="87"/>
    </row>
    <row r="72">
      <c r="A72" s="87" t="s">
        <v>1278</v>
      </c>
      <c r="B72" s="4" t="s">
        <v>207</v>
      </c>
      <c r="C72" s="4" t="s">
        <v>123</v>
      </c>
      <c r="D72" s="70" t="s">
        <v>854</v>
      </c>
      <c r="E72" s="4" t="s">
        <v>1303</v>
      </c>
      <c r="F72" s="5" t="s">
        <v>225</v>
      </c>
      <c r="G72" s="87"/>
      <c r="H72" s="87"/>
      <c r="I72" s="70" t="s">
        <v>245</v>
      </c>
      <c r="J72" s="14"/>
      <c r="K72" s="14"/>
      <c r="L72" s="5" t="s">
        <v>225</v>
      </c>
      <c r="M72" s="70">
        <v>3.0</v>
      </c>
      <c r="N72" s="70">
        <v>6.0</v>
      </c>
      <c r="O72" s="70">
        <v>3.0</v>
      </c>
      <c r="P72" s="83"/>
      <c r="Q72" s="83"/>
      <c r="U72" s="5" t="str">
        <f>'依賽道-車輛紀錄'!A357</f>
        <v/>
      </c>
      <c r="V72" s="5" t="str">
        <f>'依賽道-車輛紀錄'!B357</f>
        <v/>
      </c>
      <c r="W72" s="5" t="str">
        <f>'依賽道-車輛紀錄'!C357</f>
        <v/>
      </c>
      <c r="X72" s="5" t="str">
        <f>'依賽道-車輛紀錄'!D357</f>
        <v/>
      </c>
      <c r="Z72" s="87"/>
      <c r="AA72" s="87"/>
      <c r="AB72" s="87"/>
      <c r="AC72" s="87"/>
      <c r="AD72" s="87"/>
      <c r="AE72" s="87"/>
    </row>
    <row r="73">
      <c r="A73" s="87" t="s">
        <v>1279</v>
      </c>
      <c r="B73" s="5" t="s">
        <v>209</v>
      </c>
      <c r="C73" s="4" t="s">
        <v>123</v>
      </c>
      <c r="D73" s="4" t="s">
        <v>854</v>
      </c>
      <c r="E73" s="70" t="s">
        <v>145</v>
      </c>
      <c r="F73" s="5" t="s">
        <v>225</v>
      </c>
      <c r="G73" s="87"/>
      <c r="H73" s="87"/>
      <c r="I73" s="70" t="s">
        <v>275</v>
      </c>
      <c r="J73" s="83"/>
      <c r="K73" s="83"/>
      <c r="L73" s="70" t="s">
        <v>231</v>
      </c>
      <c r="M73" s="70">
        <v>1.0</v>
      </c>
      <c r="N73" s="70">
        <v>1.0</v>
      </c>
      <c r="O73" s="70">
        <v>1.0</v>
      </c>
      <c r="P73" s="83"/>
      <c r="Q73" s="83"/>
      <c r="Z73" s="87"/>
      <c r="AA73" s="87"/>
      <c r="AB73" s="87"/>
      <c r="AC73" s="87"/>
      <c r="AD73" s="87"/>
      <c r="AE73" s="87"/>
    </row>
    <row r="74">
      <c r="A74" s="87" t="s">
        <v>1281</v>
      </c>
      <c r="B74" s="70" t="s">
        <v>245</v>
      </c>
      <c r="C74" s="4" t="s">
        <v>1307</v>
      </c>
      <c r="D74" s="4" t="s">
        <v>126</v>
      </c>
      <c r="E74" s="70" t="s">
        <v>1303</v>
      </c>
      <c r="F74" s="5" t="s">
        <v>225</v>
      </c>
      <c r="G74" s="87"/>
      <c r="H74" s="87"/>
      <c r="I74" s="83"/>
      <c r="J74" s="83"/>
      <c r="K74" s="83"/>
      <c r="L74" s="83"/>
      <c r="M74" s="83"/>
      <c r="N74" s="83"/>
      <c r="O74" s="83"/>
      <c r="P74" s="83"/>
      <c r="Q74" s="83"/>
      <c r="Z74" s="87"/>
      <c r="AA74" s="87"/>
      <c r="AB74" s="87"/>
      <c r="AC74" s="87"/>
      <c r="AD74" s="87"/>
      <c r="AE74" s="87"/>
    </row>
    <row r="75">
      <c r="A75" s="70" t="s">
        <v>1282</v>
      </c>
      <c r="B75" s="4" t="s">
        <v>205</v>
      </c>
      <c r="C75" s="70" t="s">
        <v>123</v>
      </c>
      <c r="D75" s="70" t="s">
        <v>854</v>
      </c>
      <c r="E75" s="70" t="s">
        <v>145</v>
      </c>
      <c r="F75" s="70" t="s">
        <v>231</v>
      </c>
      <c r="G75" s="83"/>
      <c r="H75" s="83"/>
      <c r="I75" s="83"/>
      <c r="J75" s="83"/>
      <c r="K75" s="83"/>
      <c r="L75" s="83"/>
      <c r="M75" s="83"/>
      <c r="N75" s="83"/>
      <c r="O75" s="83"/>
      <c r="P75" s="83"/>
      <c r="Q75" s="83"/>
    </row>
    <row r="76">
      <c r="A76" s="104" t="s">
        <v>1311</v>
      </c>
      <c r="I76" s="83"/>
      <c r="J76" s="83"/>
      <c r="K76" s="83"/>
      <c r="L76" s="83"/>
      <c r="M76" s="83"/>
      <c r="N76" s="83"/>
      <c r="O76" s="83"/>
      <c r="P76" s="83"/>
      <c r="Q76" s="150" t="str">
        <f>'依賽道-個人紀錄'!A2</f>
        <v>Akina Downhill秋名/下行</v>
      </c>
    </row>
    <row r="77">
      <c r="A77" s="106" t="s">
        <v>1226</v>
      </c>
      <c r="B77" s="106" t="s">
        <v>1227</v>
      </c>
      <c r="C77" s="106" t="s">
        <v>1228</v>
      </c>
      <c r="D77" s="97" t="s">
        <v>1229</v>
      </c>
      <c r="E77" s="107" t="s">
        <v>1230</v>
      </c>
      <c r="F77" s="97" t="s">
        <v>1229</v>
      </c>
      <c r="G77" s="107" t="s">
        <v>1230</v>
      </c>
      <c r="H77" s="107" t="s">
        <v>1231</v>
      </c>
      <c r="I77" s="130"/>
      <c r="J77" s="83"/>
      <c r="K77" s="83"/>
      <c r="L77" s="83"/>
      <c r="M77" s="83"/>
      <c r="N77" s="83"/>
      <c r="O77" s="83"/>
      <c r="P77" s="83"/>
      <c r="Q77" s="5" t="str">
        <f>'依賽道-個人紀錄'!A3</f>
        <v>Player玩家</v>
      </c>
      <c r="R77" s="5" t="str">
        <f>'依賽道-個人紀錄'!B3</f>
        <v>Time時間</v>
      </c>
      <c r="S77" s="5" t="str">
        <f>'依賽道-個人紀錄'!C3</f>
        <v>Car車種</v>
      </c>
      <c r="T77" s="5" t="str">
        <f>'依賽道-個人紀錄'!D3</f>
        <v>Platform平台</v>
      </c>
    </row>
    <row r="78">
      <c r="A78" s="87" t="s">
        <v>1285</v>
      </c>
      <c r="B78" s="70" t="s">
        <v>1312</v>
      </c>
      <c r="C78" s="87" t="s">
        <v>1305</v>
      </c>
      <c r="D78" s="70" t="s">
        <v>1277</v>
      </c>
      <c r="E78" s="14" t="s">
        <v>126</v>
      </c>
      <c r="F78" s="120" t="s">
        <v>489</v>
      </c>
      <c r="G78" s="120" t="s">
        <v>1313</v>
      </c>
      <c r="H78" s="4" t="s">
        <v>1314</v>
      </c>
      <c r="I78" s="83" t="s">
        <v>1315</v>
      </c>
      <c r="J78" s="83"/>
      <c r="K78" s="83"/>
      <c r="L78" s="83"/>
      <c r="M78" s="83"/>
      <c r="N78" s="83"/>
      <c r="O78" s="83"/>
      <c r="P78" s="83"/>
      <c r="Q78" s="5" t="str">
        <f>'依賽道-個人紀錄'!A4</f>
        <v>Lolidia</v>
      </c>
      <c r="R78" s="5">
        <f>'依賽道-個人紀錄'!B4</f>
        <v>0.002393657407</v>
      </c>
      <c r="S78" s="5" t="str">
        <f>'依賽道-個人紀錄'!C4</f>
        <v>AE86T-V2</v>
      </c>
      <c r="T78" s="5" t="str">
        <f>'依賽道-個人紀錄'!D4</f>
        <v>PCVR</v>
      </c>
    </row>
    <row r="79">
      <c r="A79" s="87" t="s">
        <v>1286</v>
      </c>
      <c r="B79" s="70" t="s">
        <v>1312</v>
      </c>
      <c r="C79" s="87" t="s">
        <v>1305</v>
      </c>
      <c r="D79" s="70" t="s">
        <v>245</v>
      </c>
      <c r="E79" s="14" t="s">
        <v>1313</v>
      </c>
      <c r="F79" s="120" t="s">
        <v>208</v>
      </c>
      <c r="G79" s="147" t="s">
        <v>1107</v>
      </c>
      <c r="H79" s="4" t="s">
        <v>1316</v>
      </c>
      <c r="I79" s="83" t="s">
        <v>214</v>
      </c>
      <c r="J79" s="83" t="s">
        <v>215</v>
      </c>
      <c r="K79" s="83" t="s">
        <v>1230</v>
      </c>
      <c r="L79" s="4" t="s">
        <v>217</v>
      </c>
      <c r="M79" s="4" t="s">
        <v>1250</v>
      </c>
      <c r="N79" s="4" t="s">
        <v>1251</v>
      </c>
      <c r="O79" s="83"/>
      <c r="P79" s="83"/>
      <c r="Q79" s="5" t="str">
        <f>'依賽道-個人紀錄'!A8</f>
        <v>Yune</v>
      </c>
      <c r="R79" s="5">
        <f>'依賽道-個人紀錄'!B8</f>
        <v>0.002536076389</v>
      </c>
      <c r="S79" s="5" t="str">
        <f>'依賽道-個人紀錄'!C8</f>
        <v>GC8-F (Impreza)</v>
      </c>
      <c r="T79" s="5" t="str">
        <f>'依賽道-個人紀錄'!D8</f>
        <v>PC</v>
      </c>
    </row>
    <row r="80">
      <c r="A80" s="87" t="s">
        <v>1287</v>
      </c>
      <c r="B80" s="70" t="s">
        <v>1312</v>
      </c>
      <c r="C80" s="87" t="s">
        <v>1305</v>
      </c>
      <c r="D80" s="147" t="s">
        <v>207</v>
      </c>
      <c r="E80" s="120" t="s">
        <v>183</v>
      </c>
      <c r="F80" s="14" t="s">
        <v>205</v>
      </c>
      <c r="G80" s="14" t="s">
        <v>133</v>
      </c>
      <c r="H80" s="4" t="s">
        <v>1317</v>
      </c>
      <c r="I80" s="5" t="s">
        <v>209</v>
      </c>
      <c r="J80" s="5">
        <v>0.002417951388888889</v>
      </c>
      <c r="K80" s="5" t="s">
        <v>147</v>
      </c>
      <c r="L80" s="5" t="s">
        <v>225</v>
      </c>
      <c r="M80" s="70">
        <v>2.0</v>
      </c>
      <c r="N80" s="70">
        <v>2.0</v>
      </c>
      <c r="O80" s="70">
        <v>1.0</v>
      </c>
      <c r="P80" s="83"/>
      <c r="Q80" s="5" t="str">
        <f>'依賽道-個人紀錄'!A9</f>
        <v>Kinokono_Tenka</v>
      </c>
      <c r="R80" s="5">
        <f>'依賽道-個人紀錄'!B9</f>
        <v>0.002562048611</v>
      </c>
      <c r="S80" s="5" t="str">
        <f>'依賽道-個人紀錄'!C9</f>
        <v>EG6 (civic)</v>
      </c>
      <c r="T80" s="5" t="str">
        <f>'依賽道-個人紀錄'!D9</f>
        <v>PCVR</v>
      </c>
    </row>
    <row r="81">
      <c r="A81" s="87" t="s">
        <v>1289</v>
      </c>
      <c r="B81" s="70" t="s">
        <v>1312</v>
      </c>
      <c r="C81" s="87" t="s">
        <v>1305</v>
      </c>
      <c r="D81" s="70" t="s">
        <v>1288</v>
      </c>
      <c r="E81" s="70" t="s">
        <v>1318</v>
      </c>
      <c r="F81" s="120" t="s">
        <v>209</v>
      </c>
      <c r="G81" s="120" t="s">
        <v>147</v>
      </c>
      <c r="H81" s="70" t="s">
        <v>1319</v>
      </c>
      <c r="I81" s="127" t="s">
        <v>1288</v>
      </c>
      <c r="J81" s="70" t="s">
        <v>1320</v>
      </c>
      <c r="K81" s="70" t="s">
        <v>1318</v>
      </c>
      <c r="L81" s="83"/>
      <c r="M81" s="70">
        <v>0.0</v>
      </c>
      <c r="N81" s="70">
        <v>0.0</v>
      </c>
      <c r="O81" s="70">
        <v>0.0</v>
      </c>
      <c r="P81" s="83"/>
      <c r="Q81" s="5" t="str">
        <f>'依賽道-個人紀錄'!A10</f>
        <v>Rushia Angel</v>
      </c>
      <c r="R81" s="5">
        <f>'依賽道-個人紀錄'!B10</f>
        <v>0.002562847222</v>
      </c>
      <c r="S81" s="5" t="str">
        <f>'依賽道-個人紀錄'!C10</f>
        <v>BNR32</v>
      </c>
      <c r="T81" s="5" t="str">
        <f>'依賽道-個人紀錄'!D10</f>
        <v>PC</v>
      </c>
    </row>
    <row r="82">
      <c r="A82" s="87" t="s">
        <v>1294</v>
      </c>
      <c r="B82" s="70" t="s">
        <v>1312</v>
      </c>
      <c r="C82" s="87" t="s">
        <v>1305</v>
      </c>
      <c r="D82" s="120" t="s">
        <v>489</v>
      </c>
      <c r="E82" s="120" t="s">
        <v>1313</v>
      </c>
      <c r="F82" s="14" t="s">
        <v>208</v>
      </c>
      <c r="G82" s="70" t="s">
        <v>1107</v>
      </c>
      <c r="H82" s="4" t="s">
        <v>1314</v>
      </c>
      <c r="I82" s="5" t="s">
        <v>489</v>
      </c>
      <c r="J82" s="5">
        <v>0.0025046296296296297</v>
      </c>
      <c r="K82" s="5" t="s">
        <v>1313</v>
      </c>
      <c r="L82" s="5" t="s">
        <v>225</v>
      </c>
      <c r="M82" s="70">
        <v>5.0</v>
      </c>
      <c r="N82" s="70">
        <v>5.0</v>
      </c>
      <c r="O82" s="70">
        <v>1.0</v>
      </c>
      <c r="P82" s="83"/>
      <c r="Q82" s="5" t="str">
        <f>'依賽道-個人紀錄'!A11</f>
        <v>StarRiver Arts</v>
      </c>
      <c r="R82" s="5">
        <f>'依賽道-個人紀錄'!B11</f>
        <v>0.002596840278</v>
      </c>
      <c r="S82" s="5" t="str">
        <f>'依賽道-個人紀錄'!C11</f>
        <v>EVOIV/CN9A</v>
      </c>
      <c r="T82" s="5" t="str">
        <f>'依賽道-個人紀錄'!D11</f>
        <v>PC</v>
      </c>
    </row>
    <row r="83">
      <c r="A83" s="87" t="s">
        <v>1295</v>
      </c>
      <c r="B83" s="70" t="s">
        <v>1312</v>
      </c>
      <c r="C83" s="87" t="s">
        <v>1305</v>
      </c>
      <c r="D83" s="14" t="s">
        <v>209</v>
      </c>
      <c r="E83" s="70" t="s">
        <v>123</v>
      </c>
      <c r="F83" s="147" t="s">
        <v>207</v>
      </c>
      <c r="G83" s="120" t="s">
        <v>183</v>
      </c>
      <c r="H83" s="4" t="s">
        <v>1317</v>
      </c>
      <c r="I83" s="4" t="s">
        <v>245</v>
      </c>
      <c r="J83" s="4" t="s">
        <v>487</v>
      </c>
      <c r="K83" s="70" t="s">
        <v>1321</v>
      </c>
      <c r="L83" s="70" t="s">
        <v>225</v>
      </c>
      <c r="M83" s="70">
        <v>1.0</v>
      </c>
      <c r="N83" s="70">
        <v>3.0</v>
      </c>
      <c r="O83" s="70">
        <v>2.0</v>
      </c>
      <c r="P83" s="83"/>
      <c r="Q83" s="5" t="str">
        <f>'依賽道-個人紀錄'!A12</f>
        <v>アビドサスヒカリ</v>
      </c>
      <c r="R83" s="5">
        <f>'依賽道-個人紀錄'!B12</f>
        <v>0.002599155093</v>
      </c>
      <c r="S83" s="5" t="str">
        <f>'依賽道-個人紀錄'!C12</f>
        <v>S30Z(Nissan Fairlady Z/Devil Z)</v>
      </c>
      <c r="T83" s="5" t="str">
        <f>'依賽道-個人紀錄'!D12</f>
        <v>PC</v>
      </c>
    </row>
    <row r="84">
      <c r="A84" s="87" t="s">
        <v>1309</v>
      </c>
      <c r="B84" s="70" t="s">
        <v>1312</v>
      </c>
      <c r="C84" s="87" t="s">
        <v>1305</v>
      </c>
      <c r="D84" s="120" t="s">
        <v>208</v>
      </c>
      <c r="E84" s="147" t="s">
        <v>1107</v>
      </c>
      <c r="F84" s="14" t="s">
        <v>209</v>
      </c>
      <c r="G84" s="70" t="s">
        <v>164</v>
      </c>
      <c r="H84" s="4" t="s">
        <v>1316</v>
      </c>
      <c r="I84" s="149" t="s">
        <v>207</v>
      </c>
      <c r="J84" s="14">
        <v>0.002539201388888889</v>
      </c>
      <c r="K84" s="14" t="s">
        <v>183</v>
      </c>
      <c r="L84" s="70" t="s">
        <v>231</v>
      </c>
      <c r="M84" s="70">
        <v>4.0</v>
      </c>
      <c r="N84" s="70">
        <v>5.0</v>
      </c>
      <c r="O84" s="70">
        <v>2.0</v>
      </c>
      <c r="P84" s="83"/>
      <c r="Q84" s="5" t="str">
        <f>'依賽道-個人紀錄'!A13</f>
        <v>redfrogss</v>
      </c>
      <c r="R84" s="5">
        <f>'依賽道-個人紀錄'!B13</f>
        <v>0.00266712963</v>
      </c>
      <c r="S84" s="5" t="str">
        <f>'依賽道-個人紀錄'!C13</f>
        <v>BNR32</v>
      </c>
      <c r="T84" s="5" t="str">
        <f>'依賽道-個人紀錄'!D13</f>
        <v>PCVR</v>
      </c>
    </row>
    <row r="85">
      <c r="A85" s="87" t="s">
        <v>1310</v>
      </c>
      <c r="B85" s="70" t="s">
        <v>1312</v>
      </c>
      <c r="C85" s="87" t="s">
        <v>1305</v>
      </c>
      <c r="D85" s="120" t="s">
        <v>489</v>
      </c>
      <c r="E85" s="120" t="s">
        <v>1313</v>
      </c>
      <c r="F85" s="70" t="s">
        <v>207</v>
      </c>
      <c r="G85" s="14" t="s">
        <v>183</v>
      </c>
      <c r="H85" s="4" t="s">
        <v>1314</v>
      </c>
      <c r="I85" s="151" t="s">
        <v>208</v>
      </c>
      <c r="J85" s="70" t="s">
        <v>491</v>
      </c>
      <c r="K85" s="70" t="s">
        <v>1107</v>
      </c>
      <c r="L85" s="70" t="s">
        <v>225</v>
      </c>
      <c r="M85" s="70">
        <v>3.0</v>
      </c>
      <c r="N85" s="70">
        <v>8.0</v>
      </c>
      <c r="O85" s="70">
        <v>2.0</v>
      </c>
      <c r="P85" s="83"/>
      <c r="Q85" s="5" t="str">
        <f>'依賽道-個人紀錄'!A14</f>
        <v>LinWu_05</v>
      </c>
      <c r="R85" s="5">
        <f>'依賽道-個人紀錄'!B14</f>
        <v>0.002711030093</v>
      </c>
      <c r="S85" s="5" t="str">
        <f>'依賽道-個人紀錄'!C14</f>
        <v>GC8-F (Impreza)</v>
      </c>
      <c r="T85" s="5" t="str">
        <f>'依賽道-個人紀錄'!D14</f>
        <v>PC</v>
      </c>
    </row>
    <row r="86">
      <c r="A86" s="87"/>
      <c r="B86" s="70"/>
      <c r="C86" s="87"/>
      <c r="D86" s="87"/>
      <c r="E86" s="87"/>
      <c r="F86" s="87"/>
      <c r="G86" s="87"/>
      <c r="H86" s="87"/>
      <c r="I86" s="70" t="s">
        <v>1277</v>
      </c>
      <c r="J86" s="5">
        <v>0.0025628472222222224</v>
      </c>
      <c r="K86" s="5" t="s">
        <v>126</v>
      </c>
      <c r="L86" s="5" t="s">
        <v>225</v>
      </c>
      <c r="M86" s="70">
        <v>1.0</v>
      </c>
      <c r="N86" s="70">
        <v>5.0</v>
      </c>
      <c r="O86" s="70">
        <v>2.0</v>
      </c>
      <c r="P86" s="83"/>
      <c r="Q86" s="5" t="str">
        <f>'依賽道-個人紀錄'!A15</f>
        <v>Sakanakokokoko</v>
      </c>
      <c r="R86" s="5">
        <f>'依賽道-個人紀錄'!B15</f>
        <v>0.003489201389</v>
      </c>
      <c r="S86" s="5" t="str">
        <f>'依賽道-個人紀錄'!C15</f>
        <v>FD3S (RX7)(TT)</v>
      </c>
      <c r="T86" s="5" t="str">
        <f>'依賽道-個人紀錄'!D15</f>
        <v>PC</v>
      </c>
    </row>
    <row r="87">
      <c r="A87" s="87" t="s">
        <v>1278</v>
      </c>
      <c r="B87" s="5" t="s">
        <v>489</v>
      </c>
      <c r="C87" s="5" t="s">
        <v>1313</v>
      </c>
      <c r="D87" s="5" t="s">
        <v>225</v>
      </c>
      <c r="E87" s="87"/>
      <c r="F87" s="87"/>
      <c r="G87" s="87"/>
      <c r="H87" s="87"/>
      <c r="I87" s="14" t="s">
        <v>205</v>
      </c>
      <c r="J87" s="14">
        <v>0.0025968402777777778</v>
      </c>
      <c r="K87" s="14" t="s">
        <v>133</v>
      </c>
      <c r="L87" s="70" t="s">
        <v>231</v>
      </c>
      <c r="M87" s="70">
        <v>1.0</v>
      </c>
      <c r="N87" s="70">
        <v>2.0</v>
      </c>
      <c r="O87" s="70">
        <v>2.0</v>
      </c>
      <c r="P87" s="83"/>
      <c r="Q87" s="5" t="str">
        <f>'依賽道-個人紀錄'!A16</f>
        <v>Yuanji Deca</v>
      </c>
      <c r="R87" s="5">
        <f>'依賽道-個人紀錄'!B16</f>
        <v>0.003531770833</v>
      </c>
      <c r="S87" s="5" t="str">
        <f>'依賽道-個人紀錄'!C16</f>
        <v>AE86T-V2</v>
      </c>
      <c r="T87" s="5" t="str">
        <f>'依賽道-個人紀錄'!D16</f>
        <v>PC</v>
      </c>
    </row>
    <row r="88">
      <c r="A88" s="87" t="s">
        <v>1279</v>
      </c>
      <c r="B88" s="149" t="s">
        <v>207</v>
      </c>
      <c r="C88" s="14" t="s">
        <v>183</v>
      </c>
      <c r="D88" s="4" t="s">
        <v>225</v>
      </c>
      <c r="E88" s="87"/>
      <c r="F88" s="87"/>
      <c r="G88" s="87"/>
      <c r="H88" s="87"/>
      <c r="I88" s="14"/>
      <c r="J88" s="14"/>
      <c r="K88" s="14"/>
      <c r="L88" s="14"/>
      <c r="M88" s="83"/>
      <c r="N88" s="83"/>
      <c r="O88" s="83"/>
      <c r="P88" s="83"/>
      <c r="Q88" s="5" t="str">
        <f>'依賽道-個人紀錄'!A17</f>
        <v>Test Driver</v>
      </c>
      <c r="R88" s="5">
        <f>'依賽道-個人紀錄'!B17</f>
        <v>0.006944444444</v>
      </c>
      <c r="S88" s="5" t="str">
        <f>'依賽道-個人紀錄'!C17</f>
        <v>AE86L</v>
      </c>
      <c r="T88" s="5" t="str">
        <f>'依賽道-個人紀錄'!D17</f>
        <v/>
      </c>
    </row>
    <row r="89">
      <c r="A89" s="87" t="s">
        <v>1281</v>
      </c>
      <c r="B89" s="151" t="s">
        <v>208</v>
      </c>
      <c r="C89" s="4" t="s">
        <v>1107</v>
      </c>
      <c r="D89" s="5" t="s">
        <v>225</v>
      </c>
      <c r="E89" s="87"/>
      <c r="F89" s="87"/>
      <c r="G89" s="87"/>
      <c r="H89" s="87"/>
      <c r="I89" s="14"/>
      <c r="J89" s="14"/>
      <c r="K89" s="14"/>
      <c r="L89" s="14"/>
      <c r="M89" s="83"/>
      <c r="N89" s="83"/>
      <c r="O89" s="83"/>
      <c r="P89" s="83"/>
      <c r="Q89" s="5" t="str">
        <f>'依賽道-個人紀錄'!A18</f>
        <v/>
      </c>
      <c r="R89" s="5" t="str">
        <f>'依賽道-個人紀錄'!B18</f>
        <v/>
      </c>
      <c r="S89" s="5" t="str">
        <f>'依賽道-個人紀錄'!C18</f>
        <v/>
      </c>
      <c r="T89" s="5" t="str">
        <f>'依賽道-個人紀錄'!D18</f>
        <v/>
      </c>
    </row>
    <row r="90">
      <c r="A90" s="70" t="s">
        <v>1282</v>
      </c>
      <c r="B90" s="5" t="s">
        <v>209</v>
      </c>
      <c r="C90" s="4" t="s">
        <v>1322</v>
      </c>
      <c r="D90" s="5" t="s">
        <v>225</v>
      </c>
      <c r="E90" s="87"/>
      <c r="F90" s="87"/>
      <c r="G90" s="87"/>
      <c r="H90" s="87"/>
      <c r="I90" s="83"/>
      <c r="J90" s="83"/>
      <c r="K90" s="83"/>
      <c r="L90" s="83"/>
      <c r="M90" s="83"/>
      <c r="N90" s="83"/>
      <c r="O90" s="83"/>
      <c r="P90" s="83"/>
      <c r="Q90" s="83"/>
    </row>
    <row r="91">
      <c r="A91" s="87"/>
      <c r="B91" s="87"/>
      <c r="C91" s="87"/>
      <c r="D91" s="87"/>
      <c r="E91" s="87"/>
      <c r="F91" s="87"/>
      <c r="G91" s="87"/>
      <c r="H91" s="87"/>
      <c r="I91" s="83"/>
      <c r="J91" s="83"/>
      <c r="K91" s="83"/>
      <c r="L91" s="83"/>
      <c r="M91" s="83"/>
      <c r="N91" s="83"/>
      <c r="O91" s="83"/>
      <c r="P91" s="83"/>
      <c r="Q91" s="83"/>
    </row>
    <row r="92">
      <c r="A92" s="87"/>
      <c r="B92" s="87"/>
      <c r="C92" s="87"/>
      <c r="D92" s="87"/>
      <c r="E92" s="87"/>
      <c r="F92" s="87"/>
      <c r="G92" s="87"/>
      <c r="H92" s="87"/>
      <c r="I92" s="83"/>
      <c r="J92" s="83"/>
      <c r="K92" s="83"/>
      <c r="L92" s="83"/>
      <c r="M92" s="83"/>
      <c r="N92" s="83"/>
      <c r="O92" s="83"/>
      <c r="P92" s="83"/>
      <c r="Q92" s="83"/>
    </row>
    <row r="93">
      <c r="A93" s="104" t="s">
        <v>1323</v>
      </c>
    </row>
    <row r="94">
      <c r="A94" s="140" t="s">
        <v>1226</v>
      </c>
      <c r="B94" s="140" t="s">
        <v>1227</v>
      </c>
      <c r="C94" s="140" t="s">
        <v>1228</v>
      </c>
      <c r="D94" s="152" t="s">
        <v>1229</v>
      </c>
      <c r="E94" s="153" t="s">
        <v>1230</v>
      </c>
      <c r="F94" s="152" t="s">
        <v>1229</v>
      </c>
      <c r="G94" s="153" t="s">
        <v>1230</v>
      </c>
      <c r="H94" s="153" t="s">
        <v>1231</v>
      </c>
      <c r="I94" s="102" t="s">
        <v>1324</v>
      </c>
    </row>
    <row r="95">
      <c r="A95" s="4" t="s">
        <v>1285</v>
      </c>
      <c r="B95" s="4" t="s">
        <v>1325</v>
      </c>
      <c r="C95" s="4" t="s">
        <v>1305</v>
      </c>
      <c r="D95" s="4" t="s">
        <v>205</v>
      </c>
      <c r="E95" s="5" t="s">
        <v>171</v>
      </c>
      <c r="F95" s="145" t="s">
        <v>208</v>
      </c>
      <c r="G95" s="145" t="s">
        <v>1318</v>
      </c>
      <c r="H95" s="4" t="s">
        <v>1316</v>
      </c>
      <c r="I95" s="4" t="s">
        <v>1315</v>
      </c>
    </row>
    <row r="96">
      <c r="A96" s="4" t="s">
        <v>1286</v>
      </c>
      <c r="B96" s="4" t="s">
        <v>1325</v>
      </c>
      <c r="C96" s="4" t="s">
        <v>1305</v>
      </c>
      <c r="D96" s="4" t="s">
        <v>207</v>
      </c>
      <c r="E96" s="4" t="s">
        <v>185</v>
      </c>
      <c r="F96" s="145" t="s">
        <v>245</v>
      </c>
      <c r="G96" s="145" t="s">
        <v>124</v>
      </c>
      <c r="H96" s="4" t="s">
        <v>1326</v>
      </c>
      <c r="I96" s="4" t="s">
        <v>214</v>
      </c>
      <c r="J96" s="4" t="s">
        <v>215</v>
      </c>
      <c r="K96" s="4" t="s">
        <v>1230</v>
      </c>
      <c r="L96" s="4" t="s">
        <v>217</v>
      </c>
      <c r="M96" s="4" t="s">
        <v>1250</v>
      </c>
      <c r="N96" s="4" t="s">
        <v>1251</v>
      </c>
      <c r="Q96" s="150" t="str">
        <f>'依賽道-個人紀錄'!A33</f>
        <v>Myogi Downhill妙義/下行 (Arcade Stage)</v>
      </c>
    </row>
    <row r="97">
      <c r="A97" s="4" t="s">
        <v>1287</v>
      </c>
      <c r="B97" s="4" t="s">
        <v>1325</v>
      </c>
      <c r="C97" s="4" t="s">
        <v>1305</v>
      </c>
      <c r="D97" s="145" t="s">
        <v>206</v>
      </c>
      <c r="E97" s="145" t="s">
        <v>190</v>
      </c>
      <c r="F97" s="4" t="s">
        <v>347</v>
      </c>
      <c r="G97" s="4" t="s">
        <v>153</v>
      </c>
      <c r="H97" s="4" t="s">
        <v>1327</v>
      </c>
      <c r="Q97" s="5" t="str">
        <f>'依賽道-個人紀錄'!A34</f>
        <v>Player玩家</v>
      </c>
      <c r="R97" s="5" t="str">
        <f>'依賽道-個人紀錄'!B34</f>
        <v>Time時間</v>
      </c>
      <c r="S97" s="5" t="str">
        <f>'依賽道-個人紀錄'!C34</f>
        <v>Car車種</v>
      </c>
      <c r="T97" s="5" t="str">
        <f>'依賽道-個人紀錄'!D34</f>
        <v>Platform平台</v>
      </c>
    </row>
    <row r="98">
      <c r="A98" s="4" t="s">
        <v>1289</v>
      </c>
      <c r="B98" s="4" t="s">
        <v>1325</v>
      </c>
      <c r="C98" s="4" t="s">
        <v>1305</v>
      </c>
      <c r="D98" s="5" t="s">
        <v>229</v>
      </c>
      <c r="E98" s="4" t="s">
        <v>124</v>
      </c>
      <c r="F98" s="145" t="s">
        <v>304</v>
      </c>
      <c r="G98" s="148" t="s">
        <v>171</v>
      </c>
      <c r="H98" s="4" t="s">
        <v>1328</v>
      </c>
      <c r="Q98" s="5" t="str">
        <f>'依賽道-個人紀錄'!A35</f>
        <v>Lolidia</v>
      </c>
      <c r="R98" s="5">
        <f>'依賽道-個人紀錄'!B35</f>
        <v>0.002172326389</v>
      </c>
      <c r="S98" s="5" t="str">
        <f>'依賽道-個人紀錄'!C35</f>
        <v>BNR32</v>
      </c>
      <c r="T98" s="5" t="str">
        <f>'依賽道-個人紀錄'!D35</f>
        <v>PCVR</v>
      </c>
    </row>
    <row r="99">
      <c r="A99" s="4" t="s">
        <v>1294</v>
      </c>
      <c r="B99" s="4" t="s">
        <v>1325</v>
      </c>
      <c r="C99" s="4" t="s">
        <v>1305</v>
      </c>
      <c r="D99" s="145" t="s">
        <v>208</v>
      </c>
      <c r="E99" s="145" t="s">
        <v>1318</v>
      </c>
      <c r="F99" s="4" t="s">
        <v>245</v>
      </c>
      <c r="G99" s="4" t="s">
        <v>124</v>
      </c>
      <c r="H99" s="4" t="s">
        <v>1316</v>
      </c>
      <c r="I99" s="4" t="s">
        <v>208</v>
      </c>
      <c r="J99" s="4" t="s">
        <v>332</v>
      </c>
      <c r="K99" s="4" t="s">
        <v>1107</v>
      </c>
      <c r="L99" s="4" t="s">
        <v>225</v>
      </c>
      <c r="M99" s="4">
        <v>5.0</v>
      </c>
      <c r="N99" s="4">
        <v>5.0</v>
      </c>
      <c r="O99" s="4">
        <v>1.0</v>
      </c>
      <c r="Q99" s="5" t="str">
        <f>'依賽道-個人紀錄'!A36</f>
        <v>~Antidote~</v>
      </c>
      <c r="R99" s="5">
        <f>'依賽道-個人紀錄'!B36</f>
        <v>0.002233321759</v>
      </c>
      <c r="S99" s="5" t="str">
        <f>'依賽道-個人紀錄'!C36</f>
        <v>EVOVII/CT9A</v>
      </c>
      <c r="T99" s="5" t="str">
        <f>'依賽道-個人紀錄'!D36</f>
        <v>PCVR</v>
      </c>
    </row>
    <row r="100">
      <c r="A100" s="4" t="s">
        <v>1295</v>
      </c>
      <c r="B100" s="4" t="s">
        <v>1325</v>
      </c>
      <c r="C100" s="4" t="s">
        <v>1305</v>
      </c>
      <c r="D100" s="4" t="s">
        <v>206</v>
      </c>
      <c r="E100" s="4" t="s">
        <v>190</v>
      </c>
      <c r="F100" s="145" t="s">
        <v>304</v>
      </c>
      <c r="G100" s="148" t="s">
        <v>171</v>
      </c>
      <c r="H100" s="4" t="s">
        <v>1328</v>
      </c>
      <c r="I100" s="5" t="s">
        <v>205</v>
      </c>
      <c r="J100" s="5">
        <v>0.002267546296296296</v>
      </c>
      <c r="K100" s="5" t="s">
        <v>171</v>
      </c>
      <c r="L100" s="4" t="s">
        <v>231</v>
      </c>
      <c r="M100" s="4">
        <v>1.0</v>
      </c>
      <c r="N100" s="4">
        <v>1.0</v>
      </c>
      <c r="O100" s="4">
        <v>1.0</v>
      </c>
      <c r="Q100" s="5" t="str">
        <f>'依賽道-個人紀錄'!A37</f>
        <v>Yune</v>
      </c>
      <c r="R100" s="5">
        <f>'依賽道-個人紀錄'!B37</f>
        <v>0.002247222222</v>
      </c>
      <c r="S100" s="5" t="str">
        <f>'依賽道-個人紀錄'!C37</f>
        <v>SilEighty</v>
      </c>
      <c r="T100" s="5" t="str">
        <f>'依賽道-個人紀錄'!D37</f>
        <v>PC</v>
      </c>
    </row>
    <row r="101">
      <c r="A101" s="4" t="s">
        <v>1309</v>
      </c>
      <c r="B101" s="4" t="s">
        <v>1325</v>
      </c>
      <c r="C101" s="4" t="s">
        <v>1305</v>
      </c>
      <c r="D101" s="4" t="s">
        <v>206</v>
      </c>
      <c r="E101" s="4" t="s">
        <v>190</v>
      </c>
      <c r="F101" s="145" t="s">
        <v>245</v>
      </c>
      <c r="G101" s="145" t="s">
        <v>124</v>
      </c>
      <c r="H101" s="4" t="s">
        <v>1326</v>
      </c>
      <c r="I101" s="4" t="s">
        <v>207</v>
      </c>
      <c r="J101" s="5">
        <v>0.0022929050925925925</v>
      </c>
      <c r="K101" s="5" t="s">
        <v>185</v>
      </c>
      <c r="M101" s="4">
        <v>1.0</v>
      </c>
      <c r="N101" s="4">
        <v>1.0</v>
      </c>
      <c r="O101" s="4">
        <v>1.0</v>
      </c>
      <c r="Q101" s="5" t="str">
        <f>'依賽道-個人紀錄'!A38</f>
        <v>Kinokono_Tenka</v>
      </c>
      <c r="R101" s="5">
        <f>'依賽道-個人紀錄'!B38</f>
        <v>0.002251967593</v>
      </c>
      <c r="S101" s="5" t="str">
        <f>'依賽道-個人紀錄'!C38</f>
        <v>EG6 (civic)</v>
      </c>
      <c r="T101" s="5" t="str">
        <f>'依賽道-個人紀錄'!D38</f>
        <v>PCVR</v>
      </c>
    </row>
    <row r="102">
      <c r="A102" s="4" t="s">
        <v>1310</v>
      </c>
      <c r="B102" s="4" t="s">
        <v>1325</v>
      </c>
      <c r="C102" s="4" t="s">
        <v>1305</v>
      </c>
      <c r="D102" s="145" t="s">
        <v>208</v>
      </c>
      <c r="E102" s="145" t="s">
        <v>1318</v>
      </c>
      <c r="F102" s="4" t="s">
        <v>304</v>
      </c>
      <c r="G102" s="5" t="s">
        <v>171</v>
      </c>
      <c r="H102" s="4" t="s">
        <v>1316</v>
      </c>
      <c r="I102" s="4" t="s">
        <v>245</v>
      </c>
      <c r="J102" s="4" t="s">
        <v>333</v>
      </c>
      <c r="K102" s="4" t="s">
        <v>124</v>
      </c>
      <c r="L102" s="4" t="s">
        <v>231</v>
      </c>
      <c r="M102" s="4">
        <v>3.0</v>
      </c>
      <c r="N102" s="4">
        <v>3.0</v>
      </c>
      <c r="O102" s="4">
        <v>1.0</v>
      </c>
      <c r="Q102" s="5" t="str">
        <f>'依賽道-個人紀錄'!A39</f>
        <v>StarRiver Arts</v>
      </c>
      <c r="R102" s="5">
        <f>'依賽道-個人紀錄'!B39</f>
        <v>0.002267546296</v>
      </c>
      <c r="S102" s="5" t="str">
        <f>'依賽道-個人紀錄'!C39</f>
        <v>SilEighty</v>
      </c>
      <c r="T102" s="5" t="str">
        <f>'依賽道-個人紀錄'!D39</f>
        <v>PC</v>
      </c>
    </row>
    <row r="103">
      <c r="I103" s="5" t="s">
        <v>229</v>
      </c>
      <c r="J103" s="5">
        <v>0.002366076388888889</v>
      </c>
      <c r="K103" s="4" t="s">
        <v>124</v>
      </c>
      <c r="L103" s="70" t="s">
        <v>231</v>
      </c>
      <c r="M103" s="4">
        <v>1.0</v>
      </c>
      <c r="N103" s="4">
        <v>1.0</v>
      </c>
      <c r="O103" s="4">
        <v>1.0</v>
      </c>
      <c r="Q103" s="5" t="str">
        <f>'依賽道-個人紀錄'!A40</f>
        <v>ikuhopen</v>
      </c>
      <c r="R103" s="5">
        <f>'依賽道-個人紀錄'!B40</f>
        <v>0.002292905093</v>
      </c>
      <c r="S103" s="5" t="str">
        <f>'依賽道-個人紀錄'!C40</f>
        <v>S14Q</v>
      </c>
      <c r="T103" s="5" t="str">
        <f>'依賽道-個人紀錄'!D40</f>
        <v>PC</v>
      </c>
    </row>
    <row r="104">
      <c r="A104" s="4" t="s">
        <v>1278</v>
      </c>
      <c r="B104" s="4" t="s">
        <v>208</v>
      </c>
      <c r="C104" s="4" t="s">
        <v>1318</v>
      </c>
      <c r="D104" s="5" t="s">
        <v>225</v>
      </c>
      <c r="Q104" s="5" t="str">
        <f>'依賽道-個人紀錄'!A41</f>
        <v>Ritcher_Yen</v>
      </c>
      <c r="R104" s="5">
        <f>'依賽道-個人紀錄'!B41</f>
        <v>0.002304583333</v>
      </c>
      <c r="S104" s="5" t="str">
        <f>'依賽道-個人紀錄'!C41</f>
        <v>SilEighty</v>
      </c>
      <c r="T104" s="5" t="str">
        <f>'依賽道-個人紀錄'!D41</f>
        <v>PC</v>
      </c>
    </row>
    <row r="105">
      <c r="A105" s="4" t="s">
        <v>1279</v>
      </c>
      <c r="B105" s="4" t="s">
        <v>304</v>
      </c>
      <c r="C105" s="5" t="s">
        <v>171</v>
      </c>
      <c r="D105" s="5" t="s">
        <v>225</v>
      </c>
      <c r="I105" s="4" t="s">
        <v>304</v>
      </c>
      <c r="J105" s="4" t="s">
        <v>339</v>
      </c>
      <c r="K105" s="4" t="s">
        <v>1107</v>
      </c>
      <c r="L105" s="4" t="s">
        <v>231</v>
      </c>
      <c r="M105" s="4">
        <v>4.0</v>
      </c>
      <c r="N105" s="4">
        <v>4.0</v>
      </c>
      <c r="O105" s="4">
        <v>1.0</v>
      </c>
      <c r="Q105" s="5" t="str">
        <f>'依賽道-個人紀錄'!A42</f>
        <v>Rushia Angel</v>
      </c>
      <c r="R105" s="5">
        <f>'依賽道-個人紀錄'!B42</f>
        <v>0.002318460648</v>
      </c>
      <c r="S105" s="5" t="str">
        <f>'依賽道-個人紀錄'!C42</f>
        <v>EVOVII/CT9A</v>
      </c>
      <c r="T105" s="5" t="str">
        <f>'依賽道-個人紀錄'!D42</f>
        <v>PC</v>
      </c>
    </row>
    <row r="106">
      <c r="A106" s="4" t="s">
        <v>1281</v>
      </c>
      <c r="B106" s="4" t="s">
        <v>1329</v>
      </c>
      <c r="C106" s="4" t="s">
        <v>124</v>
      </c>
      <c r="D106" s="5" t="s">
        <v>225</v>
      </c>
      <c r="I106" s="4" t="s">
        <v>206</v>
      </c>
      <c r="J106" s="4" t="s">
        <v>1330</v>
      </c>
      <c r="K106" s="4" t="s">
        <v>190</v>
      </c>
      <c r="L106" s="4" t="s">
        <v>231</v>
      </c>
      <c r="M106" s="4">
        <v>2.0</v>
      </c>
      <c r="N106" s="4">
        <v>2.0</v>
      </c>
      <c r="O106" s="4">
        <v>1.0</v>
      </c>
      <c r="Q106" s="5" t="str">
        <f>'依賽道-個人紀錄'!A43</f>
        <v>LinWu_05</v>
      </c>
      <c r="R106" s="5">
        <f>'依賽道-個人紀錄'!B43</f>
        <v>0.002327349537</v>
      </c>
      <c r="S106" s="5" t="str">
        <f>'依賽道-個人紀錄'!C43</f>
        <v>BNR32</v>
      </c>
      <c r="T106" s="5" t="str">
        <f>'依賽道-個人紀錄'!D43</f>
        <v>PC</v>
      </c>
    </row>
    <row r="107">
      <c r="A107" s="4" t="s">
        <v>1282</v>
      </c>
      <c r="B107" s="4" t="s">
        <v>206</v>
      </c>
      <c r="C107" s="4" t="s">
        <v>190</v>
      </c>
      <c r="D107" s="4" t="s">
        <v>231</v>
      </c>
      <c r="I107" s="4" t="s">
        <v>347</v>
      </c>
      <c r="J107" s="4" t="s">
        <v>348</v>
      </c>
      <c r="K107" s="4" t="s">
        <v>1331</v>
      </c>
      <c r="M107" s="4">
        <v>1.0</v>
      </c>
      <c r="N107" s="4">
        <v>1.0</v>
      </c>
      <c r="O107" s="4">
        <v>1.0</v>
      </c>
      <c r="Q107" s="5" t="str">
        <f>'依賽道-個人紀錄'!A44</f>
        <v>鬼-瓦輪</v>
      </c>
      <c r="R107" s="5">
        <f>'依賽道-個人紀錄'!B44</f>
        <v>0.002347453704</v>
      </c>
      <c r="S107" s="5" t="str">
        <f>'依賽道-個人紀錄'!C44</f>
        <v>EVOVII/CT9A</v>
      </c>
      <c r="T107" s="5" t="str">
        <f>'依賽道-個人紀錄'!D44</f>
        <v>PCVR</v>
      </c>
    </row>
    <row r="108">
      <c r="Q108" s="27" t="str">
        <f>'依賽道-個人紀錄'!A48</f>
        <v>拾貳 c101</v>
      </c>
      <c r="R108" s="5">
        <f>'依賽道-個人紀錄'!B48</f>
        <v>0.002474918981</v>
      </c>
      <c r="S108" s="5" t="str">
        <f>'依賽道-個人紀錄'!C48</f>
        <v>BNR32</v>
      </c>
      <c r="T108" s="5" t="str">
        <f>'依賽道-個人紀錄'!D48</f>
        <v/>
      </c>
    </row>
    <row r="109">
      <c r="Q109" s="5" t="str">
        <f>'依賽道-個人紀錄'!A49</f>
        <v>咪咪處刑人大木</v>
      </c>
      <c r="R109" s="5">
        <f>'依賽道-個人紀錄'!B49</f>
        <v>0.002539247685</v>
      </c>
      <c r="S109" s="5" t="str">
        <f>'依賽道-個人紀錄'!C49</f>
        <v>EVOVII/CT9A</v>
      </c>
      <c r="T109" s="5" t="str">
        <f>'依賽道-個人紀錄'!D49</f>
        <v/>
      </c>
    </row>
    <row r="110">
      <c r="Q110" s="5" t="str">
        <f>'依賽道-個人紀錄'!A50</f>
        <v>Sakanakokokoko</v>
      </c>
      <c r="R110" s="5">
        <f>'依賽道-個人紀錄'!B50</f>
        <v>0.002670717593</v>
      </c>
      <c r="S110" s="5" t="str">
        <f>'依賽道-個人紀錄'!C50</f>
        <v>380SX</v>
      </c>
      <c r="T110" s="5" t="str">
        <f>'依賽道-個人紀錄'!D50</f>
        <v>PC</v>
      </c>
    </row>
    <row r="111">
      <c r="Q111" s="5" t="str">
        <f>'依賽道-個人紀錄'!A51</f>
        <v>NEKO QWQ</v>
      </c>
      <c r="R111" s="5">
        <f>'依賽道-個人紀錄'!B51</f>
        <v>0.003128854167</v>
      </c>
      <c r="S111" s="5" t="str">
        <f>'依賽道-個人紀錄'!C51</f>
        <v>SilEighty</v>
      </c>
      <c r="T111" s="5" t="str">
        <f>'依賽道-個人紀錄'!D51</f>
        <v/>
      </c>
    </row>
    <row r="112">
      <c r="Q112" s="5" t="str">
        <f>'依賽道-個人紀錄'!A52</f>
        <v>周-ZHOU</v>
      </c>
      <c r="R112" s="5">
        <f>'依賽道-個人紀錄'!B52</f>
        <v>0.003342650463</v>
      </c>
      <c r="S112" s="5" t="str">
        <f>'依賽道-個人紀錄'!C52</f>
        <v>BNR32</v>
      </c>
      <c r="T112" s="5" t="str">
        <f>'依賽道-個人紀錄'!D52</f>
        <v/>
      </c>
    </row>
    <row r="113">
      <c r="Q113" s="5" t="str">
        <f>'依賽道-個人紀錄'!A53</f>
        <v/>
      </c>
      <c r="R113" s="5" t="str">
        <f>'依賽道-個人紀錄'!B53</f>
        <v/>
      </c>
      <c r="S113" s="5" t="str">
        <f>'依賽道-個人紀錄'!C53</f>
        <v/>
      </c>
      <c r="T113" s="5" t="str">
        <f>'依賽道-個人紀錄'!D53</f>
        <v/>
      </c>
    </row>
    <row r="114">
      <c r="Q114" s="5" t="str">
        <f>'依賽道-個人紀錄'!A54</f>
        <v/>
      </c>
      <c r="R114" s="5" t="str">
        <f>'依賽道-個人紀錄'!B54</f>
        <v/>
      </c>
      <c r="S114" s="5" t="str">
        <f>'依賽道-個人紀錄'!C54</f>
        <v/>
      </c>
      <c r="T114" s="5" t="str">
        <f>'依賽道-個人紀錄'!D54</f>
        <v/>
      </c>
    </row>
    <row r="115">
      <c r="Q115" s="5" t="str">
        <f>'依賽道-個人紀錄'!A55</f>
        <v/>
      </c>
      <c r="R115" s="5" t="str">
        <f>'依賽道-個人紀錄'!B55</f>
        <v/>
      </c>
      <c r="S115" s="5" t="str">
        <f>'依賽道-個人紀錄'!C55</f>
        <v/>
      </c>
      <c r="T115" s="5" t="str">
        <f>'依賽道-個人紀錄'!D55</f>
        <v/>
      </c>
    </row>
    <row r="116">
      <c r="Q116" s="5" t="str">
        <f>'依賽道-個人紀錄'!A56</f>
        <v/>
      </c>
      <c r="R116" s="5" t="str">
        <f>'依賽道-個人紀錄'!B56</f>
        <v/>
      </c>
      <c r="S116" s="5" t="str">
        <f>'依賽道-個人紀錄'!C56</f>
        <v/>
      </c>
      <c r="T116" s="5" t="str">
        <f>'依賽道-個人紀錄'!D56</f>
        <v/>
      </c>
    </row>
    <row r="117">
      <c r="Q117" s="5" t="str">
        <f>'依賽道-個人紀錄'!A57</f>
        <v/>
      </c>
      <c r="R117" s="5" t="str">
        <f>'依賽道-個人紀錄'!B57</f>
        <v/>
      </c>
      <c r="S117" s="5" t="str">
        <f>'依賽道-個人紀錄'!C57</f>
        <v/>
      </c>
      <c r="T117" s="5" t="str">
        <f>'依賽道-個人紀錄'!D57</f>
        <v/>
      </c>
    </row>
    <row r="118">
      <c r="Q118" s="5" t="str">
        <f>'依賽道-個人紀錄'!A58</f>
        <v/>
      </c>
      <c r="R118" s="5" t="str">
        <f>'依賽道-個人紀錄'!B58</f>
        <v/>
      </c>
      <c r="S118" s="5" t="str">
        <f>'依賽道-個人紀錄'!C58</f>
        <v/>
      </c>
      <c r="T118" s="5" t="str">
        <f>'依賽道-個人紀錄'!D58</f>
        <v/>
      </c>
    </row>
    <row r="119">
      <c r="Q119" s="5" t="str">
        <f>'依賽道-個人紀錄'!A59</f>
        <v/>
      </c>
      <c r="R119" s="5" t="str">
        <f>'依賽道-個人紀錄'!B59</f>
        <v/>
      </c>
      <c r="S119" s="5" t="str">
        <f>'依賽道-個人紀錄'!C59</f>
        <v/>
      </c>
      <c r="T119" s="5" t="str">
        <f>'依賽道-個人紀錄'!D59</f>
        <v/>
      </c>
    </row>
    <row r="120">
      <c r="Q120" s="5" t="str">
        <f>'依賽道-個人紀錄'!A60</f>
        <v/>
      </c>
      <c r="R120" s="5" t="str">
        <f>'依賽道-個人紀錄'!B60</f>
        <v/>
      </c>
      <c r="S120" s="5" t="str">
        <f>'依賽道-個人紀錄'!C60</f>
        <v/>
      </c>
      <c r="T120" s="5" t="str">
        <f>'依賽道-個人紀錄'!D60</f>
        <v/>
      </c>
    </row>
  </sheetData>
  <mergeCells count="34">
    <mergeCell ref="A1:H1"/>
    <mergeCell ref="Q1:T1"/>
    <mergeCell ref="U1:X1"/>
    <mergeCell ref="Z1:AE1"/>
    <mergeCell ref="Q2:T2"/>
    <mergeCell ref="U2:X2"/>
    <mergeCell ref="H3:H4"/>
    <mergeCell ref="H5:H6"/>
    <mergeCell ref="H7:H10"/>
    <mergeCell ref="H11:H12"/>
    <mergeCell ref="H13:H15"/>
    <mergeCell ref="Z15:AE15"/>
    <mergeCell ref="H16:H17"/>
    <mergeCell ref="A30:H30"/>
    <mergeCell ref="Q30:T30"/>
    <mergeCell ref="U30:X30"/>
    <mergeCell ref="Q31:T31"/>
    <mergeCell ref="U31:X31"/>
    <mergeCell ref="A38:A39"/>
    <mergeCell ref="H38:H39"/>
    <mergeCell ref="H40:H41"/>
    <mergeCell ref="Q60:T60"/>
    <mergeCell ref="U60:X60"/>
    <mergeCell ref="A76:H76"/>
    <mergeCell ref="Q76:T76"/>
    <mergeCell ref="A93:H93"/>
    <mergeCell ref="Q96:T96"/>
    <mergeCell ref="A40:A41"/>
    <mergeCell ref="A44:A45"/>
    <mergeCell ref="A47:A48"/>
    <mergeCell ref="H47:H48"/>
    <mergeCell ref="A59:H59"/>
    <mergeCell ref="Q59:T59"/>
    <mergeCell ref="U59:X59"/>
  </mergeCells>
  <conditionalFormatting sqref="Z27:Z30 D61 D63 H63:I63 F65:F66 H65:H67 I65 D67 I67:I68 D69 F69 H69 B72:B73">
    <cfRule type="containsText" dxfId="1" priority="1" operator="containsText" text="AE86">
      <formula>NOT(ISERROR(SEARCH(("AE86"),(Z27))))</formula>
    </cfRule>
  </conditionalFormatting>
  <conditionalFormatting sqref="Z27:Z30 D61 D63 H63:I63 F65:F66 H65:H67 I65 D67 I67:I68 D69 F69 H69 B72:B73">
    <cfRule type="containsText" dxfId="1" priority="2" operator="containsText" text="EK9">
      <formula>NOT(ISERROR(SEARCH(("EK9"),(Z27))))</formula>
    </cfRule>
  </conditionalFormatting>
  <conditionalFormatting sqref="Z27:Z30 D61 D63 H63:I63 F65:F66 H65:H67 I65 D67 I67:I68 D69 F69 H69 B72:B73">
    <cfRule type="containsText" dxfId="1" priority="3" operator="containsText" text="BNR32">
      <formula>NOT(ISERROR(SEARCH(("BNR32"),(Z27))))</formula>
    </cfRule>
  </conditionalFormatting>
  <conditionalFormatting sqref="Z27:Z30 D61 D63 H63:I63 F65:F66 H65:H67 I65 D67 I67:I68 D69 F69 H69 B72:B73">
    <cfRule type="containsText" dxfId="1" priority="4" operator="containsText" text="BNR34">
      <formula>NOT(ISERROR(SEARCH(("BNR34"),(Z27))))</formula>
    </cfRule>
  </conditionalFormatting>
  <conditionalFormatting sqref="Z27:Z30 D61 D63 H63:I63 F65:F66 H65:H67 I65 D67 I67:I68 D69 F69 H69 B72:B73">
    <cfRule type="containsText" dxfId="1" priority="5" operator="containsText" text="DC">
      <formula>NOT(ISERROR(SEARCH(("DC"),(Z27))))</formula>
    </cfRule>
  </conditionalFormatting>
  <conditionalFormatting sqref="Z27:Z30 D61 D63 H63:I63 F65:F66 H65:H67 I65 D67 I67:I68 D69 F69 H69 B72:B73">
    <cfRule type="containsText" dxfId="1" priority="6" operator="containsText" text="GDB">
      <formula>NOT(ISERROR(SEARCH(("GDB"),(Z27))))</formula>
    </cfRule>
  </conditionalFormatting>
  <conditionalFormatting sqref="Z28:Z30 Q61:X75 D62 I70">
    <cfRule type="containsText" dxfId="1" priority="7" operator="containsText" text="AE">
      <formula>NOT(ISERROR(SEARCH(("AE"),(Z28))))</formula>
    </cfRule>
  </conditionalFormatting>
  <conditionalFormatting sqref="X75">
    <cfRule type="containsText" dxfId="1" priority="8" operator="containsText" text="BNR32">
      <formula>NOT(ISERROR(SEARCH(("BNR32"),(X75))))</formula>
    </cfRule>
  </conditionalFormatting>
  <conditionalFormatting sqref="Z28:Z30 Q61:X75 D62 I70">
    <cfRule type="containsText" dxfId="7" priority="9" operator="containsText" text="BNR34">
      <formula>NOT(ISERROR(SEARCH(("BNR34"),(Z28))))</formula>
    </cfRule>
  </conditionalFormatting>
  <conditionalFormatting sqref="Z28:Z30 Q61:X75 D62 I70">
    <cfRule type="containsText" dxfId="1" priority="10" operator="containsText" text="DC">
      <formula>NOT(ISERROR(SEARCH(("DC"),(Z28))))</formula>
    </cfRule>
  </conditionalFormatting>
  <conditionalFormatting sqref="Z28:Z30 Q61:X75 D62 I70">
    <cfRule type="containsText" dxfId="7" priority="11" operator="containsText" text="GDB">
      <formula>NOT(ISERROR(SEARCH(("GDB"),(Z28))))</formula>
    </cfRule>
  </conditionalFormatting>
  <conditionalFormatting sqref="Z28:Z30 Q61:X75 D62 I70">
    <cfRule type="containsText" dxfId="15" priority="12" operator="containsText" text="BNR32">
      <formula>NOT(ISERROR(SEARCH(("BNR32"),(Z28))))</formula>
    </cfRule>
  </conditionalFormatting>
  <conditionalFormatting sqref="Z28:Z30 Q61:X75 D62 I70">
    <cfRule type="containsText" dxfId="15" priority="13" operator="containsText" text="EK9">
      <formula>NOT(ISERROR(SEARCH(("EK9"),(Z28))))</formula>
    </cfRule>
  </conditionalFormatting>
  <hyperlinks>
    <hyperlink r:id="rId1" ref="I9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2.13"/>
    <col customWidth="1" min="4" max="4" width="9.25"/>
    <col customWidth="1" min="5" max="5" width="8.75"/>
    <col customWidth="1" min="6" max="6" width="13.63"/>
  </cols>
  <sheetData>
    <row r="8">
      <c r="A8" s="154" t="s">
        <v>1332</v>
      </c>
    </row>
    <row r="9">
      <c r="A9" s="155" t="s">
        <v>1333</v>
      </c>
      <c r="B9" s="155" t="s">
        <v>211</v>
      </c>
      <c r="C9" s="145" t="s">
        <v>1334</v>
      </c>
      <c r="D9" s="145" t="s">
        <v>1335</v>
      </c>
      <c r="E9" s="156" t="s">
        <v>1231</v>
      </c>
      <c r="F9" s="157" t="s">
        <v>1335</v>
      </c>
      <c r="G9" s="157" t="s">
        <v>1336</v>
      </c>
    </row>
    <row r="10">
      <c r="A10" s="4" t="s">
        <v>1337</v>
      </c>
      <c r="B10" s="4" t="s">
        <v>1338</v>
      </c>
      <c r="C10" s="158" t="s">
        <v>1339</v>
      </c>
      <c r="D10" s="159" t="s">
        <v>317</v>
      </c>
      <c r="E10" s="156" t="s">
        <v>1340</v>
      </c>
      <c r="F10" s="4" t="s">
        <v>1341</v>
      </c>
      <c r="G10" s="158" t="s">
        <v>1342</v>
      </c>
    </row>
    <row r="11">
      <c r="A11" s="4" t="s">
        <v>1337</v>
      </c>
      <c r="B11" s="4" t="s">
        <v>1343</v>
      </c>
      <c r="D11" s="159" t="s">
        <v>317</v>
      </c>
      <c r="E11" s="156" t="s">
        <v>1344</v>
      </c>
      <c r="F11" s="4" t="s">
        <v>1341</v>
      </c>
    </row>
    <row r="12">
      <c r="A12" s="4" t="s">
        <v>1337</v>
      </c>
      <c r="B12" s="4" t="s">
        <v>1345</v>
      </c>
      <c r="D12" s="4" t="s">
        <v>123</v>
      </c>
      <c r="E12" s="156" t="s">
        <v>1346</v>
      </c>
      <c r="F12" s="160" t="s">
        <v>177</v>
      </c>
    </row>
    <row r="13">
      <c r="A13" s="4" t="s">
        <v>1337</v>
      </c>
      <c r="B13" s="4" t="s">
        <v>1347</v>
      </c>
      <c r="D13" s="161" t="s">
        <v>123</v>
      </c>
      <c r="E13" s="156" t="s">
        <v>1348</v>
      </c>
      <c r="F13" s="4" t="s">
        <v>177</v>
      </c>
    </row>
  </sheetData>
  <mergeCells count="3">
    <mergeCell ref="A8:G8"/>
    <mergeCell ref="C10:C14"/>
    <mergeCell ref="G10:G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7.25"/>
  </cols>
  <sheetData>
    <row r="1">
      <c r="A1" s="162"/>
    </row>
    <row r="2">
      <c r="A2" s="140"/>
      <c r="B2" s="140"/>
      <c r="C2" s="140"/>
      <c r="D2" s="152"/>
      <c r="E2" s="155"/>
      <c r="F2" s="153"/>
    </row>
    <row r="10">
      <c r="A10" s="162" t="s">
        <v>1349</v>
      </c>
    </row>
    <row r="11">
      <c r="A11" s="140" t="s">
        <v>1227</v>
      </c>
      <c r="B11" s="140" t="s">
        <v>1228</v>
      </c>
      <c r="C11" s="140" t="s">
        <v>1350</v>
      </c>
      <c r="D11" s="152" t="s">
        <v>1229</v>
      </c>
      <c r="E11" s="155" t="s">
        <v>1351</v>
      </c>
      <c r="F11" s="153" t="s">
        <v>1231</v>
      </c>
    </row>
    <row r="12">
      <c r="A12" s="4" t="s">
        <v>1352</v>
      </c>
      <c r="B12" s="4" t="s">
        <v>1353</v>
      </c>
      <c r="C12" s="4" t="s">
        <v>1354</v>
      </c>
      <c r="D12" s="163" t="s">
        <v>205</v>
      </c>
      <c r="E12" s="4" t="s">
        <v>1355</v>
      </c>
      <c r="F12" s="4" t="s">
        <v>1356</v>
      </c>
    </row>
    <row r="13">
      <c r="A13" s="4" t="s">
        <v>1352</v>
      </c>
      <c r="B13" s="4" t="s">
        <v>1353</v>
      </c>
      <c r="C13" s="4" t="s">
        <v>1354</v>
      </c>
      <c r="D13" s="163" t="s">
        <v>205</v>
      </c>
      <c r="E13" s="4" t="s">
        <v>1355</v>
      </c>
      <c r="F13" s="4" t="s">
        <v>1357</v>
      </c>
    </row>
    <row r="17">
      <c r="A17" s="164" t="s">
        <v>1358</v>
      </c>
    </row>
    <row r="18">
      <c r="A18" s="165" t="s">
        <v>1227</v>
      </c>
      <c r="B18" s="165" t="s">
        <v>1228</v>
      </c>
      <c r="C18" s="165" t="s">
        <v>1350</v>
      </c>
      <c r="D18" s="166" t="s">
        <v>1229</v>
      </c>
      <c r="E18" s="93" t="s">
        <v>1351</v>
      </c>
      <c r="F18" s="167" t="s">
        <v>1231</v>
      </c>
    </row>
    <row r="19">
      <c r="A19" s="70" t="s">
        <v>1312</v>
      </c>
      <c r="B19" s="70" t="s">
        <v>1359</v>
      </c>
      <c r="C19" s="83"/>
      <c r="D19" s="168" t="s">
        <v>275</v>
      </c>
      <c r="E19" s="70" t="s">
        <v>1360</v>
      </c>
      <c r="F19" s="70" t="s">
        <v>1361</v>
      </c>
      <c r="G19" s="4" t="s">
        <v>1362</v>
      </c>
    </row>
    <row r="20">
      <c r="A20" s="70" t="s">
        <v>1312</v>
      </c>
      <c r="B20" s="70" t="s">
        <v>1359</v>
      </c>
      <c r="C20" s="83"/>
      <c r="D20" s="163" t="s">
        <v>205</v>
      </c>
      <c r="E20" s="163" t="s">
        <v>207</v>
      </c>
      <c r="F20" s="4" t="s">
        <v>1363</v>
      </c>
      <c r="G20" s="4" t="s">
        <v>1362</v>
      </c>
    </row>
    <row r="21">
      <c r="A21" s="70" t="s">
        <v>1312</v>
      </c>
      <c r="B21" s="70" t="s">
        <v>1359</v>
      </c>
      <c r="D21" s="163" t="s">
        <v>207</v>
      </c>
      <c r="E21" s="4" t="s">
        <v>1364</v>
      </c>
      <c r="F21" s="4" t="s">
        <v>1365</v>
      </c>
      <c r="G21" s="4" t="s">
        <v>1366</v>
      </c>
    </row>
    <row r="22">
      <c r="A22" s="70" t="s">
        <v>1312</v>
      </c>
      <c r="B22" s="70" t="s">
        <v>1359</v>
      </c>
      <c r="D22" s="168" t="s">
        <v>275</v>
      </c>
      <c r="E22" s="4" t="s">
        <v>1367</v>
      </c>
      <c r="F22" s="70" t="s">
        <v>1361</v>
      </c>
      <c r="G22" s="4" t="s">
        <v>1368</v>
      </c>
    </row>
    <row r="23">
      <c r="A23" s="70" t="s">
        <v>1312</v>
      </c>
      <c r="B23" s="70" t="s">
        <v>1359</v>
      </c>
      <c r="D23" s="168" t="s">
        <v>275</v>
      </c>
      <c r="E23" s="4" t="s">
        <v>1369</v>
      </c>
      <c r="F23" s="70" t="s">
        <v>1370</v>
      </c>
      <c r="G23" s="4" t="s">
        <v>1371</v>
      </c>
    </row>
  </sheetData>
  <mergeCells count="3">
    <mergeCell ref="A1:F1"/>
    <mergeCell ref="A10:F10"/>
    <mergeCell ref="A17:F17"/>
  </mergeCells>
  <drawing r:id="rId1"/>
</worksheet>
</file>